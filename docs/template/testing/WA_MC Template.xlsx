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piccorporate-my.sharepoint.com/personal/viviann_npiccorporate_com/Documents/Desktop/"/>
    </mc:Choice>
  </mc:AlternateContent>
  <xr:revisionPtr revIDLastSave="0" documentId="8_{A00758CA-D98D-4761-91D7-5EE99A67F862}" xr6:coauthVersionLast="47" xr6:coauthVersionMax="47" xr10:uidLastSave="{00000000-0000-0000-0000-000000000000}"/>
  <bookViews>
    <workbookView xWindow="57480" yWindow="-135" windowWidth="29040" windowHeight="15720" xr2:uid="{E1AC3413-3CFC-40E1-981F-7575EA56C56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000" i="1" l="1"/>
  <c r="P1000" i="1"/>
  <c r="O1000" i="1"/>
  <c r="N1000" i="1"/>
  <c r="B1000" i="1"/>
  <c r="A1000" i="1"/>
  <c r="Q999" i="1"/>
  <c r="P999" i="1"/>
  <c r="O999" i="1"/>
  <c r="N999" i="1"/>
  <c r="B999" i="1"/>
  <c r="A999" i="1"/>
  <c r="Q998" i="1"/>
  <c r="P998" i="1"/>
  <c r="O998" i="1"/>
  <c r="N998" i="1"/>
  <c r="B998" i="1"/>
  <c r="A998" i="1"/>
  <c r="Q997" i="1"/>
  <c r="P997" i="1"/>
  <c r="O997" i="1"/>
  <c r="N997" i="1"/>
  <c r="B997" i="1"/>
  <c r="A997" i="1"/>
  <c r="Q996" i="1"/>
  <c r="P996" i="1"/>
  <c r="O996" i="1"/>
  <c r="N996" i="1"/>
  <c r="B996" i="1"/>
  <c r="A996" i="1"/>
  <c r="Q995" i="1"/>
  <c r="P995" i="1"/>
  <c r="O995" i="1"/>
  <c r="N995" i="1"/>
  <c r="B995" i="1"/>
  <c r="A995" i="1"/>
  <c r="Q994" i="1"/>
  <c r="P994" i="1"/>
  <c r="O994" i="1"/>
  <c r="N994" i="1"/>
  <c r="B994" i="1"/>
  <c r="A994" i="1"/>
  <c r="Q993" i="1"/>
  <c r="P993" i="1"/>
  <c r="O993" i="1"/>
  <c r="N993" i="1"/>
  <c r="B993" i="1"/>
  <c r="A993" i="1"/>
  <c r="Q992" i="1"/>
  <c r="P992" i="1"/>
  <c r="O992" i="1"/>
  <c r="N992" i="1"/>
  <c r="B992" i="1"/>
  <c r="A992" i="1"/>
  <c r="Q991" i="1"/>
  <c r="P991" i="1"/>
  <c r="O991" i="1"/>
  <c r="N991" i="1"/>
  <c r="B991" i="1"/>
  <c r="A991" i="1"/>
  <c r="Q990" i="1"/>
  <c r="P990" i="1"/>
  <c r="O990" i="1"/>
  <c r="N990" i="1"/>
  <c r="B990" i="1"/>
  <c r="A990" i="1"/>
  <c r="Q989" i="1"/>
  <c r="P989" i="1"/>
  <c r="O989" i="1"/>
  <c r="N989" i="1"/>
  <c r="B989" i="1"/>
  <c r="A989" i="1"/>
  <c r="Q988" i="1"/>
  <c r="P988" i="1"/>
  <c r="O988" i="1"/>
  <c r="N988" i="1"/>
  <c r="B988" i="1"/>
  <c r="A988" i="1"/>
  <c r="Q987" i="1"/>
  <c r="P987" i="1"/>
  <c r="O987" i="1"/>
  <c r="N987" i="1"/>
  <c r="B987" i="1"/>
  <c r="A987" i="1"/>
  <c r="Q986" i="1"/>
  <c r="P986" i="1"/>
  <c r="O986" i="1"/>
  <c r="N986" i="1"/>
  <c r="B986" i="1"/>
  <c r="A986" i="1"/>
  <c r="Q985" i="1"/>
  <c r="P985" i="1"/>
  <c r="O985" i="1"/>
  <c r="N985" i="1"/>
  <c r="B985" i="1"/>
  <c r="A985" i="1"/>
  <c r="Q984" i="1"/>
  <c r="P984" i="1"/>
  <c r="O984" i="1"/>
  <c r="N984" i="1"/>
  <c r="B984" i="1"/>
  <c r="A984" i="1"/>
  <c r="Q983" i="1"/>
  <c r="P983" i="1"/>
  <c r="O983" i="1"/>
  <c r="N983" i="1"/>
  <c r="B983" i="1"/>
  <c r="A983" i="1"/>
  <c r="Q982" i="1"/>
  <c r="P982" i="1"/>
  <c r="O982" i="1"/>
  <c r="N982" i="1"/>
  <c r="B982" i="1"/>
  <c r="A982" i="1"/>
  <c r="Q981" i="1"/>
  <c r="P981" i="1"/>
  <c r="O981" i="1"/>
  <c r="N981" i="1"/>
  <c r="B981" i="1"/>
  <c r="A981" i="1"/>
  <c r="Q980" i="1"/>
  <c r="P980" i="1"/>
  <c r="O980" i="1"/>
  <c r="N980" i="1"/>
  <c r="B980" i="1"/>
  <c r="A980" i="1"/>
  <c r="Q979" i="1"/>
  <c r="P979" i="1"/>
  <c r="O979" i="1"/>
  <c r="N979" i="1"/>
  <c r="B979" i="1"/>
  <c r="A979" i="1"/>
  <c r="Q978" i="1"/>
  <c r="P978" i="1"/>
  <c r="O978" i="1"/>
  <c r="N978" i="1"/>
  <c r="B978" i="1"/>
  <c r="A978" i="1"/>
  <c r="Q977" i="1"/>
  <c r="P977" i="1"/>
  <c r="O977" i="1"/>
  <c r="N977" i="1"/>
  <c r="B977" i="1"/>
  <c r="A977" i="1"/>
  <c r="Q976" i="1"/>
  <c r="P976" i="1"/>
  <c r="O976" i="1"/>
  <c r="N976" i="1"/>
  <c r="B976" i="1"/>
  <c r="A976" i="1"/>
  <c r="Q975" i="1"/>
  <c r="P975" i="1"/>
  <c r="O975" i="1"/>
  <c r="N975" i="1"/>
  <c r="B975" i="1"/>
  <c r="A975" i="1"/>
  <c r="Q974" i="1"/>
  <c r="P974" i="1"/>
  <c r="O974" i="1"/>
  <c r="N974" i="1"/>
  <c r="B974" i="1"/>
  <c r="A974" i="1"/>
  <c r="Q973" i="1"/>
  <c r="P973" i="1"/>
  <c r="O973" i="1"/>
  <c r="N973" i="1"/>
  <c r="M973" i="1"/>
  <c r="B973" i="1"/>
  <c r="A973" i="1"/>
  <c r="Q972" i="1"/>
  <c r="P972" i="1"/>
  <c r="O972" i="1"/>
  <c r="N972" i="1"/>
  <c r="B972" i="1"/>
  <c r="A972" i="1"/>
  <c r="Q971" i="1"/>
  <c r="P971" i="1"/>
  <c r="O971" i="1"/>
  <c r="N971" i="1"/>
  <c r="B971" i="1"/>
  <c r="A971" i="1"/>
  <c r="Q970" i="1"/>
  <c r="P970" i="1"/>
  <c r="O970" i="1"/>
  <c r="N970" i="1"/>
  <c r="B970" i="1"/>
  <c r="A970" i="1"/>
  <c r="Q969" i="1"/>
  <c r="P969" i="1"/>
  <c r="O969" i="1"/>
  <c r="N969" i="1"/>
  <c r="B969" i="1"/>
  <c r="A969" i="1"/>
  <c r="Q968" i="1"/>
  <c r="P968" i="1"/>
  <c r="O968" i="1"/>
  <c r="N968" i="1"/>
  <c r="B968" i="1"/>
  <c r="A968" i="1"/>
  <c r="Q967" i="1"/>
  <c r="P967" i="1"/>
  <c r="O967" i="1"/>
  <c r="N967" i="1"/>
  <c r="B967" i="1"/>
  <c r="A967" i="1"/>
  <c r="Q966" i="1"/>
  <c r="P966" i="1"/>
  <c r="O966" i="1"/>
  <c r="N966" i="1"/>
  <c r="B966" i="1"/>
  <c r="A966" i="1"/>
  <c r="Q965" i="1"/>
  <c r="P965" i="1"/>
  <c r="O965" i="1"/>
  <c r="N965" i="1"/>
  <c r="B965" i="1"/>
  <c r="A965" i="1"/>
  <c r="Q964" i="1"/>
  <c r="P964" i="1"/>
  <c r="O964" i="1"/>
  <c r="N964" i="1"/>
  <c r="B964" i="1"/>
  <c r="A964" i="1"/>
  <c r="Q963" i="1"/>
  <c r="P963" i="1"/>
  <c r="O963" i="1"/>
  <c r="N963" i="1"/>
  <c r="B963" i="1"/>
  <c r="A963" i="1"/>
  <c r="Q962" i="1"/>
  <c r="P962" i="1"/>
  <c r="O962" i="1"/>
  <c r="N962" i="1"/>
  <c r="B962" i="1"/>
  <c r="A962" i="1"/>
  <c r="Q961" i="1"/>
  <c r="P961" i="1"/>
  <c r="O961" i="1"/>
  <c r="N961" i="1"/>
  <c r="B961" i="1"/>
  <c r="A961" i="1"/>
  <c r="Q960" i="1"/>
  <c r="P960" i="1"/>
  <c r="O960" i="1"/>
  <c r="N960" i="1"/>
  <c r="B960" i="1"/>
  <c r="A960" i="1"/>
  <c r="Q959" i="1"/>
  <c r="P959" i="1"/>
  <c r="O959" i="1"/>
  <c r="N959" i="1"/>
  <c r="B959" i="1"/>
  <c r="A959" i="1"/>
  <c r="Q958" i="1"/>
  <c r="P958" i="1"/>
  <c r="O958" i="1"/>
  <c r="N958" i="1"/>
  <c r="B958" i="1"/>
  <c r="A958" i="1"/>
  <c r="Q957" i="1"/>
  <c r="P957" i="1"/>
  <c r="O957" i="1"/>
  <c r="N957" i="1"/>
  <c r="B957" i="1"/>
  <c r="A957" i="1"/>
  <c r="Q956" i="1"/>
  <c r="P956" i="1"/>
  <c r="O956" i="1"/>
  <c r="N956" i="1"/>
  <c r="B956" i="1"/>
  <c r="A956" i="1"/>
  <c r="Q955" i="1"/>
  <c r="P955" i="1"/>
  <c r="O955" i="1"/>
  <c r="N955" i="1"/>
  <c r="B955" i="1"/>
  <c r="A955" i="1"/>
  <c r="Q954" i="1"/>
  <c r="P954" i="1"/>
  <c r="O954" i="1"/>
  <c r="N954" i="1"/>
  <c r="B954" i="1"/>
  <c r="A954" i="1"/>
  <c r="Q953" i="1"/>
  <c r="P953" i="1"/>
  <c r="O953" i="1"/>
  <c r="N953" i="1"/>
  <c r="B953" i="1"/>
  <c r="A953" i="1"/>
  <c r="Q952" i="1"/>
  <c r="P952" i="1"/>
  <c r="O952" i="1"/>
  <c r="N952" i="1"/>
  <c r="B952" i="1"/>
  <c r="A952" i="1"/>
  <c r="Q951" i="1"/>
  <c r="P951" i="1"/>
  <c r="O951" i="1"/>
  <c r="N951" i="1"/>
  <c r="B951" i="1"/>
  <c r="A951" i="1"/>
  <c r="Q950" i="1"/>
  <c r="P950" i="1"/>
  <c r="O950" i="1"/>
  <c r="N950" i="1"/>
  <c r="B950" i="1"/>
  <c r="A950" i="1"/>
  <c r="Q949" i="1"/>
  <c r="P949" i="1"/>
  <c r="O949" i="1"/>
  <c r="N949" i="1"/>
  <c r="B949" i="1"/>
  <c r="A949" i="1"/>
  <c r="Q948" i="1"/>
  <c r="P948" i="1"/>
  <c r="O948" i="1"/>
  <c r="N948" i="1"/>
  <c r="B948" i="1"/>
  <c r="A948" i="1"/>
  <c r="Q947" i="1"/>
  <c r="P947" i="1"/>
  <c r="O947" i="1"/>
  <c r="N947" i="1"/>
  <c r="B947" i="1"/>
  <c r="A947" i="1"/>
  <c r="Q946" i="1"/>
  <c r="P946" i="1"/>
  <c r="O946" i="1"/>
  <c r="N946" i="1"/>
  <c r="B946" i="1"/>
  <c r="A946" i="1"/>
  <c r="Q945" i="1"/>
  <c r="P945" i="1"/>
  <c r="O945" i="1"/>
  <c r="N945" i="1"/>
  <c r="B945" i="1"/>
  <c r="A945" i="1"/>
  <c r="Q944" i="1"/>
  <c r="P944" i="1"/>
  <c r="O944" i="1"/>
  <c r="N944" i="1"/>
  <c r="B944" i="1"/>
  <c r="A944" i="1"/>
  <c r="Q943" i="1"/>
  <c r="P943" i="1"/>
  <c r="O943" i="1"/>
  <c r="N943" i="1"/>
  <c r="B943" i="1"/>
  <c r="A943" i="1"/>
  <c r="Q942" i="1"/>
  <c r="P942" i="1"/>
  <c r="O942" i="1"/>
  <c r="N942" i="1"/>
  <c r="B942" i="1"/>
  <c r="A942" i="1"/>
  <c r="Q941" i="1"/>
  <c r="P941" i="1"/>
  <c r="O941" i="1"/>
  <c r="N941" i="1"/>
  <c r="B941" i="1"/>
  <c r="A941" i="1"/>
  <c r="Q940" i="1"/>
  <c r="P940" i="1"/>
  <c r="O940" i="1"/>
  <c r="N940" i="1"/>
  <c r="B940" i="1"/>
  <c r="A940" i="1"/>
  <c r="Q939" i="1"/>
  <c r="P939" i="1"/>
  <c r="O939" i="1"/>
  <c r="N939" i="1"/>
  <c r="B939" i="1"/>
  <c r="A939" i="1"/>
  <c r="Q938" i="1"/>
  <c r="P938" i="1"/>
  <c r="O938" i="1"/>
  <c r="N938" i="1"/>
  <c r="B938" i="1"/>
  <c r="A938" i="1"/>
  <c r="Q937" i="1"/>
  <c r="P937" i="1"/>
  <c r="O937" i="1"/>
  <c r="N937" i="1"/>
  <c r="B937" i="1"/>
  <c r="A937" i="1"/>
  <c r="Q936" i="1"/>
  <c r="P936" i="1"/>
  <c r="O936" i="1"/>
  <c r="N936" i="1"/>
  <c r="B936" i="1"/>
  <c r="A936" i="1"/>
  <c r="Q935" i="1"/>
  <c r="P935" i="1"/>
  <c r="O935" i="1"/>
  <c r="N935" i="1"/>
  <c r="B935" i="1"/>
  <c r="A935" i="1"/>
  <c r="Q934" i="1"/>
  <c r="P934" i="1"/>
  <c r="O934" i="1"/>
  <c r="N934" i="1"/>
  <c r="B934" i="1"/>
  <c r="A934" i="1"/>
  <c r="Q933" i="1"/>
  <c r="P933" i="1"/>
  <c r="O933" i="1"/>
  <c r="N933" i="1"/>
  <c r="B933" i="1"/>
  <c r="A933" i="1"/>
  <c r="Q932" i="1"/>
  <c r="P932" i="1"/>
  <c r="O932" i="1"/>
  <c r="N932" i="1"/>
  <c r="B932" i="1"/>
  <c r="A932" i="1"/>
  <c r="Q931" i="1"/>
  <c r="P931" i="1"/>
  <c r="O931" i="1"/>
  <c r="N931" i="1"/>
  <c r="B931" i="1"/>
  <c r="A931" i="1"/>
  <c r="Q930" i="1"/>
  <c r="P930" i="1"/>
  <c r="O930" i="1"/>
  <c r="N930" i="1"/>
  <c r="B930" i="1"/>
  <c r="A930" i="1"/>
  <c r="Q929" i="1"/>
  <c r="P929" i="1"/>
  <c r="O929" i="1"/>
  <c r="N929" i="1"/>
  <c r="B929" i="1"/>
  <c r="A929" i="1"/>
  <c r="Q928" i="1"/>
  <c r="P928" i="1"/>
  <c r="O928" i="1"/>
  <c r="N928" i="1"/>
  <c r="B928" i="1"/>
  <c r="A928" i="1"/>
  <c r="Q927" i="1"/>
  <c r="P927" i="1"/>
  <c r="O927" i="1"/>
  <c r="N927" i="1"/>
  <c r="B927" i="1"/>
  <c r="A927" i="1"/>
  <c r="Q926" i="1"/>
  <c r="P926" i="1"/>
  <c r="O926" i="1"/>
  <c r="N926" i="1"/>
  <c r="B926" i="1"/>
  <c r="A926" i="1"/>
  <c r="Q925" i="1"/>
  <c r="P925" i="1"/>
  <c r="O925" i="1"/>
  <c r="N925" i="1"/>
  <c r="B925" i="1"/>
  <c r="A925" i="1"/>
  <c r="Q924" i="1"/>
  <c r="P924" i="1"/>
  <c r="O924" i="1"/>
  <c r="N924" i="1"/>
  <c r="B924" i="1"/>
  <c r="A924" i="1"/>
  <c r="Q923" i="1"/>
  <c r="P923" i="1"/>
  <c r="O923" i="1"/>
  <c r="N923" i="1"/>
  <c r="B923" i="1"/>
  <c r="A923" i="1"/>
  <c r="Q922" i="1"/>
  <c r="P922" i="1"/>
  <c r="O922" i="1"/>
  <c r="N922" i="1"/>
  <c r="B922" i="1"/>
  <c r="A922" i="1"/>
  <c r="Q921" i="1"/>
  <c r="P921" i="1"/>
  <c r="O921" i="1"/>
  <c r="N921" i="1"/>
  <c r="B921" i="1"/>
  <c r="A921" i="1"/>
  <c r="Q920" i="1"/>
  <c r="P920" i="1"/>
  <c r="O920" i="1"/>
  <c r="N920" i="1"/>
  <c r="B920" i="1"/>
  <c r="A920" i="1"/>
  <c r="Q919" i="1"/>
  <c r="P919" i="1"/>
  <c r="O919" i="1"/>
  <c r="N919" i="1"/>
  <c r="B919" i="1"/>
  <c r="A919" i="1"/>
  <c r="Q918" i="1"/>
  <c r="P918" i="1"/>
  <c r="O918" i="1"/>
  <c r="N918" i="1"/>
  <c r="B918" i="1"/>
  <c r="A918" i="1"/>
  <c r="Q917" i="1"/>
  <c r="P917" i="1"/>
  <c r="O917" i="1"/>
  <c r="N917" i="1"/>
  <c r="B917" i="1"/>
  <c r="A917" i="1"/>
  <c r="P916" i="1"/>
  <c r="O916" i="1"/>
  <c r="N916" i="1"/>
  <c r="B916" i="1"/>
  <c r="A916" i="1"/>
  <c r="Q915" i="1"/>
  <c r="P915" i="1"/>
  <c r="O915" i="1"/>
  <c r="N915" i="1"/>
  <c r="B915" i="1"/>
  <c r="A915" i="1"/>
  <c r="Q914" i="1"/>
  <c r="P914" i="1"/>
  <c r="O914" i="1"/>
  <c r="N914" i="1"/>
  <c r="B914" i="1"/>
  <c r="A914" i="1"/>
  <c r="Q913" i="1"/>
  <c r="P913" i="1"/>
  <c r="O913" i="1"/>
  <c r="N913" i="1"/>
  <c r="B913" i="1"/>
  <c r="A913" i="1"/>
  <c r="Q912" i="1"/>
  <c r="P912" i="1"/>
  <c r="O912" i="1"/>
  <c r="N912" i="1"/>
  <c r="B912" i="1"/>
  <c r="A912" i="1"/>
  <c r="Q911" i="1"/>
  <c r="P911" i="1"/>
  <c r="O911" i="1"/>
  <c r="N911" i="1"/>
  <c r="B911" i="1"/>
  <c r="A911" i="1"/>
  <c r="Q910" i="1"/>
  <c r="P910" i="1"/>
  <c r="O910" i="1"/>
  <c r="N910" i="1"/>
  <c r="B910" i="1"/>
  <c r="A910" i="1"/>
  <c r="Q909" i="1"/>
  <c r="P909" i="1"/>
  <c r="O909" i="1"/>
  <c r="N909" i="1"/>
  <c r="B909" i="1"/>
  <c r="A909" i="1"/>
  <c r="Q908" i="1"/>
  <c r="P908" i="1"/>
  <c r="O908" i="1"/>
  <c r="N908" i="1"/>
  <c r="B908" i="1"/>
  <c r="A908" i="1"/>
  <c r="Q907" i="1"/>
  <c r="P907" i="1"/>
  <c r="O907" i="1"/>
  <c r="N907" i="1"/>
  <c r="B907" i="1"/>
  <c r="A907" i="1"/>
  <c r="Q906" i="1"/>
  <c r="P906" i="1"/>
  <c r="O906" i="1"/>
  <c r="N906" i="1"/>
  <c r="B906" i="1"/>
  <c r="A906" i="1"/>
  <c r="Q905" i="1"/>
  <c r="P905" i="1"/>
  <c r="O905" i="1"/>
  <c r="N905" i="1"/>
  <c r="B905" i="1"/>
  <c r="A905" i="1"/>
  <c r="Q904" i="1"/>
  <c r="P904" i="1"/>
  <c r="O904" i="1"/>
  <c r="N904" i="1"/>
  <c r="B904" i="1"/>
  <c r="A904" i="1"/>
  <c r="Q903" i="1"/>
  <c r="P903" i="1"/>
  <c r="O903" i="1"/>
  <c r="N903" i="1"/>
  <c r="B903" i="1"/>
  <c r="A903" i="1"/>
  <c r="Q902" i="1"/>
  <c r="P902" i="1"/>
  <c r="O902" i="1"/>
  <c r="N902" i="1"/>
  <c r="B902" i="1"/>
  <c r="A902" i="1"/>
  <c r="Q901" i="1"/>
  <c r="P901" i="1"/>
  <c r="O901" i="1"/>
  <c r="N901" i="1"/>
  <c r="B901" i="1"/>
  <c r="A901" i="1"/>
  <c r="Q900" i="1"/>
  <c r="P900" i="1"/>
  <c r="O900" i="1"/>
  <c r="N900" i="1"/>
  <c r="B900" i="1"/>
  <c r="A900" i="1"/>
  <c r="Q899" i="1"/>
  <c r="P899" i="1"/>
  <c r="O899" i="1"/>
  <c r="N899" i="1"/>
  <c r="B899" i="1"/>
  <c r="A899" i="1"/>
  <c r="Q898" i="1"/>
  <c r="P898" i="1"/>
  <c r="O898" i="1"/>
  <c r="N898" i="1"/>
  <c r="B898" i="1"/>
  <c r="A898" i="1"/>
  <c r="Q897" i="1"/>
  <c r="P897" i="1"/>
  <c r="O897" i="1"/>
  <c r="N897" i="1"/>
  <c r="B897" i="1"/>
  <c r="A897" i="1"/>
  <c r="Q896" i="1"/>
  <c r="P896" i="1"/>
  <c r="O896" i="1"/>
  <c r="N896" i="1"/>
  <c r="B896" i="1"/>
  <c r="A896" i="1"/>
  <c r="Q895" i="1"/>
  <c r="P895" i="1"/>
  <c r="O895" i="1"/>
  <c r="N895" i="1"/>
  <c r="B895" i="1"/>
  <c r="A895" i="1"/>
  <c r="Q894" i="1"/>
  <c r="P894" i="1"/>
  <c r="O894" i="1"/>
  <c r="N894" i="1"/>
  <c r="B894" i="1"/>
  <c r="A894" i="1"/>
  <c r="Q893" i="1"/>
  <c r="P893" i="1"/>
  <c r="O893" i="1"/>
  <c r="N893" i="1"/>
  <c r="B893" i="1"/>
  <c r="A893" i="1"/>
  <c r="Q892" i="1"/>
  <c r="P892" i="1"/>
  <c r="O892" i="1"/>
  <c r="N892" i="1"/>
  <c r="B892" i="1"/>
  <c r="A892" i="1"/>
  <c r="Q891" i="1"/>
  <c r="P891" i="1"/>
  <c r="O891" i="1"/>
  <c r="N891" i="1"/>
  <c r="B891" i="1"/>
  <c r="A891" i="1"/>
  <c r="Q890" i="1"/>
  <c r="P890" i="1"/>
  <c r="O890" i="1"/>
  <c r="N890" i="1"/>
  <c r="B890" i="1"/>
  <c r="A890" i="1"/>
  <c r="Q889" i="1"/>
  <c r="P889" i="1"/>
  <c r="O889" i="1"/>
  <c r="N889" i="1"/>
  <c r="B889" i="1"/>
  <c r="A889" i="1"/>
  <c r="Q888" i="1"/>
  <c r="P888" i="1"/>
  <c r="O888" i="1"/>
  <c r="N888" i="1"/>
  <c r="B888" i="1"/>
  <c r="A888" i="1"/>
  <c r="Q887" i="1"/>
  <c r="P887" i="1"/>
  <c r="O887" i="1"/>
  <c r="N887" i="1"/>
  <c r="B887" i="1"/>
  <c r="A887" i="1"/>
  <c r="Q886" i="1"/>
  <c r="P886" i="1"/>
  <c r="O886" i="1"/>
  <c r="N886" i="1"/>
  <c r="B886" i="1"/>
  <c r="A886" i="1"/>
  <c r="Q885" i="1"/>
  <c r="P885" i="1"/>
  <c r="O885" i="1"/>
  <c r="N885" i="1"/>
  <c r="B885" i="1"/>
  <c r="A885" i="1"/>
  <c r="Q884" i="1"/>
  <c r="P884" i="1"/>
  <c r="O884" i="1"/>
  <c r="N884" i="1"/>
  <c r="B884" i="1"/>
  <c r="A884" i="1"/>
  <c r="Q883" i="1"/>
  <c r="P883" i="1"/>
  <c r="O883" i="1"/>
  <c r="N883" i="1"/>
  <c r="B883" i="1"/>
  <c r="A883" i="1"/>
  <c r="Q882" i="1"/>
  <c r="P882" i="1"/>
  <c r="O882" i="1"/>
  <c r="N882" i="1"/>
  <c r="B882" i="1"/>
  <c r="A882" i="1"/>
  <c r="Q881" i="1"/>
  <c r="P881" i="1"/>
  <c r="O881" i="1"/>
  <c r="N881" i="1"/>
  <c r="B881" i="1"/>
  <c r="A881" i="1"/>
  <c r="Q880" i="1"/>
  <c r="P880" i="1"/>
  <c r="O880" i="1"/>
  <c r="N880" i="1"/>
  <c r="B880" i="1"/>
  <c r="A880" i="1"/>
  <c r="Q879" i="1"/>
  <c r="P879" i="1"/>
  <c r="O879" i="1"/>
  <c r="N879" i="1"/>
  <c r="B879" i="1"/>
  <c r="A879" i="1"/>
  <c r="Q878" i="1"/>
  <c r="P878" i="1"/>
  <c r="O878" i="1"/>
  <c r="N878" i="1"/>
  <c r="B878" i="1"/>
  <c r="A878" i="1"/>
  <c r="Q877" i="1"/>
  <c r="P877" i="1"/>
  <c r="O877" i="1"/>
  <c r="N877" i="1"/>
  <c r="B877" i="1"/>
  <c r="A877" i="1"/>
  <c r="Q876" i="1"/>
  <c r="P876" i="1"/>
  <c r="O876" i="1"/>
  <c r="N876" i="1"/>
  <c r="B876" i="1"/>
  <c r="A876" i="1"/>
  <c r="Q875" i="1"/>
  <c r="P875" i="1"/>
  <c r="O875" i="1"/>
  <c r="N875" i="1"/>
  <c r="B875" i="1"/>
  <c r="A875" i="1"/>
  <c r="Q874" i="1"/>
  <c r="P874" i="1"/>
  <c r="O874" i="1"/>
  <c r="N874" i="1"/>
  <c r="B874" i="1"/>
  <c r="A874" i="1"/>
  <c r="Q873" i="1"/>
  <c r="P873" i="1"/>
  <c r="O873" i="1"/>
  <c r="N873" i="1"/>
  <c r="B873" i="1"/>
  <c r="A873" i="1"/>
  <c r="Q872" i="1"/>
  <c r="P872" i="1"/>
  <c r="O872" i="1"/>
  <c r="N872" i="1"/>
  <c r="B872" i="1"/>
  <c r="A872" i="1"/>
  <c r="Q871" i="1"/>
  <c r="P871" i="1"/>
  <c r="O871" i="1"/>
  <c r="N871" i="1"/>
  <c r="B871" i="1"/>
  <c r="A871" i="1"/>
  <c r="Q870" i="1"/>
  <c r="P870" i="1"/>
  <c r="O870" i="1"/>
  <c r="N870" i="1"/>
  <c r="B870" i="1"/>
  <c r="A870" i="1"/>
  <c r="Q869" i="1"/>
  <c r="P869" i="1"/>
  <c r="O869" i="1"/>
  <c r="N869" i="1"/>
  <c r="B869" i="1"/>
  <c r="A869" i="1"/>
  <c r="Q868" i="1"/>
  <c r="P868" i="1"/>
  <c r="O868" i="1"/>
  <c r="N868" i="1"/>
  <c r="B868" i="1"/>
  <c r="A868" i="1"/>
  <c r="Q867" i="1"/>
  <c r="P867" i="1"/>
  <c r="O867" i="1"/>
  <c r="N867" i="1"/>
  <c r="B867" i="1"/>
  <c r="A867" i="1"/>
  <c r="Q866" i="1"/>
  <c r="P866" i="1"/>
  <c r="O866" i="1"/>
  <c r="N866" i="1"/>
  <c r="B866" i="1"/>
  <c r="A866" i="1"/>
  <c r="Q865" i="1"/>
  <c r="P865" i="1"/>
  <c r="O865" i="1"/>
  <c r="N865" i="1"/>
  <c r="B865" i="1"/>
  <c r="A865" i="1"/>
  <c r="Q864" i="1"/>
  <c r="P864" i="1"/>
  <c r="O864" i="1"/>
  <c r="N864" i="1"/>
  <c r="B864" i="1"/>
  <c r="A864" i="1"/>
  <c r="Q863" i="1"/>
  <c r="P863" i="1"/>
  <c r="O863" i="1"/>
  <c r="N863" i="1"/>
  <c r="B863" i="1"/>
  <c r="A863" i="1"/>
  <c r="Q862" i="1"/>
  <c r="P862" i="1"/>
  <c r="O862" i="1"/>
  <c r="N862" i="1"/>
  <c r="B862" i="1"/>
  <c r="A862" i="1"/>
  <c r="Q861" i="1"/>
  <c r="P861" i="1"/>
  <c r="O861" i="1"/>
  <c r="N861" i="1"/>
  <c r="B861" i="1"/>
  <c r="A861" i="1"/>
  <c r="Q860" i="1"/>
  <c r="P860" i="1"/>
  <c r="O860" i="1"/>
  <c r="N860" i="1"/>
  <c r="B860" i="1"/>
  <c r="A860" i="1"/>
  <c r="Q859" i="1"/>
  <c r="P859" i="1"/>
  <c r="O859" i="1"/>
  <c r="N859" i="1"/>
  <c r="B859" i="1"/>
  <c r="A859" i="1"/>
  <c r="Q858" i="1"/>
  <c r="P858" i="1"/>
  <c r="O858" i="1"/>
  <c r="N858" i="1"/>
  <c r="B858" i="1"/>
  <c r="A858" i="1"/>
  <c r="Q857" i="1"/>
  <c r="P857" i="1"/>
  <c r="O857" i="1"/>
  <c r="N857" i="1"/>
  <c r="B857" i="1"/>
  <c r="A857" i="1"/>
  <c r="Q856" i="1"/>
  <c r="P856" i="1"/>
  <c r="O856" i="1"/>
  <c r="N856" i="1"/>
  <c r="B856" i="1"/>
  <c r="A856" i="1"/>
  <c r="Q855" i="1"/>
  <c r="P855" i="1"/>
  <c r="O855" i="1"/>
  <c r="N855" i="1"/>
  <c r="B855" i="1"/>
  <c r="A855" i="1"/>
  <c r="Q854" i="1"/>
  <c r="P854" i="1"/>
  <c r="O854" i="1"/>
  <c r="N854" i="1"/>
  <c r="B854" i="1"/>
  <c r="A854" i="1"/>
  <c r="Q853" i="1"/>
  <c r="P853" i="1"/>
  <c r="O853" i="1"/>
  <c r="N853" i="1"/>
  <c r="B853" i="1"/>
  <c r="A853" i="1"/>
  <c r="Q852" i="1"/>
  <c r="P852" i="1"/>
  <c r="O852" i="1"/>
  <c r="N852" i="1"/>
  <c r="B852" i="1"/>
  <c r="A852" i="1"/>
  <c r="Q851" i="1"/>
  <c r="P851" i="1"/>
  <c r="O851" i="1"/>
  <c r="N851" i="1"/>
  <c r="B851" i="1"/>
  <c r="A851" i="1"/>
  <c r="Q850" i="1"/>
  <c r="P850" i="1"/>
  <c r="O850" i="1"/>
  <c r="N850" i="1"/>
  <c r="B850" i="1"/>
  <c r="A850" i="1"/>
  <c r="Q849" i="1"/>
  <c r="P849" i="1"/>
  <c r="O849" i="1"/>
  <c r="N849" i="1"/>
  <c r="B849" i="1"/>
  <c r="A849" i="1"/>
  <c r="Q848" i="1"/>
  <c r="P848" i="1"/>
  <c r="O848" i="1"/>
  <c r="N848" i="1"/>
  <c r="B848" i="1"/>
  <c r="A848" i="1"/>
  <c r="Q847" i="1"/>
  <c r="P847" i="1"/>
  <c r="O847" i="1"/>
  <c r="N847" i="1"/>
  <c r="B847" i="1"/>
  <c r="A847" i="1"/>
  <c r="Q846" i="1"/>
  <c r="P846" i="1"/>
  <c r="O846" i="1"/>
  <c r="N846" i="1"/>
  <c r="B846" i="1"/>
  <c r="A846" i="1"/>
  <c r="Q845" i="1"/>
  <c r="P845" i="1"/>
  <c r="O845" i="1"/>
  <c r="N845" i="1"/>
  <c r="B845" i="1"/>
  <c r="A845" i="1"/>
  <c r="Q844" i="1"/>
  <c r="P844" i="1"/>
  <c r="O844" i="1"/>
  <c r="N844" i="1"/>
  <c r="B844" i="1"/>
  <c r="A844" i="1"/>
  <c r="Q843" i="1"/>
  <c r="P843" i="1"/>
  <c r="O843" i="1"/>
  <c r="N843" i="1"/>
  <c r="B843" i="1"/>
  <c r="A843" i="1"/>
  <c r="Q842" i="1"/>
  <c r="P842" i="1"/>
  <c r="O842" i="1"/>
  <c r="N842" i="1"/>
  <c r="B842" i="1"/>
  <c r="A842" i="1"/>
  <c r="Q841" i="1"/>
  <c r="P841" i="1"/>
  <c r="O841" i="1"/>
  <c r="N841" i="1"/>
  <c r="B841" i="1"/>
  <c r="A841" i="1"/>
  <c r="Q840" i="1"/>
  <c r="P840" i="1"/>
  <c r="O840" i="1"/>
  <c r="N840" i="1"/>
  <c r="B840" i="1"/>
  <c r="A840" i="1"/>
  <c r="Q839" i="1"/>
  <c r="P839" i="1"/>
  <c r="O839" i="1"/>
  <c r="N839" i="1"/>
  <c r="B839" i="1"/>
  <c r="A839" i="1"/>
  <c r="Q838" i="1"/>
  <c r="P838" i="1"/>
  <c r="O838" i="1"/>
  <c r="N838" i="1"/>
  <c r="B838" i="1"/>
  <c r="A838" i="1"/>
  <c r="Q837" i="1"/>
  <c r="P837" i="1"/>
  <c r="O837" i="1"/>
  <c r="N837" i="1"/>
  <c r="B837" i="1"/>
  <c r="A837" i="1"/>
  <c r="Q836" i="1"/>
  <c r="P836" i="1"/>
  <c r="O836" i="1"/>
  <c r="N836" i="1"/>
  <c r="B836" i="1"/>
  <c r="A836" i="1"/>
  <c r="Q835" i="1"/>
  <c r="P835" i="1"/>
  <c r="O835" i="1"/>
  <c r="N835" i="1"/>
  <c r="B835" i="1"/>
  <c r="A835" i="1"/>
  <c r="Q834" i="1"/>
  <c r="P834" i="1"/>
  <c r="O834" i="1"/>
  <c r="N834" i="1"/>
  <c r="B834" i="1"/>
  <c r="A834" i="1"/>
  <c r="Q833" i="1"/>
  <c r="P833" i="1"/>
  <c r="O833" i="1"/>
  <c r="N833" i="1"/>
  <c r="B833" i="1"/>
  <c r="A833" i="1"/>
  <c r="Q832" i="1"/>
  <c r="P832" i="1"/>
  <c r="O832" i="1"/>
  <c r="N832" i="1"/>
  <c r="B832" i="1"/>
  <c r="A832" i="1"/>
  <c r="Q831" i="1"/>
  <c r="P831" i="1"/>
  <c r="O831" i="1"/>
  <c r="N831" i="1"/>
  <c r="B831" i="1"/>
  <c r="A831" i="1"/>
  <c r="Q830" i="1"/>
  <c r="P830" i="1"/>
  <c r="O830" i="1"/>
  <c r="N830" i="1"/>
  <c r="B830" i="1"/>
  <c r="A830" i="1"/>
  <c r="Q829" i="1"/>
  <c r="P829" i="1"/>
  <c r="O829" i="1"/>
  <c r="N829" i="1"/>
  <c r="B829" i="1"/>
  <c r="A829" i="1"/>
  <c r="Q828" i="1"/>
  <c r="P828" i="1"/>
  <c r="O828" i="1"/>
  <c r="N828" i="1"/>
  <c r="B828" i="1"/>
  <c r="A828" i="1"/>
  <c r="Q827" i="1"/>
  <c r="P827" i="1"/>
  <c r="O827" i="1"/>
  <c r="N827" i="1"/>
  <c r="B827" i="1"/>
  <c r="A827" i="1"/>
  <c r="Q826" i="1"/>
  <c r="P826" i="1"/>
  <c r="O826" i="1"/>
  <c r="N826" i="1"/>
  <c r="B826" i="1"/>
  <c r="A826" i="1"/>
  <c r="Q825" i="1"/>
  <c r="P825" i="1"/>
  <c r="O825" i="1"/>
  <c r="N825" i="1"/>
  <c r="B825" i="1"/>
  <c r="A825" i="1"/>
  <c r="Q824" i="1"/>
  <c r="P824" i="1"/>
  <c r="O824" i="1"/>
  <c r="N824" i="1"/>
  <c r="B824" i="1"/>
  <c r="A824" i="1"/>
  <c r="Q823" i="1"/>
  <c r="P823" i="1"/>
  <c r="O823" i="1"/>
  <c r="N823" i="1"/>
  <c r="B823" i="1"/>
  <c r="A823" i="1"/>
  <c r="Q822" i="1"/>
  <c r="P822" i="1"/>
  <c r="O822" i="1"/>
  <c r="N822" i="1"/>
  <c r="B822" i="1"/>
  <c r="A822" i="1"/>
  <c r="Q821" i="1"/>
  <c r="P821" i="1"/>
  <c r="O821" i="1"/>
  <c r="N821" i="1"/>
  <c r="B821" i="1"/>
  <c r="A821" i="1"/>
  <c r="Q820" i="1"/>
  <c r="P820" i="1"/>
  <c r="O820" i="1"/>
  <c r="N820" i="1"/>
  <c r="B820" i="1"/>
  <c r="A820" i="1"/>
  <c r="Q819" i="1"/>
  <c r="P819" i="1"/>
  <c r="O819" i="1"/>
  <c r="N819" i="1"/>
  <c r="B819" i="1"/>
  <c r="A819" i="1"/>
  <c r="Q818" i="1"/>
  <c r="P818" i="1"/>
  <c r="O818" i="1"/>
  <c r="N818" i="1"/>
  <c r="B818" i="1"/>
  <c r="A818" i="1"/>
  <c r="Q817" i="1"/>
  <c r="P817" i="1"/>
  <c r="O817" i="1"/>
  <c r="N817" i="1"/>
  <c r="B817" i="1"/>
  <c r="A817" i="1"/>
  <c r="Q816" i="1"/>
  <c r="P816" i="1"/>
  <c r="O816" i="1"/>
  <c r="N816" i="1"/>
  <c r="B816" i="1"/>
  <c r="A816" i="1"/>
  <c r="Q815" i="1"/>
  <c r="P815" i="1"/>
  <c r="O815" i="1"/>
  <c r="N815" i="1"/>
  <c r="B815" i="1"/>
  <c r="A815" i="1"/>
  <c r="Q814" i="1"/>
  <c r="P814" i="1"/>
  <c r="O814" i="1"/>
  <c r="N814" i="1"/>
  <c r="B814" i="1"/>
  <c r="A814" i="1"/>
  <c r="Q813" i="1"/>
  <c r="P813" i="1"/>
  <c r="O813" i="1"/>
  <c r="N813" i="1"/>
  <c r="B813" i="1"/>
  <c r="A813" i="1"/>
  <c r="Q812" i="1"/>
  <c r="P812" i="1"/>
  <c r="O812" i="1"/>
  <c r="N812" i="1"/>
  <c r="B812" i="1"/>
  <c r="A812" i="1"/>
  <c r="Q811" i="1"/>
  <c r="P811" i="1"/>
  <c r="O811" i="1"/>
  <c r="N811" i="1"/>
  <c r="B811" i="1"/>
  <c r="A811" i="1"/>
  <c r="Q810" i="1"/>
  <c r="P810" i="1"/>
  <c r="O810" i="1"/>
  <c r="N810" i="1"/>
  <c r="B810" i="1"/>
  <c r="A810" i="1"/>
  <c r="Q809" i="1"/>
  <c r="P809" i="1"/>
  <c r="O809" i="1"/>
  <c r="N809" i="1"/>
  <c r="B809" i="1"/>
  <c r="A809" i="1"/>
  <c r="Q808" i="1"/>
  <c r="P808" i="1"/>
  <c r="O808" i="1"/>
  <c r="N808" i="1"/>
  <c r="B808" i="1"/>
  <c r="A808" i="1"/>
  <c r="Q807" i="1"/>
  <c r="P807" i="1"/>
  <c r="O807" i="1"/>
  <c r="N807" i="1"/>
  <c r="B807" i="1"/>
  <c r="A807" i="1"/>
  <c r="Q806" i="1"/>
  <c r="P806" i="1"/>
  <c r="O806" i="1"/>
  <c r="N806" i="1"/>
  <c r="B806" i="1"/>
  <c r="A806" i="1"/>
  <c r="Q805" i="1"/>
  <c r="P805" i="1"/>
  <c r="O805" i="1"/>
  <c r="N805" i="1"/>
  <c r="B805" i="1"/>
  <c r="A805" i="1"/>
  <c r="Q804" i="1"/>
  <c r="P804" i="1"/>
  <c r="O804" i="1"/>
  <c r="N804" i="1"/>
  <c r="B804" i="1"/>
  <c r="A804" i="1"/>
  <c r="Q803" i="1"/>
  <c r="P803" i="1"/>
  <c r="O803" i="1"/>
  <c r="N803" i="1"/>
  <c r="B803" i="1"/>
  <c r="A803" i="1"/>
  <c r="Q802" i="1"/>
  <c r="P802" i="1"/>
  <c r="O802" i="1"/>
  <c r="N802" i="1"/>
  <c r="B802" i="1"/>
  <c r="A802" i="1"/>
  <c r="Q801" i="1"/>
  <c r="P801" i="1"/>
  <c r="O801" i="1"/>
  <c r="N801" i="1"/>
  <c r="B801" i="1"/>
  <c r="A801" i="1"/>
  <c r="Q800" i="1"/>
  <c r="P800" i="1"/>
  <c r="O800" i="1"/>
  <c r="N800" i="1"/>
  <c r="B800" i="1"/>
  <c r="A800" i="1"/>
  <c r="Q799" i="1"/>
  <c r="P799" i="1"/>
  <c r="O799" i="1"/>
  <c r="N799" i="1"/>
  <c r="B799" i="1"/>
  <c r="A799" i="1"/>
  <c r="Q798" i="1"/>
  <c r="P798" i="1"/>
  <c r="O798" i="1"/>
  <c r="N798" i="1"/>
  <c r="B798" i="1"/>
  <c r="A798" i="1"/>
  <c r="Q797" i="1"/>
  <c r="P797" i="1"/>
  <c r="O797" i="1"/>
  <c r="N797" i="1"/>
  <c r="B797" i="1"/>
  <c r="A797" i="1"/>
  <c r="Q796" i="1"/>
  <c r="P796" i="1"/>
  <c r="O796" i="1"/>
  <c r="N796" i="1"/>
  <c r="B796" i="1"/>
  <c r="A796" i="1"/>
  <c r="Q795" i="1"/>
  <c r="P795" i="1"/>
  <c r="O795" i="1"/>
  <c r="N795" i="1"/>
  <c r="B795" i="1"/>
  <c r="A795" i="1"/>
  <c r="Q794" i="1"/>
  <c r="P794" i="1"/>
  <c r="O794" i="1"/>
  <c r="N794" i="1"/>
  <c r="B794" i="1"/>
  <c r="A794" i="1"/>
  <c r="Q793" i="1"/>
  <c r="P793" i="1"/>
  <c r="O793" i="1"/>
  <c r="N793" i="1"/>
  <c r="B793" i="1"/>
  <c r="A793" i="1"/>
  <c r="Q792" i="1"/>
  <c r="P792" i="1"/>
  <c r="O792" i="1"/>
  <c r="N792" i="1"/>
  <c r="B792" i="1"/>
  <c r="A792" i="1"/>
  <c r="Q791" i="1"/>
  <c r="P791" i="1"/>
  <c r="O791" i="1"/>
  <c r="N791" i="1"/>
  <c r="B791" i="1"/>
  <c r="A791" i="1"/>
  <c r="Q790" i="1"/>
  <c r="P790" i="1"/>
  <c r="O790" i="1"/>
  <c r="N790" i="1"/>
  <c r="B790" i="1"/>
  <c r="A790" i="1"/>
  <c r="Q789" i="1"/>
  <c r="P789" i="1"/>
  <c r="O789" i="1"/>
  <c r="N789" i="1"/>
  <c r="B789" i="1"/>
  <c r="A789" i="1"/>
  <c r="Q788" i="1"/>
  <c r="P788" i="1"/>
  <c r="O788" i="1"/>
  <c r="N788" i="1"/>
  <c r="B788" i="1"/>
  <c r="A788" i="1"/>
  <c r="Q787" i="1"/>
  <c r="P787" i="1"/>
  <c r="O787" i="1"/>
  <c r="N787" i="1"/>
  <c r="B787" i="1"/>
  <c r="A787" i="1"/>
  <c r="Q786" i="1"/>
  <c r="P786" i="1"/>
  <c r="O786" i="1"/>
  <c r="N786" i="1"/>
  <c r="B786" i="1"/>
  <c r="A786" i="1"/>
  <c r="Q785" i="1"/>
  <c r="P785" i="1"/>
  <c r="O785" i="1"/>
  <c r="N785" i="1"/>
  <c r="B785" i="1"/>
  <c r="A785" i="1"/>
  <c r="Q784" i="1"/>
  <c r="P784" i="1"/>
  <c r="O784" i="1"/>
  <c r="N784" i="1"/>
  <c r="B784" i="1"/>
  <c r="A784" i="1"/>
  <c r="Q783" i="1"/>
  <c r="P783" i="1"/>
  <c r="O783" i="1"/>
  <c r="N783" i="1"/>
  <c r="B783" i="1"/>
  <c r="A783" i="1"/>
  <c r="Q782" i="1"/>
  <c r="P782" i="1"/>
  <c r="O782" i="1"/>
  <c r="N782" i="1"/>
  <c r="B782" i="1"/>
  <c r="A782" i="1"/>
  <c r="Q781" i="1"/>
  <c r="P781" i="1"/>
  <c r="O781" i="1"/>
  <c r="N781" i="1"/>
  <c r="B781" i="1"/>
  <c r="A781" i="1"/>
  <c r="Q780" i="1"/>
  <c r="P780" i="1"/>
  <c r="O780" i="1"/>
  <c r="N780" i="1"/>
  <c r="B780" i="1"/>
  <c r="A780" i="1"/>
  <c r="Q779" i="1"/>
  <c r="P779" i="1"/>
  <c r="O779" i="1"/>
  <c r="N779" i="1"/>
  <c r="B779" i="1"/>
  <c r="A779" i="1"/>
  <c r="Q778" i="1"/>
  <c r="P778" i="1"/>
  <c r="O778" i="1"/>
  <c r="N778" i="1"/>
  <c r="B778" i="1"/>
  <c r="A778" i="1"/>
  <c r="Q777" i="1"/>
  <c r="P777" i="1"/>
  <c r="O777" i="1"/>
  <c r="N777" i="1"/>
  <c r="B777" i="1"/>
  <c r="A777" i="1"/>
  <c r="Q776" i="1"/>
  <c r="P776" i="1"/>
  <c r="O776" i="1"/>
  <c r="N776" i="1"/>
  <c r="B776" i="1"/>
  <c r="A776" i="1"/>
  <c r="Q775" i="1"/>
  <c r="P775" i="1"/>
  <c r="O775" i="1"/>
  <c r="N775" i="1"/>
  <c r="B775" i="1"/>
  <c r="A775" i="1"/>
  <c r="Q774" i="1"/>
  <c r="P774" i="1"/>
  <c r="O774" i="1"/>
  <c r="N774" i="1"/>
  <c r="B774" i="1"/>
  <c r="A774" i="1"/>
  <c r="Q773" i="1"/>
  <c r="P773" i="1"/>
  <c r="O773" i="1"/>
  <c r="N773" i="1"/>
  <c r="B773" i="1"/>
  <c r="A773" i="1"/>
  <c r="Q772" i="1"/>
  <c r="P772" i="1"/>
  <c r="O772" i="1"/>
  <c r="N772" i="1"/>
  <c r="B772" i="1"/>
  <c r="A772" i="1"/>
  <c r="Q771" i="1"/>
  <c r="P771" i="1"/>
  <c r="O771" i="1"/>
  <c r="N771" i="1"/>
  <c r="B771" i="1"/>
  <c r="A771" i="1"/>
  <c r="Q770" i="1"/>
  <c r="P770" i="1"/>
  <c r="O770" i="1"/>
  <c r="N770" i="1"/>
  <c r="B770" i="1"/>
  <c r="A770" i="1"/>
  <c r="Q769" i="1"/>
  <c r="P769" i="1"/>
  <c r="O769" i="1"/>
  <c r="N769" i="1"/>
  <c r="B769" i="1"/>
  <c r="A769" i="1"/>
  <c r="Q768" i="1"/>
  <c r="P768" i="1"/>
  <c r="O768" i="1"/>
  <c r="N768" i="1"/>
  <c r="B768" i="1"/>
  <c r="A768" i="1"/>
  <c r="Q767" i="1"/>
  <c r="P767" i="1"/>
  <c r="O767" i="1"/>
  <c r="N767" i="1"/>
  <c r="B767" i="1"/>
  <c r="A767" i="1"/>
  <c r="Q766" i="1"/>
  <c r="P766" i="1"/>
  <c r="O766" i="1"/>
  <c r="N766" i="1"/>
  <c r="B766" i="1"/>
  <c r="A766" i="1"/>
  <c r="Q765" i="1"/>
  <c r="P765" i="1"/>
  <c r="O765" i="1"/>
  <c r="N765" i="1"/>
  <c r="B765" i="1"/>
  <c r="A765" i="1"/>
  <c r="Q764" i="1"/>
  <c r="P764" i="1"/>
  <c r="O764" i="1"/>
  <c r="N764" i="1"/>
  <c r="B764" i="1"/>
  <c r="A764" i="1"/>
  <c r="Q763" i="1"/>
  <c r="P763" i="1"/>
  <c r="O763" i="1"/>
  <c r="N763" i="1"/>
  <c r="B763" i="1"/>
  <c r="A763" i="1"/>
  <c r="Q762" i="1"/>
  <c r="P762" i="1"/>
  <c r="O762" i="1"/>
  <c r="N762" i="1"/>
  <c r="B762" i="1"/>
  <c r="A762" i="1"/>
  <c r="Q761" i="1"/>
  <c r="P761" i="1"/>
  <c r="O761" i="1"/>
  <c r="N761" i="1"/>
  <c r="B761" i="1"/>
  <c r="A761" i="1"/>
  <c r="Q760" i="1"/>
  <c r="P760" i="1"/>
  <c r="O760" i="1"/>
  <c r="N760" i="1"/>
  <c r="B760" i="1"/>
  <c r="A760" i="1"/>
  <c r="Q759" i="1"/>
  <c r="P759" i="1"/>
  <c r="O759" i="1"/>
  <c r="N759" i="1"/>
  <c r="B759" i="1"/>
  <c r="A759" i="1"/>
  <c r="Q758" i="1"/>
  <c r="P758" i="1"/>
  <c r="O758" i="1"/>
  <c r="N758" i="1"/>
  <c r="B758" i="1"/>
  <c r="A758" i="1"/>
  <c r="Q757" i="1"/>
  <c r="P757" i="1"/>
  <c r="O757" i="1"/>
  <c r="N757" i="1"/>
  <c r="B757" i="1"/>
  <c r="A757" i="1"/>
  <c r="Q756" i="1"/>
  <c r="P756" i="1"/>
  <c r="O756" i="1"/>
  <c r="N756" i="1"/>
  <c r="B756" i="1"/>
  <c r="A756" i="1"/>
  <c r="Q755" i="1"/>
  <c r="P755" i="1"/>
  <c r="O755" i="1"/>
  <c r="N755" i="1"/>
  <c r="B755" i="1"/>
  <c r="A755" i="1"/>
  <c r="Q754" i="1"/>
  <c r="P754" i="1"/>
  <c r="O754" i="1"/>
  <c r="N754" i="1"/>
  <c r="B754" i="1"/>
  <c r="A754" i="1"/>
  <c r="Q753" i="1"/>
  <c r="P753" i="1"/>
  <c r="O753" i="1"/>
  <c r="N753" i="1"/>
  <c r="B753" i="1"/>
  <c r="A753" i="1"/>
  <c r="Q752" i="1"/>
  <c r="P752" i="1"/>
  <c r="O752" i="1"/>
  <c r="N752" i="1"/>
  <c r="B752" i="1"/>
  <c r="A752" i="1"/>
  <c r="Q751" i="1"/>
  <c r="P751" i="1"/>
  <c r="O751" i="1"/>
  <c r="N751" i="1"/>
  <c r="B751" i="1"/>
  <c r="A751" i="1"/>
  <c r="Q750" i="1"/>
  <c r="P750" i="1"/>
  <c r="O750" i="1"/>
  <c r="N750" i="1"/>
  <c r="B750" i="1"/>
  <c r="A750" i="1"/>
  <c r="Q749" i="1"/>
  <c r="P749" i="1"/>
  <c r="O749" i="1"/>
  <c r="N749" i="1"/>
  <c r="B749" i="1"/>
  <c r="A749" i="1"/>
  <c r="Q748" i="1"/>
  <c r="P748" i="1"/>
  <c r="O748" i="1"/>
  <c r="N748" i="1"/>
  <c r="B748" i="1"/>
  <c r="A748" i="1"/>
  <c r="Q747" i="1"/>
  <c r="P747" i="1"/>
  <c r="O747" i="1"/>
  <c r="N747" i="1"/>
  <c r="B747" i="1"/>
  <c r="A747" i="1"/>
  <c r="Q746" i="1"/>
  <c r="P746" i="1"/>
  <c r="O746" i="1"/>
  <c r="N746" i="1"/>
  <c r="B746" i="1"/>
  <c r="A746" i="1"/>
  <c r="Q745" i="1"/>
  <c r="P745" i="1"/>
  <c r="O745" i="1"/>
  <c r="N745" i="1"/>
  <c r="B745" i="1"/>
  <c r="A745" i="1"/>
  <c r="Q744" i="1"/>
  <c r="P744" i="1"/>
  <c r="O744" i="1"/>
  <c r="N744" i="1"/>
  <c r="B744" i="1"/>
  <c r="A744" i="1"/>
  <c r="Q743" i="1"/>
  <c r="P743" i="1"/>
  <c r="O743" i="1"/>
  <c r="N743" i="1"/>
  <c r="B743" i="1"/>
  <c r="A743" i="1"/>
  <c r="Q742" i="1"/>
  <c r="P742" i="1"/>
  <c r="O742" i="1"/>
  <c r="N742" i="1"/>
  <c r="B742" i="1"/>
  <c r="A742" i="1"/>
  <c r="Q741" i="1"/>
  <c r="P741" i="1"/>
  <c r="O741" i="1"/>
  <c r="N741" i="1"/>
  <c r="B741" i="1"/>
  <c r="A741" i="1"/>
  <c r="Q740" i="1"/>
  <c r="P740" i="1"/>
  <c r="O740" i="1"/>
  <c r="N740" i="1"/>
  <c r="B740" i="1"/>
  <c r="A740" i="1"/>
  <c r="Q739" i="1"/>
  <c r="P739" i="1"/>
  <c r="O739" i="1"/>
  <c r="N739" i="1"/>
  <c r="B739" i="1"/>
  <c r="A739" i="1"/>
  <c r="Q738" i="1"/>
  <c r="P738" i="1"/>
  <c r="O738" i="1"/>
  <c r="N738" i="1"/>
  <c r="B738" i="1"/>
  <c r="A738" i="1"/>
  <c r="Q737" i="1"/>
  <c r="P737" i="1"/>
  <c r="O737" i="1"/>
  <c r="N737" i="1"/>
  <c r="B737" i="1"/>
  <c r="A737" i="1"/>
  <c r="Q736" i="1"/>
  <c r="P736" i="1"/>
  <c r="O736" i="1"/>
  <c r="N736" i="1"/>
  <c r="B736" i="1"/>
  <c r="A736" i="1"/>
  <c r="Q735" i="1"/>
  <c r="P735" i="1"/>
  <c r="O735" i="1"/>
  <c r="N735" i="1"/>
  <c r="B735" i="1"/>
  <c r="A735" i="1"/>
  <c r="Q734" i="1"/>
  <c r="P734" i="1"/>
  <c r="O734" i="1"/>
  <c r="N734" i="1"/>
  <c r="B734" i="1"/>
  <c r="A734" i="1"/>
  <c r="Q733" i="1"/>
  <c r="P733" i="1"/>
  <c r="O733" i="1"/>
  <c r="N733" i="1"/>
  <c r="B733" i="1"/>
  <c r="A733" i="1"/>
  <c r="Q732" i="1"/>
  <c r="P732" i="1"/>
  <c r="O732" i="1"/>
  <c r="N732" i="1"/>
  <c r="B732" i="1"/>
  <c r="A732" i="1"/>
  <c r="Q731" i="1"/>
  <c r="P731" i="1"/>
  <c r="O731" i="1"/>
  <c r="N731" i="1"/>
  <c r="B731" i="1"/>
  <c r="A731" i="1"/>
  <c r="Q730" i="1"/>
  <c r="P730" i="1"/>
  <c r="O730" i="1"/>
  <c r="N730" i="1"/>
  <c r="B730" i="1"/>
  <c r="A730" i="1"/>
  <c r="Q729" i="1"/>
  <c r="P729" i="1"/>
  <c r="O729" i="1"/>
  <c r="N729" i="1"/>
  <c r="B729" i="1"/>
  <c r="A729" i="1"/>
  <c r="Q728" i="1"/>
  <c r="P728" i="1"/>
  <c r="O728" i="1"/>
  <c r="N728" i="1"/>
  <c r="B728" i="1"/>
  <c r="A728" i="1"/>
  <c r="Q727" i="1"/>
  <c r="P727" i="1"/>
  <c r="O727" i="1"/>
  <c r="N727" i="1"/>
  <c r="B727" i="1"/>
  <c r="A727" i="1"/>
  <c r="Q726" i="1"/>
  <c r="P726" i="1"/>
  <c r="O726" i="1"/>
  <c r="N726" i="1"/>
  <c r="B726" i="1"/>
  <c r="A726" i="1"/>
  <c r="Q725" i="1"/>
  <c r="P725" i="1"/>
  <c r="O725" i="1"/>
  <c r="N725" i="1"/>
  <c r="B725" i="1"/>
  <c r="A725" i="1"/>
  <c r="Q724" i="1"/>
  <c r="P724" i="1"/>
  <c r="O724" i="1"/>
  <c r="N724" i="1"/>
  <c r="B724" i="1"/>
  <c r="A724" i="1"/>
  <c r="Q723" i="1"/>
  <c r="P723" i="1"/>
  <c r="O723" i="1"/>
  <c r="N723" i="1"/>
  <c r="B723" i="1"/>
  <c r="A723" i="1"/>
  <c r="Q722" i="1"/>
  <c r="P722" i="1"/>
  <c r="O722" i="1"/>
  <c r="N722" i="1"/>
  <c r="B722" i="1"/>
  <c r="A722" i="1"/>
  <c r="Q721" i="1"/>
  <c r="P721" i="1"/>
  <c r="O721" i="1"/>
  <c r="N721" i="1"/>
  <c r="B721" i="1"/>
  <c r="A721" i="1"/>
  <c r="Q720" i="1"/>
  <c r="P720" i="1"/>
  <c r="O720" i="1"/>
  <c r="N720" i="1"/>
  <c r="B720" i="1"/>
  <c r="A720" i="1"/>
  <c r="Q719" i="1"/>
  <c r="P719" i="1"/>
  <c r="O719" i="1"/>
  <c r="N719" i="1"/>
  <c r="B719" i="1"/>
  <c r="A719" i="1"/>
  <c r="Q718" i="1"/>
  <c r="P718" i="1"/>
  <c r="O718" i="1"/>
  <c r="N718" i="1"/>
  <c r="B718" i="1"/>
  <c r="A718" i="1"/>
  <c r="Q717" i="1"/>
  <c r="P717" i="1"/>
  <c r="O717" i="1"/>
  <c r="N717" i="1"/>
  <c r="B717" i="1"/>
  <c r="A717" i="1"/>
  <c r="Q716" i="1"/>
  <c r="P716" i="1"/>
  <c r="O716" i="1"/>
  <c r="N716" i="1"/>
  <c r="B716" i="1"/>
  <c r="A716" i="1"/>
  <c r="Q715" i="1"/>
  <c r="P715" i="1"/>
  <c r="O715" i="1"/>
  <c r="N715" i="1"/>
  <c r="B715" i="1"/>
  <c r="A715" i="1"/>
  <c r="Q714" i="1"/>
  <c r="P714" i="1"/>
  <c r="O714" i="1"/>
  <c r="N714" i="1"/>
  <c r="B714" i="1"/>
  <c r="A714" i="1"/>
  <c r="Q713" i="1"/>
  <c r="P713" i="1"/>
  <c r="O713" i="1"/>
  <c r="N713" i="1"/>
  <c r="B713" i="1"/>
  <c r="A713" i="1"/>
  <c r="Q712" i="1"/>
  <c r="P712" i="1"/>
  <c r="O712" i="1"/>
  <c r="N712" i="1"/>
  <c r="B712" i="1"/>
  <c r="A712" i="1"/>
  <c r="Q711" i="1"/>
  <c r="P711" i="1"/>
  <c r="O711" i="1"/>
  <c r="N711" i="1"/>
  <c r="B711" i="1"/>
  <c r="A711" i="1"/>
  <c r="Q710" i="1"/>
  <c r="P710" i="1"/>
  <c r="O710" i="1"/>
  <c r="N710" i="1"/>
  <c r="B710" i="1"/>
  <c r="A710" i="1"/>
  <c r="Q709" i="1"/>
  <c r="P709" i="1"/>
  <c r="O709" i="1"/>
  <c r="N709" i="1"/>
  <c r="B709" i="1"/>
  <c r="A709" i="1"/>
  <c r="Q708" i="1"/>
  <c r="P708" i="1"/>
  <c r="O708" i="1"/>
  <c r="N708" i="1"/>
  <c r="B708" i="1"/>
  <c r="A708" i="1"/>
  <c r="Q707" i="1"/>
  <c r="P707" i="1"/>
  <c r="O707" i="1"/>
  <c r="N707" i="1"/>
  <c r="B707" i="1"/>
  <c r="A707" i="1"/>
  <c r="Q706" i="1"/>
  <c r="P706" i="1"/>
  <c r="O706" i="1"/>
  <c r="N706" i="1"/>
  <c r="B706" i="1"/>
  <c r="A706" i="1"/>
  <c r="Q705" i="1"/>
  <c r="P705" i="1"/>
  <c r="O705" i="1"/>
  <c r="N705" i="1"/>
  <c r="B705" i="1"/>
  <c r="A705" i="1"/>
  <c r="Q704" i="1"/>
  <c r="P704" i="1"/>
  <c r="O704" i="1"/>
  <c r="N704" i="1"/>
  <c r="B704" i="1"/>
  <c r="A704" i="1"/>
  <c r="Q703" i="1"/>
  <c r="P703" i="1"/>
  <c r="O703" i="1"/>
  <c r="N703" i="1"/>
  <c r="B703" i="1"/>
  <c r="A703" i="1"/>
  <c r="Q702" i="1"/>
  <c r="P702" i="1"/>
  <c r="O702" i="1"/>
  <c r="N702" i="1"/>
  <c r="B702" i="1"/>
  <c r="A702" i="1"/>
  <c r="Q701" i="1"/>
  <c r="P701" i="1"/>
  <c r="O701" i="1"/>
  <c r="N701" i="1"/>
  <c r="B701" i="1"/>
  <c r="A701" i="1"/>
  <c r="Q700" i="1"/>
  <c r="P700" i="1"/>
  <c r="O700" i="1"/>
  <c r="N700" i="1"/>
  <c r="B700" i="1"/>
  <c r="A700" i="1"/>
  <c r="Q699" i="1"/>
  <c r="P699" i="1"/>
  <c r="O699" i="1"/>
  <c r="N699" i="1"/>
  <c r="B699" i="1"/>
  <c r="A699" i="1"/>
  <c r="Q698" i="1"/>
  <c r="P698" i="1"/>
  <c r="O698" i="1"/>
  <c r="N698" i="1"/>
  <c r="B698" i="1"/>
  <c r="A698" i="1"/>
  <c r="Q697" i="1"/>
  <c r="P697" i="1"/>
  <c r="O697" i="1"/>
  <c r="N697" i="1"/>
  <c r="B697" i="1"/>
  <c r="A697" i="1"/>
  <c r="Q696" i="1"/>
  <c r="P696" i="1"/>
  <c r="O696" i="1"/>
  <c r="N696" i="1"/>
  <c r="B696" i="1"/>
  <c r="A696" i="1"/>
  <c r="Q695" i="1"/>
  <c r="P695" i="1"/>
  <c r="O695" i="1"/>
  <c r="N695" i="1"/>
  <c r="M695" i="1"/>
  <c r="B695" i="1"/>
  <c r="A695" i="1"/>
  <c r="Q694" i="1"/>
  <c r="P694" i="1"/>
  <c r="O694" i="1"/>
  <c r="N694" i="1"/>
  <c r="B694" i="1"/>
  <c r="A694" i="1"/>
  <c r="Q693" i="1"/>
  <c r="P693" i="1"/>
  <c r="O693" i="1"/>
  <c r="N693" i="1"/>
  <c r="B693" i="1"/>
  <c r="A693" i="1"/>
  <c r="Q692" i="1"/>
  <c r="P692" i="1"/>
  <c r="O692" i="1"/>
  <c r="N692" i="1"/>
  <c r="B692" i="1"/>
  <c r="A692" i="1"/>
  <c r="Q691" i="1"/>
  <c r="P691" i="1"/>
  <c r="O691" i="1"/>
  <c r="N691" i="1"/>
  <c r="B691" i="1"/>
  <c r="A691" i="1"/>
  <c r="Q690" i="1"/>
  <c r="P690" i="1"/>
  <c r="O690" i="1"/>
  <c r="N690" i="1"/>
  <c r="B690" i="1"/>
  <c r="A690" i="1"/>
  <c r="Q689" i="1"/>
  <c r="P689" i="1"/>
  <c r="O689" i="1"/>
  <c r="N689" i="1"/>
  <c r="B689" i="1"/>
  <c r="A689" i="1"/>
  <c r="Q688" i="1"/>
  <c r="P688" i="1"/>
  <c r="O688" i="1"/>
  <c r="N688" i="1"/>
  <c r="B688" i="1"/>
  <c r="A688" i="1"/>
  <c r="Q687" i="1"/>
  <c r="P687" i="1"/>
  <c r="O687" i="1"/>
  <c r="N687" i="1"/>
  <c r="B687" i="1"/>
  <c r="A687" i="1"/>
  <c r="Q686" i="1"/>
  <c r="P686" i="1"/>
  <c r="O686" i="1"/>
  <c r="N686" i="1"/>
  <c r="B686" i="1"/>
  <c r="A686" i="1"/>
  <c r="Q685" i="1"/>
  <c r="P685" i="1"/>
  <c r="O685" i="1"/>
  <c r="N685" i="1"/>
  <c r="B685" i="1"/>
  <c r="A685" i="1"/>
  <c r="Q684" i="1"/>
  <c r="P684" i="1"/>
  <c r="O684" i="1"/>
  <c r="N684" i="1"/>
  <c r="B684" i="1"/>
  <c r="A684" i="1"/>
  <c r="Q683" i="1"/>
  <c r="P683" i="1"/>
  <c r="O683" i="1"/>
  <c r="N683" i="1"/>
  <c r="B683" i="1"/>
  <c r="A683" i="1"/>
  <c r="Q682" i="1"/>
  <c r="P682" i="1"/>
  <c r="O682" i="1"/>
  <c r="N682" i="1"/>
  <c r="B682" i="1"/>
  <c r="A682" i="1"/>
  <c r="Q681" i="1"/>
  <c r="P681" i="1"/>
  <c r="O681" i="1"/>
  <c r="N681" i="1"/>
  <c r="B681" i="1"/>
  <c r="A681" i="1"/>
  <c r="Q680" i="1"/>
  <c r="P680" i="1"/>
  <c r="O680" i="1"/>
  <c r="N680" i="1"/>
  <c r="B680" i="1"/>
  <c r="A680" i="1"/>
  <c r="Q679" i="1"/>
  <c r="P679" i="1"/>
  <c r="O679" i="1"/>
  <c r="N679" i="1"/>
  <c r="B679" i="1"/>
  <c r="A679" i="1"/>
  <c r="Q678" i="1"/>
  <c r="P678" i="1"/>
  <c r="O678" i="1"/>
  <c r="N678" i="1"/>
  <c r="B678" i="1"/>
  <c r="A678" i="1"/>
  <c r="Q677" i="1"/>
  <c r="P677" i="1"/>
  <c r="O677" i="1"/>
  <c r="N677" i="1"/>
  <c r="B677" i="1"/>
  <c r="A677" i="1"/>
  <c r="Q676" i="1"/>
  <c r="P676" i="1"/>
  <c r="O676" i="1"/>
  <c r="N676" i="1"/>
  <c r="B676" i="1"/>
  <c r="A676" i="1"/>
  <c r="Q675" i="1"/>
  <c r="P675" i="1"/>
  <c r="O675" i="1"/>
  <c r="N675" i="1"/>
  <c r="B675" i="1"/>
  <c r="A675" i="1"/>
  <c r="Q674" i="1"/>
  <c r="P674" i="1"/>
  <c r="O674" i="1"/>
  <c r="N674" i="1"/>
  <c r="B674" i="1"/>
  <c r="A674" i="1"/>
  <c r="Q673" i="1"/>
  <c r="P673" i="1"/>
  <c r="O673" i="1"/>
  <c r="N673" i="1"/>
  <c r="B673" i="1"/>
  <c r="A673" i="1"/>
  <c r="Q672" i="1"/>
  <c r="P672" i="1"/>
  <c r="O672" i="1"/>
  <c r="N672" i="1"/>
  <c r="B672" i="1"/>
  <c r="A672" i="1"/>
  <c r="Q671" i="1"/>
  <c r="P671" i="1"/>
  <c r="O671" i="1"/>
  <c r="N671" i="1"/>
  <c r="B671" i="1"/>
  <c r="A671" i="1"/>
  <c r="Q670" i="1"/>
  <c r="P670" i="1"/>
  <c r="O670" i="1"/>
  <c r="N670" i="1"/>
  <c r="B670" i="1"/>
  <c r="A670" i="1"/>
  <c r="Q669" i="1"/>
  <c r="P669" i="1"/>
  <c r="O669" i="1"/>
  <c r="N669" i="1"/>
  <c r="B669" i="1"/>
  <c r="A669" i="1"/>
  <c r="Q668" i="1"/>
  <c r="P668" i="1"/>
  <c r="O668" i="1"/>
  <c r="N668" i="1"/>
  <c r="B668" i="1"/>
  <c r="A668" i="1"/>
  <c r="Q667" i="1"/>
  <c r="P667" i="1"/>
  <c r="O667" i="1"/>
  <c r="N667" i="1"/>
  <c r="B667" i="1"/>
  <c r="A667" i="1"/>
  <c r="Q666" i="1"/>
  <c r="P666" i="1"/>
  <c r="O666" i="1"/>
  <c r="N666" i="1"/>
  <c r="B666" i="1"/>
  <c r="A666" i="1"/>
  <c r="Q665" i="1"/>
  <c r="P665" i="1"/>
  <c r="O665" i="1"/>
  <c r="N665" i="1"/>
  <c r="B665" i="1"/>
  <c r="A665" i="1"/>
  <c r="Q664" i="1"/>
  <c r="P664" i="1"/>
  <c r="O664" i="1"/>
  <c r="N664" i="1"/>
  <c r="B664" i="1"/>
  <c r="A664" i="1"/>
  <c r="Q663" i="1"/>
  <c r="P663" i="1"/>
  <c r="O663" i="1"/>
  <c r="N663" i="1"/>
  <c r="B663" i="1"/>
  <c r="A663" i="1"/>
  <c r="Q662" i="1"/>
  <c r="P662" i="1"/>
  <c r="O662" i="1"/>
  <c r="N662" i="1"/>
  <c r="B662" i="1"/>
  <c r="A662" i="1"/>
  <c r="Q661" i="1"/>
  <c r="P661" i="1"/>
  <c r="O661" i="1"/>
  <c r="N661" i="1"/>
  <c r="B661" i="1"/>
  <c r="A661" i="1"/>
  <c r="Q660" i="1"/>
  <c r="P660" i="1"/>
  <c r="O660" i="1"/>
  <c r="N660" i="1"/>
  <c r="B660" i="1"/>
  <c r="A660" i="1"/>
  <c r="Q659" i="1"/>
  <c r="P659" i="1"/>
  <c r="O659" i="1"/>
  <c r="N659" i="1"/>
  <c r="B659" i="1"/>
  <c r="A659" i="1"/>
  <c r="Q658" i="1"/>
  <c r="P658" i="1"/>
  <c r="O658" i="1"/>
  <c r="N658" i="1"/>
  <c r="B658" i="1"/>
  <c r="A658" i="1"/>
  <c r="Q657" i="1"/>
  <c r="P657" i="1"/>
  <c r="O657" i="1"/>
  <c r="N657" i="1"/>
  <c r="B657" i="1"/>
  <c r="A657" i="1"/>
  <c r="Q656" i="1"/>
  <c r="P656" i="1"/>
  <c r="O656" i="1"/>
  <c r="N656" i="1"/>
  <c r="B656" i="1"/>
  <c r="A656" i="1"/>
  <c r="Q655" i="1"/>
  <c r="P655" i="1"/>
  <c r="O655" i="1"/>
  <c r="N655" i="1"/>
  <c r="B655" i="1"/>
  <c r="A655" i="1"/>
  <c r="Q654" i="1"/>
  <c r="P654" i="1"/>
  <c r="O654" i="1"/>
  <c r="N654" i="1"/>
  <c r="B654" i="1"/>
  <c r="A654" i="1"/>
  <c r="Q653" i="1"/>
  <c r="P653" i="1"/>
  <c r="O653" i="1"/>
  <c r="N653" i="1"/>
  <c r="B653" i="1"/>
  <c r="A653" i="1"/>
  <c r="Q652" i="1"/>
  <c r="P652" i="1"/>
  <c r="O652" i="1"/>
  <c r="N652" i="1"/>
  <c r="B652" i="1"/>
  <c r="A652" i="1"/>
  <c r="Q651" i="1"/>
  <c r="P651" i="1"/>
  <c r="O651" i="1"/>
  <c r="N651" i="1"/>
  <c r="B651" i="1"/>
  <c r="A651" i="1"/>
  <c r="Q650" i="1"/>
  <c r="P650" i="1"/>
  <c r="O650" i="1"/>
  <c r="N650" i="1"/>
  <c r="B650" i="1"/>
  <c r="A650" i="1"/>
  <c r="Q649" i="1"/>
  <c r="P649" i="1"/>
  <c r="O649" i="1"/>
  <c r="N649" i="1"/>
  <c r="B649" i="1"/>
  <c r="A649" i="1"/>
  <c r="Q648" i="1"/>
  <c r="P648" i="1"/>
  <c r="O648" i="1"/>
  <c r="N648" i="1"/>
  <c r="B648" i="1"/>
  <c r="A648" i="1"/>
  <c r="Q647" i="1"/>
  <c r="P647" i="1"/>
  <c r="O647" i="1"/>
  <c r="N647" i="1"/>
  <c r="B647" i="1"/>
  <c r="A647" i="1"/>
  <c r="Q646" i="1"/>
  <c r="P646" i="1"/>
  <c r="O646" i="1"/>
  <c r="N646" i="1"/>
  <c r="B646" i="1"/>
  <c r="A646" i="1"/>
  <c r="Q645" i="1"/>
  <c r="P645" i="1"/>
  <c r="O645" i="1"/>
  <c r="N645" i="1"/>
  <c r="B645" i="1"/>
  <c r="A645" i="1"/>
  <c r="Q644" i="1"/>
  <c r="P644" i="1"/>
  <c r="O644" i="1"/>
  <c r="N644" i="1"/>
  <c r="B644" i="1"/>
  <c r="A644" i="1"/>
  <c r="Q643" i="1"/>
  <c r="P643" i="1"/>
  <c r="O643" i="1"/>
  <c r="N643" i="1"/>
  <c r="B643" i="1"/>
  <c r="A643" i="1"/>
  <c r="Q642" i="1"/>
  <c r="P642" i="1"/>
  <c r="O642" i="1"/>
  <c r="N642" i="1"/>
  <c r="B642" i="1"/>
  <c r="A642" i="1"/>
  <c r="Q641" i="1"/>
  <c r="P641" i="1"/>
  <c r="O641" i="1"/>
  <c r="N641" i="1"/>
  <c r="B641" i="1"/>
  <c r="A641" i="1"/>
  <c r="Q640" i="1"/>
  <c r="P640" i="1"/>
  <c r="O640" i="1"/>
  <c r="N640" i="1"/>
  <c r="B640" i="1"/>
  <c r="A640" i="1"/>
  <c r="Q639" i="1"/>
  <c r="P639" i="1"/>
  <c r="O639" i="1"/>
  <c r="N639" i="1"/>
  <c r="B639" i="1"/>
  <c r="A639" i="1"/>
  <c r="Q638" i="1"/>
  <c r="P638" i="1"/>
  <c r="O638" i="1"/>
  <c r="N638" i="1"/>
  <c r="B638" i="1"/>
  <c r="A638" i="1"/>
  <c r="Q637" i="1"/>
  <c r="P637" i="1"/>
  <c r="O637" i="1"/>
  <c r="N637" i="1"/>
  <c r="B637" i="1"/>
  <c r="A637" i="1"/>
  <c r="Q636" i="1"/>
  <c r="P636" i="1"/>
  <c r="O636" i="1"/>
  <c r="N636" i="1"/>
  <c r="B636" i="1"/>
  <c r="A636" i="1"/>
  <c r="Q635" i="1"/>
  <c r="P635" i="1"/>
  <c r="O635" i="1"/>
  <c r="N635" i="1"/>
  <c r="B635" i="1"/>
  <c r="A635" i="1"/>
  <c r="Q634" i="1"/>
  <c r="P634" i="1"/>
  <c r="O634" i="1"/>
  <c r="N634" i="1"/>
  <c r="B634" i="1"/>
  <c r="A634" i="1"/>
  <c r="Q633" i="1"/>
  <c r="P633" i="1"/>
  <c r="O633" i="1"/>
  <c r="N633" i="1"/>
  <c r="B633" i="1"/>
  <c r="A633" i="1"/>
  <c r="Q632" i="1"/>
  <c r="P632" i="1"/>
  <c r="O632" i="1"/>
  <c r="N632" i="1"/>
  <c r="B632" i="1"/>
  <c r="A632" i="1"/>
  <c r="Q631" i="1"/>
  <c r="P631" i="1"/>
  <c r="O631" i="1"/>
  <c r="N631" i="1"/>
  <c r="B631" i="1"/>
  <c r="A631" i="1"/>
  <c r="Q630" i="1"/>
  <c r="P630" i="1"/>
  <c r="O630" i="1"/>
  <c r="N630" i="1"/>
  <c r="B630" i="1"/>
  <c r="A630" i="1"/>
  <c r="Q629" i="1"/>
  <c r="P629" i="1"/>
  <c r="O629" i="1"/>
  <c r="N629" i="1"/>
  <c r="B629" i="1"/>
  <c r="A629" i="1"/>
  <c r="Q628" i="1"/>
  <c r="P628" i="1"/>
  <c r="O628" i="1"/>
  <c r="N628" i="1"/>
  <c r="B628" i="1"/>
  <c r="A628" i="1"/>
  <c r="Q627" i="1"/>
  <c r="P627" i="1"/>
  <c r="O627" i="1"/>
  <c r="N627" i="1"/>
  <c r="B627" i="1"/>
  <c r="A627" i="1"/>
  <c r="Q626" i="1"/>
  <c r="P626" i="1"/>
  <c r="O626" i="1"/>
  <c r="N626" i="1"/>
  <c r="B626" i="1"/>
  <c r="A626" i="1"/>
  <c r="Q625" i="1"/>
  <c r="P625" i="1"/>
  <c r="O625" i="1"/>
  <c r="N625" i="1"/>
  <c r="B625" i="1"/>
  <c r="A625" i="1"/>
  <c r="Q624" i="1"/>
  <c r="P624" i="1"/>
  <c r="O624" i="1"/>
  <c r="N624" i="1"/>
  <c r="B624" i="1"/>
  <c r="A624" i="1"/>
  <c r="Q623" i="1"/>
  <c r="P623" i="1"/>
  <c r="O623" i="1"/>
  <c r="N623" i="1"/>
  <c r="B623" i="1"/>
  <c r="A623" i="1"/>
  <c r="Q622" i="1"/>
  <c r="P622" i="1"/>
  <c r="O622" i="1"/>
  <c r="N622" i="1"/>
  <c r="B622" i="1"/>
  <c r="A622" i="1"/>
  <c r="Q621" i="1"/>
  <c r="P621" i="1"/>
  <c r="O621" i="1"/>
  <c r="N621" i="1"/>
  <c r="B621" i="1"/>
  <c r="A621" i="1"/>
  <c r="Q620" i="1"/>
  <c r="P620" i="1"/>
  <c r="O620" i="1"/>
  <c r="N620" i="1"/>
  <c r="B620" i="1"/>
  <c r="A620" i="1"/>
  <c r="Q619" i="1"/>
  <c r="P619" i="1"/>
  <c r="O619" i="1"/>
  <c r="N619" i="1"/>
  <c r="B619" i="1"/>
  <c r="A619" i="1"/>
  <c r="Q618" i="1"/>
  <c r="P618" i="1"/>
  <c r="O618" i="1"/>
  <c r="N618" i="1"/>
  <c r="B618" i="1"/>
  <c r="A618" i="1"/>
  <c r="Q617" i="1"/>
  <c r="P617" i="1"/>
  <c r="O617" i="1"/>
  <c r="N617" i="1"/>
  <c r="B617" i="1"/>
  <c r="A617" i="1"/>
  <c r="Q616" i="1"/>
  <c r="P616" i="1"/>
  <c r="O616" i="1"/>
  <c r="N616" i="1"/>
  <c r="B616" i="1"/>
  <c r="A616" i="1"/>
  <c r="Q615" i="1"/>
  <c r="P615" i="1"/>
  <c r="O615" i="1"/>
  <c r="N615" i="1"/>
  <c r="B615" i="1"/>
  <c r="A615" i="1"/>
  <c r="Q614" i="1"/>
  <c r="P614" i="1"/>
  <c r="O614" i="1"/>
  <c r="N614" i="1"/>
  <c r="B614" i="1"/>
  <c r="A614" i="1"/>
  <c r="Q613" i="1"/>
  <c r="P613" i="1"/>
  <c r="O613" i="1"/>
  <c r="N613" i="1"/>
  <c r="B613" i="1"/>
  <c r="A613" i="1"/>
  <c r="Q612" i="1"/>
  <c r="P612" i="1"/>
  <c r="O612" i="1"/>
  <c r="N612" i="1"/>
  <c r="B612" i="1"/>
  <c r="A612" i="1"/>
  <c r="Q611" i="1"/>
  <c r="P611" i="1"/>
  <c r="O611" i="1"/>
  <c r="N611" i="1"/>
  <c r="B611" i="1"/>
  <c r="A611" i="1"/>
  <c r="Q610" i="1"/>
  <c r="P610" i="1"/>
  <c r="O610" i="1"/>
  <c r="N610" i="1"/>
  <c r="B610" i="1"/>
  <c r="A610" i="1"/>
  <c r="Q609" i="1"/>
  <c r="P609" i="1"/>
  <c r="O609" i="1"/>
  <c r="N609" i="1"/>
  <c r="B609" i="1"/>
  <c r="A609" i="1"/>
  <c r="Q608" i="1"/>
  <c r="P608" i="1"/>
  <c r="O608" i="1"/>
  <c r="N608" i="1"/>
  <c r="B608" i="1"/>
  <c r="A608" i="1"/>
  <c r="Q607" i="1"/>
  <c r="P607" i="1"/>
  <c r="O607" i="1"/>
  <c r="N607" i="1"/>
  <c r="B607" i="1"/>
  <c r="A607" i="1"/>
  <c r="Q606" i="1"/>
  <c r="P606" i="1"/>
  <c r="O606" i="1"/>
  <c r="N606" i="1"/>
  <c r="B606" i="1"/>
  <c r="A606" i="1"/>
  <c r="Q605" i="1"/>
  <c r="P605" i="1"/>
  <c r="O605" i="1"/>
  <c r="N605" i="1"/>
  <c r="B605" i="1"/>
  <c r="A605" i="1"/>
  <c r="Q604" i="1"/>
  <c r="P604" i="1"/>
  <c r="O604" i="1"/>
  <c r="N604" i="1"/>
  <c r="B604" i="1"/>
  <c r="A604" i="1"/>
  <c r="Q603" i="1"/>
  <c r="P603" i="1"/>
  <c r="O603" i="1"/>
  <c r="N603" i="1"/>
  <c r="B603" i="1"/>
  <c r="A603" i="1"/>
  <c r="Q602" i="1"/>
  <c r="P602" i="1"/>
  <c r="O602" i="1"/>
  <c r="N602" i="1"/>
  <c r="B602" i="1"/>
  <c r="A602" i="1"/>
  <c r="Q601" i="1"/>
  <c r="P601" i="1"/>
  <c r="O601" i="1"/>
  <c r="N601" i="1"/>
  <c r="B601" i="1"/>
  <c r="A601" i="1"/>
  <c r="Q600" i="1"/>
  <c r="P600" i="1"/>
  <c r="O600" i="1"/>
  <c r="N600" i="1"/>
  <c r="B600" i="1"/>
  <c r="A600" i="1"/>
  <c r="Q599" i="1"/>
  <c r="P599" i="1"/>
  <c r="O599" i="1"/>
  <c r="N599" i="1"/>
  <c r="B599" i="1"/>
  <c r="A599" i="1"/>
  <c r="Q598" i="1"/>
  <c r="P598" i="1"/>
  <c r="O598" i="1"/>
  <c r="N598" i="1"/>
  <c r="B598" i="1"/>
  <c r="A598" i="1"/>
  <c r="Q597" i="1"/>
  <c r="P597" i="1"/>
  <c r="O597" i="1"/>
  <c r="N597" i="1"/>
  <c r="B597" i="1"/>
  <c r="A597" i="1"/>
  <c r="Q596" i="1"/>
  <c r="P596" i="1"/>
  <c r="O596" i="1"/>
  <c r="N596" i="1"/>
  <c r="B596" i="1"/>
  <c r="A596" i="1"/>
  <c r="Q595" i="1"/>
  <c r="P595" i="1"/>
  <c r="O595" i="1"/>
  <c r="N595" i="1"/>
  <c r="B595" i="1"/>
  <c r="A595" i="1"/>
  <c r="Q594" i="1"/>
  <c r="P594" i="1"/>
  <c r="O594" i="1"/>
  <c r="N594" i="1"/>
  <c r="B594" i="1"/>
  <c r="A594" i="1"/>
  <c r="Q593" i="1"/>
  <c r="P593" i="1"/>
  <c r="O593" i="1"/>
  <c r="N593" i="1"/>
  <c r="B593" i="1"/>
  <c r="A593" i="1"/>
  <c r="Q592" i="1"/>
  <c r="P592" i="1"/>
  <c r="O592" i="1"/>
  <c r="N592" i="1"/>
  <c r="B592" i="1"/>
  <c r="A592" i="1"/>
  <c r="Q591" i="1"/>
  <c r="P591" i="1"/>
  <c r="O591" i="1"/>
  <c r="N591" i="1"/>
  <c r="B591" i="1"/>
  <c r="A591" i="1"/>
  <c r="Q590" i="1"/>
  <c r="P590" i="1"/>
  <c r="O590" i="1"/>
  <c r="N590" i="1"/>
  <c r="B590" i="1"/>
  <c r="A590" i="1"/>
  <c r="Q589" i="1"/>
  <c r="P589" i="1"/>
  <c r="O589" i="1"/>
  <c r="N589" i="1"/>
  <c r="B589" i="1"/>
  <c r="A589" i="1"/>
  <c r="Q588" i="1"/>
  <c r="P588" i="1"/>
  <c r="O588" i="1"/>
  <c r="N588" i="1"/>
  <c r="B588" i="1"/>
  <c r="A588" i="1"/>
  <c r="Q587" i="1"/>
  <c r="P587" i="1"/>
  <c r="O587" i="1"/>
  <c r="N587" i="1"/>
  <c r="B587" i="1"/>
  <c r="A587" i="1"/>
  <c r="Q586" i="1"/>
  <c r="P586" i="1"/>
  <c r="O586" i="1"/>
  <c r="N586" i="1"/>
  <c r="B586" i="1"/>
  <c r="A586" i="1"/>
  <c r="Q585" i="1"/>
  <c r="P585" i="1"/>
  <c r="O585" i="1"/>
  <c r="N585" i="1"/>
  <c r="B585" i="1"/>
  <c r="A585" i="1"/>
  <c r="Q584" i="1"/>
  <c r="P584" i="1"/>
  <c r="O584" i="1"/>
  <c r="N584" i="1"/>
  <c r="B584" i="1"/>
  <c r="A584" i="1"/>
  <c r="Q583" i="1"/>
  <c r="P583" i="1"/>
  <c r="O583" i="1"/>
  <c r="N583" i="1"/>
  <c r="B583" i="1"/>
  <c r="A583" i="1"/>
  <c r="Q582" i="1"/>
  <c r="P582" i="1"/>
  <c r="O582" i="1"/>
  <c r="N582" i="1"/>
  <c r="B582" i="1"/>
  <c r="A582" i="1"/>
  <c r="Q581" i="1"/>
  <c r="P581" i="1"/>
  <c r="O581" i="1"/>
  <c r="N581" i="1"/>
  <c r="B581" i="1"/>
  <c r="A581" i="1"/>
  <c r="Q580" i="1"/>
  <c r="P580" i="1"/>
  <c r="O580" i="1"/>
  <c r="N580" i="1"/>
  <c r="B580" i="1"/>
  <c r="A580" i="1"/>
  <c r="Q579" i="1"/>
  <c r="P579" i="1"/>
  <c r="O579" i="1"/>
  <c r="N579" i="1"/>
  <c r="B579" i="1"/>
  <c r="A579" i="1"/>
  <c r="Q578" i="1"/>
  <c r="P578" i="1"/>
  <c r="O578" i="1"/>
  <c r="N578" i="1"/>
  <c r="B578" i="1"/>
  <c r="A578" i="1"/>
  <c r="Q577" i="1"/>
  <c r="P577" i="1"/>
  <c r="O577" i="1"/>
  <c r="N577" i="1"/>
  <c r="B577" i="1"/>
  <c r="A577" i="1"/>
  <c r="Q576" i="1"/>
  <c r="P576" i="1"/>
  <c r="O576" i="1"/>
  <c r="N576" i="1"/>
  <c r="B576" i="1"/>
  <c r="A576" i="1"/>
  <c r="Q575" i="1"/>
  <c r="P575" i="1"/>
  <c r="O575" i="1"/>
  <c r="N575" i="1"/>
  <c r="B575" i="1"/>
  <c r="A575" i="1"/>
  <c r="Q574" i="1"/>
  <c r="P574" i="1"/>
  <c r="O574" i="1"/>
  <c r="N574" i="1"/>
  <c r="B574" i="1"/>
  <c r="A574" i="1"/>
  <c r="Q573" i="1"/>
  <c r="P573" i="1"/>
  <c r="O573" i="1"/>
  <c r="N573" i="1"/>
  <c r="B573" i="1"/>
  <c r="A573" i="1"/>
  <c r="Q572" i="1"/>
  <c r="P572" i="1"/>
  <c r="O572" i="1"/>
  <c r="N572" i="1"/>
  <c r="B572" i="1"/>
  <c r="A572" i="1"/>
  <c r="Q571" i="1"/>
  <c r="P571" i="1"/>
  <c r="O571" i="1"/>
  <c r="N571" i="1"/>
  <c r="B571" i="1"/>
  <c r="A571" i="1"/>
  <c r="Q570" i="1"/>
  <c r="P570" i="1"/>
  <c r="O570" i="1"/>
  <c r="N570" i="1"/>
  <c r="B570" i="1"/>
  <c r="A570" i="1"/>
  <c r="Q569" i="1"/>
  <c r="P569" i="1"/>
  <c r="O569" i="1"/>
  <c r="N569" i="1"/>
  <c r="B569" i="1"/>
  <c r="A569" i="1"/>
  <c r="Q568" i="1"/>
  <c r="P568" i="1"/>
  <c r="O568" i="1"/>
  <c r="N568" i="1"/>
  <c r="B568" i="1"/>
  <c r="A568" i="1"/>
  <c r="Q567" i="1"/>
  <c r="P567" i="1"/>
  <c r="O567" i="1"/>
  <c r="N567" i="1"/>
  <c r="B567" i="1"/>
  <c r="A567" i="1"/>
  <c r="Q566" i="1"/>
  <c r="P566" i="1"/>
  <c r="O566" i="1"/>
  <c r="N566" i="1"/>
  <c r="B566" i="1"/>
  <c r="A566" i="1"/>
  <c r="Q565" i="1"/>
  <c r="P565" i="1"/>
  <c r="O565" i="1"/>
  <c r="N565" i="1"/>
  <c r="B565" i="1"/>
  <c r="A565" i="1"/>
  <c r="Q564" i="1"/>
  <c r="P564" i="1"/>
  <c r="O564" i="1"/>
  <c r="N564" i="1"/>
  <c r="B564" i="1"/>
  <c r="A564" i="1"/>
  <c r="Q563" i="1"/>
  <c r="P563" i="1"/>
  <c r="O563" i="1"/>
  <c r="N563" i="1"/>
  <c r="B563" i="1"/>
  <c r="A563" i="1"/>
  <c r="Q562" i="1"/>
  <c r="P562" i="1"/>
  <c r="O562" i="1"/>
  <c r="N562" i="1"/>
  <c r="B562" i="1"/>
  <c r="A562" i="1"/>
  <c r="Q561" i="1"/>
  <c r="P561" i="1"/>
  <c r="O561" i="1"/>
  <c r="N561" i="1"/>
  <c r="B561" i="1"/>
  <c r="A561" i="1"/>
  <c r="Q560" i="1"/>
  <c r="P560" i="1"/>
  <c r="O560" i="1"/>
  <c r="N560" i="1"/>
  <c r="B560" i="1"/>
  <c r="A560" i="1"/>
  <c r="Q559" i="1"/>
  <c r="P559" i="1"/>
  <c r="O559" i="1"/>
  <c r="N559" i="1"/>
  <c r="B559" i="1"/>
  <c r="A559" i="1"/>
  <c r="Q558" i="1"/>
  <c r="P558" i="1"/>
  <c r="O558" i="1"/>
  <c r="N558" i="1"/>
  <c r="B558" i="1"/>
  <c r="A558" i="1"/>
  <c r="Q557" i="1"/>
  <c r="P557" i="1"/>
  <c r="O557" i="1"/>
  <c r="N557" i="1"/>
  <c r="B557" i="1"/>
  <c r="A557" i="1"/>
  <c r="Q556" i="1"/>
  <c r="P556" i="1"/>
  <c r="O556" i="1"/>
  <c r="N556" i="1"/>
  <c r="B556" i="1"/>
  <c r="A556" i="1"/>
  <c r="Q555" i="1"/>
  <c r="P555" i="1"/>
  <c r="O555" i="1"/>
  <c r="N555" i="1"/>
  <c r="B555" i="1"/>
  <c r="A555" i="1"/>
  <c r="Q554" i="1"/>
  <c r="P554" i="1"/>
  <c r="O554" i="1"/>
  <c r="N554" i="1"/>
  <c r="B554" i="1"/>
  <c r="A554" i="1"/>
  <c r="Q553" i="1"/>
  <c r="P553" i="1"/>
  <c r="O553" i="1"/>
  <c r="N553" i="1"/>
  <c r="B553" i="1"/>
  <c r="A553" i="1"/>
  <c r="Q552" i="1"/>
  <c r="P552" i="1"/>
  <c r="O552" i="1"/>
  <c r="N552" i="1"/>
  <c r="B552" i="1"/>
  <c r="A552" i="1"/>
  <c r="Q551" i="1"/>
  <c r="P551" i="1"/>
  <c r="O551" i="1"/>
  <c r="N551" i="1"/>
  <c r="B551" i="1"/>
  <c r="A551" i="1"/>
  <c r="Q550" i="1"/>
  <c r="P550" i="1"/>
  <c r="O550" i="1"/>
  <c r="N550" i="1"/>
  <c r="B550" i="1"/>
  <c r="A550" i="1"/>
  <c r="Q549" i="1"/>
  <c r="P549" i="1"/>
  <c r="O549" i="1"/>
  <c r="N549" i="1"/>
  <c r="B549" i="1"/>
  <c r="A549" i="1"/>
  <c r="Q548" i="1"/>
  <c r="P548" i="1"/>
  <c r="O548" i="1"/>
  <c r="N548" i="1"/>
  <c r="B548" i="1"/>
  <c r="A548" i="1"/>
  <c r="Q547" i="1"/>
  <c r="P547" i="1"/>
  <c r="O547" i="1"/>
  <c r="N547" i="1"/>
  <c r="B547" i="1"/>
  <c r="A547" i="1"/>
  <c r="Q546" i="1"/>
  <c r="P546" i="1"/>
  <c r="O546" i="1"/>
  <c r="N546" i="1"/>
  <c r="B546" i="1"/>
  <c r="A546" i="1"/>
  <c r="Q545" i="1"/>
  <c r="P545" i="1"/>
  <c r="O545" i="1"/>
  <c r="N545" i="1"/>
  <c r="B545" i="1"/>
  <c r="A545" i="1"/>
  <c r="Q544" i="1"/>
  <c r="P544" i="1"/>
  <c r="O544" i="1"/>
  <c r="N544" i="1"/>
  <c r="B544" i="1"/>
  <c r="A544" i="1"/>
  <c r="Q543" i="1"/>
  <c r="P543" i="1"/>
  <c r="O543" i="1"/>
  <c r="N543" i="1"/>
  <c r="B543" i="1"/>
  <c r="A543" i="1"/>
  <c r="Q542" i="1"/>
  <c r="P542" i="1"/>
  <c r="O542" i="1"/>
  <c r="N542" i="1"/>
  <c r="B542" i="1"/>
  <c r="A542" i="1"/>
  <c r="Q541" i="1"/>
  <c r="P541" i="1"/>
  <c r="O541" i="1"/>
  <c r="N541" i="1"/>
  <c r="B541" i="1"/>
  <c r="A541" i="1"/>
  <c r="Q540" i="1"/>
  <c r="P540" i="1"/>
  <c r="O540" i="1"/>
  <c r="N540" i="1"/>
  <c r="B540" i="1"/>
  <c r="A540" i="1"/>
  <c r="Q539" i="1"/>
  <c r="P539" i="1"/>
  <c r="O539" i="1"/>
  <c r="N539" i="1"/>
  <c r="B539" i="1"/>
  <c r="A539" i="1"/>
  <c r="Q538" i="1"/>
  <c r="P538" i="1"/>
  <c r="O538" i="1"/>
  <c r="N538" i="1"/>
  <c r="B538" i="1"/>
  <c r="A538" i="1"/>
  <c r="Q537" i="1"/>
  <c r="P537" i="1"/>
  <c r="O537" i="1"/>
  <c r="N537" i="1"/>
  <c r="B537" i="1"/>
  <c r="A537" i="1"/>
  <c r="Q536" i="1"/>
  <c r="P536" i="1"/>
  <c r="O536" i="1"/>
  <c r="N536" i="1"/>
  <c r="B536" i="1"/>
  <c r="A536" i="1"/>
  <c r="Q535" i="1"/>
  <c r="P535" i="1"/>
  <c r="O535" i="1"/>
  <c r="N535" i="1"/>
  <c r="B535" i="1"/>
  <c r="A535" i="1"/>
  <c r="Q534" i="1"/>
  <c r="P534" i="1"/>
  <c r="O534" i="1"/>
  <c r="N534" i="1"/>
  <c r="B534" i="1"/>
  <c r="A534" i="1"/>
  <c r="Q533" i="1"/>
  <c r="P533" i="1"/>
  <c r="O533" i="1"/>
  <c r="N533" i="1"/>
  <c r="B533" i="1"/>
  <c r="A533" i="1"/>
  <c r="Q532" i="1"/>
  <c r="P532" i="1"/>
  <c r="O532" i="1"/>
  <c r="N532" i="1"/>
  <c r="B532" i="1"/>
  <c r="A532" i="1"/>
  <c r="Q531" i="1"/>
  <c r="P531" i="1"/>
  <c r="O531" i="1"/>
  <c r="N531" i="1"/>
  <c r="B531" i="1"/>
  <c r="A531" i="1"/>
  <c r="Q530" i="1"/>
  <c r="P530" i="1"/>
  <c r="O530" i="1"/>
  <c r="N530" i="1"/>
  <c r="B530" i="1"/>
  <c r="A530" i="1"/>
  <c r="Q529" i="1"/>
  <c r="P529" i="1"/>
  <c r="O529" i="1"/>
  <c r="N529" i="1"/>
  <c r="B529" i="1"/>
  <c r="A529" i="1"/>
  <c r="Q528" i="1"/>
  <c r="P528" i="1"/>
  <c r="O528" i="1"/>
  <c r="N528" i="1"/>
  <c r="B528" i="1"/>
  <c r="A528" i="1"/>
  <c r="Q527" i="1"/>
  <c r="P527" i="1"/>
  <c r="O527" i="1"/>
  <c r="N527" i="1"/>
  <c r="B527" i="1"/>
  <c r="A527" i="1"/>
  <c r="Q526" i="1"/>
  <c r="P526" i="1"/>
  <c r="O526" i="1"/>
  <c r="N526" i="1"/>
  <c r="B526" i="1"/>
  <c r="A526" i="1"/>
  <c r="Q525" i="1"/>
  <c r="P525" i="1"/>
  <c r="O525" i="1"/>
  <c r="N525" i="1"/>
  <c r="B525" i="1"/>
  <c r="A525" i="1"/>
  <c r="Q524" i="1"/>
  <c r="P524" i="1"/>
  <c r="O524" i="1"/>
  <c r="N524" i="1"/>
  <c r="B524" i="1"/>
  <c r="A524" i="1"/>
  <c r="Q523" i="1"/>
  <c r="P523" i="1"/>
  <c r="O523" i="1"/>
  <c r="N523" i="1"/>
  <c r="B523" i="1"/>
  <c r="A523" i="1"/>
  <c r="Q522" i="1"/>
  <c r="P522" i="1"/>
  <c r="O522" i="1"/>
  <c r="N522" i="1"/>
  <c r="B522" i="1"/>
  <c r="A522" i="1"/>
  <c r="Q521" i="1"/>
  <c r="P521" i="1"/>
  <c r="O521" i="1"/>
  <c r="N521" i="1"/>
  <c r="B521" i="1"/>
  <c r="A521" i="1"/>
  <c r="Q520" i="1"/>
  <c r="P520" i="1"/>
  <c r="O520" i="1"/>
  <c r="N520" i="1"/>
  <c r="B520" i="1"/>
  <c r="A520" i="1"/>
  <c r="Q519" i="1"/>
  <c r="P519" i="1"/>
  <c r="O519" i="1"/>
  <c r="N519" i="1"/>
  <c r="B519" i="1"/>
  <c r="A519" i="1"/>
  <c r="Q518" i="1"/>
  <c r="P518" i="1"/>
  <c r="O518" i="1"/>
  <c r="N518" i="1"/>
  <c r="B518" i="1"/>
  <c r="A518" i="1"/>
  <c r="Q517" i="1"/>
  <c r="P517" i="1"/>
  <c r="O517" i="1"/>
  <c r="N517" i="1"/>
  <c r="B517" i="1"/>
  <c r="A517" i="1"/>
  <c r="Q516" i="1"/>
  <c r="P516" i="1"/>
  <c r="O516" i="1"/>
  <c r="N516" i="1"/>
  <c r="B516" i="1"/>
  <c r="A516" i="1"/>
  <c r="Q515" i="1"/>
  <c r="P515" i="1"/>
  <c r="O515" i="1"/>
  <c r="N515" i="1"/>
  <c r="B515" i="1"/>
  <c r="A515" i="1"/>
  <c r="Q514" i="1"/>
  <c r="P514" i="1"/>
  <c r="O514" i="1"/>
  <c r="N514" i="1"/>
  <c r="B514" i="1"/>
  <c r="A514" i="1"/>
  <c r="Q513" i="1"/>
  <c r="P513" i="1"/>
  <c r="O513" i="1"/>
  <c r="N513" i="1"/>
  <c r="B513" i="1"/>
  <c r="A513" i="1"/>
  <c r="Q512" i="1"/>
  <c r="P512" i="1"/>
  <c r="O512" i="1"/>
  <c r="N512" i="1"/>
  <c r="B512" i="1"/>
  <c r="A512" i="1"/>
  <c r="Q511" i="1"/>
  <c r="P511" i="1"/>
  <c r="O511" i="1"/>
  <c r="N511" i="1"/>
  <c r="B511" i="1"/>
  <c r="A511" i="1"/>
  <c r="Q510" i="1"/>
  <c r="P510" i="1"/>
  <c r="O510" i="1"/>
  <c r="N510" i="1"/>
  <c r="B510" i="1"/>
  <c r="A510" i="1"/>
  <c r="Q509" i="1"/>
  <c r="P509" i="1"/>
  <c r="O509" i="1"/>
  <c r="N509" i="1"/>
  <c r="B509" i="1"/>
  <c r="A509" i="1"/>
  <c r="Q508" i="1"/>
  <c r="P508" i="1"/>
  <c r="O508" i="1"/>
  <c r="N508" i="1"/>
  <c r="B508" i="1"/>
  <c r="A508" i="1"/>
  <c r="Q507" i="1"/>
  <c r="P507" i="1"/>
  <c r="O507" i="1"/>
  <c r="N507" i="1"/>
  <c r="B507" i="1"/>
  <c r="A507" i="1"/>
  <c r="Q506" i="1"/>
  <c r="P506" i="1"/>
  <c r="O506" i="1"/>
  <c r="N506" i="1"/>
  <c r="B506" i="1"/>
  <c r="A506" i="1"/>
  <c r="Q505" i="1"/>
  <c r="P505" i="1"/>
  <c r="O505" i="1"/>
  <c r="N505" i="1"/>
  <c r="B505" i="1"/>
  <c r="A505" i="1"/>
  <c r="Q504" i="1"/>
  <c r="P504" i="1"/>
  <c r="O504" i="1"/>
  <c r="N504" i="1"/>
  <c r="B504" i="1"/>
  <c r="A504" i="1"/>
  <c r="Q503" i="1"/>
  <c r="P503" i="1"/>
  <c r="O503" i="1"/>
  <c r="N503" i="1"/>
  <c r="B503" i="1"/>
  <c r="A503" i="1"/>
  <c r="Q502" i="1"/>
  <c r="P502" i="1"/>
  <c r="O502" i="1"/>
  <c r="N502" i="1"/>
  <c r="B502" i="1"/>
  <c r="A502" i="1"/>
  <c r="Q501" i="1"/>
  <c r="P501" i="1"/>
  <c r="O501" i="1"/>
  <c r="N501" i="1"/>
  <c r="B501" i="1"/>
  <c r="A501" i="1"/>
  <c r="Q500" i="1"/>
  <c r="P500" i="1"/>
  <c r="O500" i="1"/>
  <c r="N500" i="1"/>
  <c r="B500" i="1"/>
  <c r="A500" i="1"/>
  <c r="Q499" i="1"/>
  <c r="P499" i="1"/>
  <c r="O499" i="1"/>
  <c r="N499" i="1"/>
  <c r="B499" i="1"/>
  <c r="A499" i="1"/>
  <c r="Q498" i="1"/>
  <c r="P498" i="1"/>
  <c r="O498" i="1"/>
  <c r="N498" i="1"/>
  <c r="B498" i="1"/>
  <c r="A498" i="1"/>
  <c r="Q497" i="1"/>
  <c r="P497" i="1"/>
  <c r="O497" i="1"/>
  <c r="N497" i="1"/>
  <c r="B497" i="1"/>
  <c r="A497" i="1"/>
  <c r="Q496" i="1"/>
  <c r="P496" i="1"/>
  <c r="O496" i="1"/>
  <c r="N496" i="1"/>
  <c r="B496" i="1"/>
  <c r="A496" i="1"/>
  <c r="Q495" i="1"/>
  <c r="P495" i="1"/>
  <c r="O495" i="1"/>
  <c r="N495" i="1"/>
  <c r="B495" i="1"/>
  <c r="A495" i="1"/>
  <c r="Q494" i="1"/>
  <c r="P494" i="1"/>
  <c r="O494" i="1"/>
  <c r="N494" i="1"/>
  <c r="B494" i="1"/>
  <c r="A494" i="1"/>
  <c r="Q493" i="1"/>
  <c r="P493" i="1"/>
  <c r="O493" i="1"/>
  <c r="N493" i="1"/>
  <c r="B493" i="1"/>
  <c r="A493" i="1"/>
  <c r="Q492" i="1"/>
  <c r="P492" i="1"/>
  <c r="O492" i="1"/>
  <c r="N492" i="1"/>
  <c r="B492" i="1"/>
  <c r="A492" i="1"/>
  <c r="Q491" i="1"/>
  <c r="P491" i="1"/>
  <c r="O491" i="1"/>
  <c r="N491" i="1"/>
  <c r="B491" i="1"/>
  <c r="A491" i="1"/>
  <c r="Q490" i="1"/>
  <c r="P490" i="1"/>
  <c r="O490" i="1"/>
  <c r="N490" i="1"/>
  <c r="B490" i="1"/>
  <c r="A490" i="1"/>
  <c r="Q489" i="1"/>
  <c r="P489" i="1"/>
  <c r="O489" i="1"/>
  <c r="N489" i="1"/>
  <c r="B489" i="1"/>
  <c r="A489" i="1"/>
  <c r="Q488" i="1"/>
  <c r="P488" i="1"/>
  <c r="O488" i="1"/>
  <c r="N488" i="1"/>
  <c r="B488" i="1"/>
  <c r="A488" i="1"/>
  <c r="Q487" i="1"/>
  <c r="P487" i="1"/>
  <c r="O487" i="1"/>
  <c r="N487" i="1"/>
  <c r="B487" i="1"/>
  <c r="A487" i="1"/>
  <c r="Q486" i="1"/>
  <c r="P486" i="1"/>
  <c r="O486" i="1"/>
  <c r="N486" i="1"/>
  <c r="B486" i="1"/>
  <c r="A486" i="1"/>
  <c r="Q485" i="1"/>
  <c r="P485" i="1"/>
  <c r="O485" i="1"/>
  <c r="N485" i="1"/>
  <c r="B485" i="1"/>
  <c r="A485" i="1"/>
  <c r="Q484" i="1"/>
  <c r="P484" i="1"/>
  <c r="O484" i="1"/>
  <c r="N484" i="1"/>
  <c r="B484" i="1"/>
  <c r="A484" i="1"/>
  <c r="Q483" i="1"/>
  <c r="P483" i="1"/>
  <c r="O483" i="1"/>
  <c r="N483" i="1"/>
  <c r="B483" i="1"/>
  <c r="A483" i="1"/>
  <c r="Q482" i="1"/>
  <c r="P482" i="1"/>
  <c r="O482" i="1"/>
  <c r="N482" i="1"/>
  <c r="B482" i="1"/>
  <c r="A482" i="1"/>
  <c r="Q481" i="1"/>
  <c r="P481" i="1"/>
  <c r="O481" i="1"/>
  <c r="N481" i="1"/>
  <c r="B481" i="1"/>
  <c r="A481" i="1"/>
  <c r="Q480" i="1"/>
  <c r="P480" i="1"/>
  <c r="O480" i="1"/>
  <c r="N480" i="1"/>
  <c r="B480" i="1"/>
  <c r="A480" i="1"/>
  <c r="Q479" i="1"/>
  <c r="P479" i="1"/>
  <c r="O479" i="1"/>
  <c r="N479" i="1"/>
  <c r="B479" i="1"/>
  <c r="A479" i="1"/>
  <c r="Q478" i="1"/>
  <c r="P478" i="1"/>
  <c r="O478" i="1"/>
  <c r="N478" i="1"/>
  <c r="B478" i="1"/>
  <c r="A478" i="1"/>
  <c r="Q477" i="1"/>
  <c r="P477" i="1"/>
  <c r="O477" i="1"/>
  <c r="N477" i="1"/>
  <c r="B477" i="1"/>
  <c r="A477" i="1"/>
  <c r="Q476" i="1"/>
  <c r="P476" i="1"/>
  <c r="O476" i="1"/>
  <c r="N476" i="1"/>
  <c r="B476" i="1"/>
  <c r="A476" i="1"/>
  <c r="Q475" i="1"/>
  <c r="P475" i="1"/>
  <c r="O475" i="1"/>
  <c r="N475" i="1"/>
  <c r="B475" i="1"/>
  <c r="A475" i="1"/>
  <c r="Q474" i="1"/>
  <c r="P474" i="1"/>
  <c r="O474" i="1"/>
  <c r="N474" i="1"/>
  <c r="B474" i="1"/>
  <c r="A474" i="1"/>
  <c r="Q473" i="1"/>
  <c r="P473" i="1"/>
  <c r="O473" i="1"/>
  <c r="N473" i="1"/>
  <c r="B473" i="1"/>
  <c r="A473" i="1"/>
  <c r="Q472" i="1"/>
  <c r="P472" i="1"/>
  <c r="O472" i="1"/>
  <c r="N472" i="1"/>
  <c r="B472" i="1"/>
  <c r="A472" i="1"/>
  <c r="Q471" i="1"/>
  <c r="P471" i="1"/>
  <c r="O471" i="1"/>
  <c r="N471" i="1"/>
  <c r="B471" i="1"/>
  <c r="A471" i="1"/>
  <c r="Q470" i="1"/>
  <c r="P470" i="1"/>
  <c r="O470" i="1"/>
  <c r="N470" i="1"/>
  <c r="B470" i="1"/>
  <c r="A470" i="1"/>
  <c r="Q469" i="1"/>
  <c r="P469" i="1"/>
  <c r="O469" i="1"/>
  <c r="N469" i="1"/>
  <c r="B469" i="1"/>
  <c r="A469" i="1"/>
  <c r="Q468" i="1"/>
  <c r="P468" i="1"/>
  <c r="O468" i="1"/>
  <c r="N468" i="1"/>
  <c r="B468" i="1"/>
  <c r="A468" i="1"/>
  <c r="Q467" i="1"/>
  <c r="P467" i="1"/>
  <c r="O467" i="1"/>
  <c r="N467" i="1"/>
  <c r="B467" i="1"/>
  <c r="A467" i="1"/>
  <c r="Q466" i="1"/>
  <c r="P466" i="1"/>
  <c r="O466" i="1"/>
  <c r="N466" i="1"/>
  <c r="B466" i="1"/>
  <c r="A466" i="1"/>
  <c r="Q465" i="1"/>
  <c r="P465" i="1"/>
  <c r="O465" i="1"/>
  <c r="N465" i="1"/>
  <c r="B465" i="1"/>
  <c r="A465" i="1"/>
  <c r="Q464" i="1"/>
  <c r="P464" i="1"/>
  <c r="O464" i="1"/>
  <c r="N464" i="1"/>
  <c r="B464" i="1"/>
  <c r="A464" i="1"/>
  <c r="Q463" i="1"/>
  <c r="P463" i="1"/>
  <c r="O463" i="1"/>
  <c r="N463" i="1"/>
  <c r="B463" i="1"/>
  <c r="A463" i="1"/>
  <c r="Q462" i="1"/>
  <c r="P462" i="1"/>
  <c r="O462" i="1"/>
  <c r="N462" i="1"/>
  <c r="B462" i="1"/>
  <c r="A462" i="1"/>
  <c r="Q461" i="1"/>
  <c r="P461" i="1"/>
  <c r="O461" i="1"/>
  <c r="N461" i="1"/>
  <c r="B461" i="1"/>
  <c r="A461" i="1"/>
  <c r="Q460" i="1"/>
  <c r="P460" i="1"/>
  <c r="O460" i="1"/>
  <c r="N460" i="1"/>
  <c r="B460" i="1"/>
  <c r="A460" i="1"/>
  <c r="Q459" i="1"/>
  <c r="P459" i="1"/>
  <c r="O459" i="1"/>
  <c r="N459" i="1"/>
  <c r="B459" i="1"/>
  <c r="A459" i="1"/>
  <c r="Q458" i="1"/>
  <c r="P458" i="1"/>
  <c r="O458" i="1"/>
  <c r="N458" i="1"/>
  <c r="B458" i="1"/>
  <c r="A458" i="1"/>
  <c r="Q457" i="1"/>
  <c r="P457" i="1"/>
  <c r="O457" i="1"/>
  <c r="N457" i="1"/>
  <c r="B457" i="1"/>
  <c r="A457" i="1"/>
  <c r="Q456" i="1"/>
  <c r="P456" i="1"/>
  <c r="O456" i="1"/>
  <c r="N456" i="1"/>
  <c r="B456" i="1"/>
  <c r="A456" i="1"/>
  <c r="Q455" i="1"/>
  <c r="P455" i="1"/>
  <c r="O455" i="1"/>
  <c r="N455" i="1"/>
  <c r="B455" i="1"/>
  <c r="A455" i="1"/>
  <c r="Q454" i="1"/>
  <c r="P454" i="1"/>
  <c r="O454" i="1"/>
  <c r="N454" i="1"/>
  <c r="B454" i="1"/>
  <c r="A454" i="1"/>
  <c r="Q453" i="1"/>
  <c r="P453" i="1"/>
  <c r="O453" i="1"/>
  <c r="N453" i="1"/>
  <c r="B453" i="1"/>
  <c r="A453" i="1"/>
  <c r="Q452" i="1"/>
  <c r="P452" i="1"/>
  <c r="O452" i="1"/>
  <c r="N452" i="1"/>
  <c r="B452" i="1"/>
  <c r="A452" i="1"/>
  <c r="Q451" i="1"/>
  <c r="P451" i="1"/>
  <c r="O451" i="1"/>
  <c r="N451" i="1"/>
  <c r="B451" i="1"/>
  <c r="A451" i="1"/>
  <c r="Q450" i="1"/>
  <c r="P450" i="1"/>
  <c r="O450" i="1"/>
  <c r="N450" i="1"/>
  <c r="B450" i="1"/>
  <c r="A450" i="1"/>
  <c r="Q449" i="1"/>
  <c r="P449" i="1"/>
  <c r="O449" i="1"/>
  <c r="N449" i="1"/>
  <c r="B449" i="1"/>
  <c r="A449" i="1"/>
  <c r="Q448" i="1"/>
  <c r="P448" i="1"/>
  <c r="O448" i="1"/>
  <c r="N448" i="1"/>
  <c r="B448" i="1"/>
  <c r="A448" i="1"/>
  <c r="Q447" i="1"/>
  <c r="P447" i="1"/>
  <c r="O447" i="1"/>
  <c r="N447" i="1"/>
  <c r="B447" i="1"/>
  <c r="A447" i="1"/>
  <c r="Q446" i="1"/>
  <c r="P446" i="1"/>
  <c r="O446" i="1"/>
  <c r="N446" i="1"/>
  <c r="B446" i="1"/>
  <c r="A446" i="1"/>
  <c r="Q445" i="1"/>
  <c r="P445" i="1"/>
  <c r="O445" i="1"/>
  <c r="N445" i="1"/>
  <c r="B445" i="1"/>
  <c r="A445" i="1"/>
  <c r="Q444" i="1"/>
  <c r="P444" i="1"/>
  <c r="O444" i="1"/>
  <c r="N444" i="1"/>
  <c r="B444" i="1"/>
  <c r="A444" i="1"/>
  <c r="Q443" i="1"/>
  <c r="P443" i="1"/>
  <c r="O443" i="1"/>
  <c r="N443" i="1"/>
  <c r="B443" i="1"/>
  <c r="A443" i="1"/>
  <c r="Q442" i="1"/>
  <c r="P442" i="1"/>
  <c r="O442" i="1"/>
  <c r="N442" i="1"/>
  <c r="B442" i="1"/>
  <c r="A442" i="1"/>
  <c r="Q441" i="1"/>
  <c r="P441" i="1"/>
  <c r="O441" i="1"/>
  <c r="N441" i="1"/>
  <c r="B441" i="1"/>
  <c r="A441" i="1"/>
  <c r="Q440" i="1"/>
  <c r="P440" i="1"/>
  <c r="O440" i="1"/>
  <c r="N440" i="1"/>
  <c r="B440" i="1"/>
  <c r="A440" i="1"/>
  <c r="Q439" i="1"/>
  <c r="P439" i="1"/>
  <c r="O439" i="1"/>
  <c r="N439" i="1"/>
  <c r="B439" i="1"/>
  <c r="A439" i="1"/>
  <c r="Q438" i="1"/>
  <c r="P438" i="1"/>
  <c r="O438" i="1"/>
  <c r="N438" i="1"/>
  <c r="B438" i="1"/>
  <c r="A438" i="1"/>
  <c r="Q437" i="1"/>
  <c r="P437" i="1"/>
  <c r="O437" i="1"/>
  <c r="N437" i="1"/>
  <c r="B437" i="1"/>
  <c r="A437" i="1"/>
  <c r="Q436" i="1"/>
  <c r="P436" i="1"/>
  <c r="O436" i="1"/>
  <c r="N436" i="1"/>
  <c r="B436" i="1"/>
  <c r="A436" i="1"/>
  <c r="Q435" i="1"/>
  <c r="P435" i="1"/>
  <c r="O435" i="1"/>
  <c r="N435" i="1"/>
  <c r="B435" i="1"/>
  <c r="A435" i="1"/>
  <c r="Q434" i="1"/>
  <c r="P434" i="1"/>
  <c r="O434" i="1"/>
  <c r="N434" i="1"/>
  <c r="B434" i="1"/>
  <c r="A434" i="1"/>
  <c r="Q433" i="1"/>
  <c r="P433" i="1"/>
  <c r="O433" i="1"/>
  <c r="N433" i="1"/>
  <c r="B433" i="1"/>
  <c r="A433" i="1"/>
  <c r="Q432" i="1"/>
  <c r="P432" i="1"/>
  <c r="O432" i="1"/>
  <c r="N432" i="1"/>
  <c r="B432" i="1"/>
  <c r="A432" i="1"/>
  <c r="Q431" i="1"/>
  <c r="P431" i="1"/>
  <c r="O431" i="1"/>
  <c r="N431" i="1"/>
  <c r="B431" i="1"/>
  <c r="A431" i="1"/>
  <c r="Q430" i="1"/>
  <c r="P430" i="1"/>
  <c r="O430" i="1"/>
  <c r="N430" i="1"/>
  <c r="B430" i="1"/>
  <c r="A430" i="1"/>
  <c r="Q429" i="1"/>
  <c r="P429" i="1"/>
  <c r="O429" i="1"/>
  <c r="N429" i="1"/>
  <c r="B429" i="1"/>
  <c r="A429" i="1"/>
  <c r="Q428" i="1"/>
  <c r="P428" i="1"/>
  <c r="O428" i="1"/>
  <c r="N428" i="1"/>
  <c r="B428" i="1"/>
  <c r="A428" i="1"/>
  <c r="Q427" i="1"/>
  <c r="P427" i="1"/>
  <c r="O427" i="1"/>
  <c r="N427" i="1"/>
  <c r="B427" i="1"/>
  <c r="A427" i="1"/>
  <c r="Q426" i="1"/>
  <c r="P426" i="1"/>
  <c r="O426" i="1"/>
  <c r="N426" i="1"/>
  <c r="B426" i="1"/>
  <c r="A426" i="1"/>
  <c r="Q425" i="1"/>
  <c r="P425" i="1"/>
  <c r="O425" i="1"/>
  <c r="N425" i="1"/>
  <c r="B425" i="1"/>
  <c r="A425" i="1"/>
  <c r="Q424" i="1"/>
  <c r="P424" i="1"/>
  <c r="O424" i="1"/>
  <c r="N424" i="1"/>
  <c r="B424" i="1"/>
  <c r="A424" i="1"/>
  <c r="Q423" i="1"/>
  <c r="P423" i="1"/>
  <c r="O423" i="1"/>
  <c r="N423" i="1"/>
  <c r="B423" i="1"/>
  <c r="A423" i="1"/>
  <c r="Q422" i="1"/>
  <c r="P422" i="1"/>
  <c r="O422" i="1"/>
  <c r="N422" i="1"/>
  <c r="B422" i="1"/>
  <c r="A422" i="1"/>
  <c r="Q421" i="1"/>
  <c r="P421" i="1"/>
  <c r="O421" i="1"/>
  <c r="N421" i="1"/>
  <c r="B421" i="1"/>
  <c r="A421" i="1"/>
  <c r="Q420" i="1"/>
  <c r="P420" i="1"/>
  <c r="O420" i="1"/>
  <c r="N420" i="1"/>
  <c r="B420" i="1"/>
  <c r="A420" i="1"/>
  <c r="Q419" i="1"/>
  <c r="P419" i="1"/>
  <c r="O419" i="1"/>
  <c r="N419" i="1"/>
  <c r="B419" i="1"/>
  <c r="A419" i="1"/>
  <c r="Q418" i="1"/>
  <c r="P418" i="1"/>
  <c r="O418" i="1"/>
  <c r="N418" i="1"/>
  <c r="B418" i="1"/>
  <c r="A418" i="1"/>
  <c r="Q417" i="1"/>
  <c r="P417" i="1"/>
  <c r="O417" i="1"/>
  <c r="N417" i="1"/>
  <c r="B417" i="1"/>
  <c r="A417" i="1"/>
  <c r="Q416" i="1"/>
  <c r="P416" i="1"/>
  <c r="O416" i="1"/>
  <c r="N416" i="1"/>
  <c r="B416" i="1"/>
  <c r="A416" i="1"/>
  <c r="Q415" i="1"/>
  <c r="P415" i="1"/>
  <c r="O415" i="1"/>
  <c r="N415" i="1"/>
  <c r="B415" i="1"/>
  <c r="A415" i="1"/>
  <c r="Q414" i="1"/>
  <c r="P414" i="1"/>
  <c r="O414" i="1"/>
  <c r="N414" i="1"/>
  <c r="B414" i="1"/>
  <c r="A414" i="1"/>
  <c r="Q413" i="1"/>
  <c r="P413" i="1"/>
  <c r="O413" i="1"/>
  <c r="N413" i="1"/>
  <c r="B413" i="1"/>
  <c r="A413" i="1"/>
  <c r="Q412" i="1"/>
  <c r="P412" i="1"/>
  <c r="O412" i="1"/>
  <c r="N412" i="1"/>
  <c r="B412" i="1"/>
  <c r="A412" i="1"/>
  <c r="Q411" i="1"/>
  <c r="P411" i="1"/>
  <c r="O411" i="1"/>
  <c r="N411" i="1"/>
  <c r="B411" i="1"/>
  <c r="A411" i="1"/>
  <c r="Q410" i="1"/>
  <c r="P410" i="1"/>
  <c r="O410" i="1"/>
  <c r="N410" i="1"/>
  <c r="B410" i="1"/>
  <c r="A410" i="1"/>
  <c r="Q409" i="1"/>
  <c r="P409" i="1"/>
  <c r="O409" i="1"/>
  <c r="N409" i="1"/>
  <c r="B409" i="1"/>
  <c r="A409" i="1"/>
  <c r="Q408" i="1"/>
  <c r="P408" i="1"/>
  <c r="O408" i="1"/>
  <c r="N408" i="1"/>
  <c r="B408" i="1"/>
  <c r="A408" i="1"/>
  <c r="Q407" i="1"/>
  <c r="P407" i="1"/>
  <c r="O407" i="1"/>
  <c r="N407" i="1"/>
  <c r="B407" i="1"/>
  <c r="A407" i="1"/>
  <c r="Q406" i="1"/>
  <c r="P406" i="1"/>
  <c r="O406" i="1"/>
  <c r="N406" i="1"/>
  <c r="B406" i="1"/>
  <c r="A406" i="1"/>
  <c r="Q405" i="1"/>
  <c r="P405" i="1"/>
  <c r="O405" i="1"/>
  <c r="N405" i="1"/>
  <c r="B405" i="1"/>
  <c r="A405" i="1"/>
  <c r="Q404" i="1"/>
  <c r="P404" i="1"/>
  <c r="O404" i="1"/>
  <c r="N404" i="1"/>
  <c r="B404" i="1"/>
  <c r="A404" i="1"/>
  <c r="Q403" i="1"/>
  <c r="P403" i="1"/>
  <c r="O403" i="1"/>
  <c r="N403" i="1"/>
  <c r="B403" i="1"/>
  <c r="A403" i="1"/>
  <c r="Q402" i="1"/>
  <c r="P402" i="1"/>
  <c r="O402" i="1"/>
  <c r="N402" i="1"/>
  <c r="B402" i="1"/>
  <c r="A402" i="1"/>
  <c r="Q401" i="1"/>
  <c r="P401" i="1"/>
  <c r="O401" i="1"/>
  <c r="N401" i="1"/>
  <c r="B401" i="1"/>
  <c r="A401" i="1"/>
  <c r="Q400" i="1"/>
  <c r="P400" i="1"/>
  <c r="O400" i="1"/>
  <c r="N400" i="1"/>
  <c r="B400" i="1"/>
  <c r="A400" i="1"/>
  <c r="Q399" i="1"/>
  <c r="P399" i="1"/>
  <c r="O399" i="1"/>
  <c r="N399" i="1"/>
  <c r="B399" i="1"/>
  <c r="A399" i="1"/>
  <c r="Q398" i="1"/>
  <c r="P398" i="1"/>
  <c r="O398" i="1"/>
  <c r="N398" i="1"/>
  <c r="B398" i="1"/>
  <c r="A398" i="1"/>
  <c r="Q397" i="1"/>
  <c r="P397" i="1"/>
  <c r="O397" i="1"/>
  <c r="N397" i="1"/>
  <c r="B397" i="1"/>
  <c r="A397" i="1"/>
  <c r="Q396" i="1"/>
  <c r="P396" i="1"/>
  <c r="O396" i="1"/>
  <c r="N396" i="1"/>
  <c r="B396" i="1"/>
  <c r="A396" i="1"/>
  <c r="Q395" i="1"/>
  <c r="P395" i="1"/>
  <c r="O395" i="1"/>
  <c r="N395" i="1"/>
  <c r="B395" i="1"/>
  <c r="A395" i="1"/>
  <c r="Q394" i="1"/>
  <c r="P394" i="1"/>
  <c r="O394" i="1"/>
  <c r="N394" i="1"/>
  <c r="B394" i="1"/>
  <c r="A394" i="1"/>
  <c r="Q393" i="1"/>
  <c r="P393" i="1"/>
  <c r="O393" i="1"/>
  <c r="N393" i="1"/>
  <c r="B393" i="1"/>
  <c r="A393" i="1"/>
  <c r="Q392" i="1"/>
  <c r="P392" i="1"/>
  <c r="O392" i="1"/>
  <c r="N392" i="1"/>
  <c r="B392" i="1"/>
  <c r="A392" i="1"/>
  <c r="Q391" i="1"/>
  <c r="P391" i="1"/>
  <c r="O391" i="1"/>
  <c r="N391" i="1"/>
  <c r="B391" i="1"/>
  <c r="A391" i="1"/>
  <c r="Q390" i="1"/>
  <c r="P390" i="1"/>
  <c r="O390" i="1"/>
  <c r="N390" i="1"/>
  <c r="B390" i="1"/>
  <c r="A390" i="1"/>
  <c r="Q389" i="1"/>
  <c r="P389" i="1"/>
  <c r="O389" i="1"/>
  <c r="N389" i="1"/>
  <c r="B389" i="1"/>
  <c r="A389" i="1"/>
  <c r="Q388" i="1"/>
  <c r="P388" i="1"/>
  <c r="O388" i="1"/>
  <c r="N388" i="1"/>
  <c r="B388" i="1"/>
  <c r="A388" i="1"/>
  <c r="Q387" i="1"/>
  <c r="P387" i="1"/>
  <c r="O387" i="1"/>
  <c r="N387" i="1"/>
  <c r="B387" i="1"/>
  <c r="A387" i="1"/>
  <c r="Q386" i="1"/>
  <c r="P386" i="1"/>
  <c r="O386" i="1"/>
  <c r="N386" i="1"/>
  <c r="B386" i="1"/>
  <c r="A386" i="1"/>
  <c r="Q385" i="1"/>
  <c r="P385" i="1"/>
  <c r="O385" i="1"/>
  <c r="N385" i="1"/>
  <c r="B385" i="1"/>
  <c r="A385" i="1"/>
  <c r="Q384" i="1"/>
  <c r="P384" i="1"/>
  <c r="O384" i="1"/>
  <c r="N384" i="1"/>
  <c r="B384" i="1"/>
  <c r="A384" i="1"/>
  <c r="Q383" i="1"/>
  <c r="P383" i="1"/>
  <c r="O383" i="1"/>
  <c r="N383" i="1"/>
  <c r="B383" i="1"/>
  <c r="A383" i="1"/>
  <c r="Q382" i="1"/>
  <c r="P382" i="1"/>
  <c r="O382" i="1"/>
  <c r="N382" i="1"/>
  <c r="B382" i="1"/>
  <c r="A382" i="1"/>
  <c r="Q381" i="1"/>
  <c r="P381" i="1"/>
  <c r="O381" i="1"/>
  <c r="N381" i="1"/>
  <c r="B381" i="1"/>
  <c r="A381" i="1"/>
  <c r="Q380" i="1"/>
  <c r="P380" i="1"/>
  <c r="O380" i="1"/>
  <c r="N380" i="1"/>
  <c r="B380" i="1"/>
  <c r="A380" i="1"/>
  <c r="Q379" i="1"/>
  <c r="P379" i="1"/>
  <c r="O379" i="1"/>
  <c r="N379" i="1"/>
  <c r="B379" i="1"/>
  <c r="A379" i="1"/>
  <c r="Q378" i="1"/>
  <c r="P378" i="1"/>
  <c r="O378" i="1"/>
  <c r="N378" i="1"/>
  <c r="B378" i="1"/>
  <c r="A378" i="1"/>
  <c r="Q377" i="1"/>
  <c r="P377" i="1"/>
  <c r="O377" i="1"/>
  <c r="N377" i="1"/>
  <c r="B377" i="1"/>
  <c r="A377" i="1"/>
  <c r="Q376" i="1"/>
  <c r="P376" i="1"/>
  <c r="O376" i="1"/>
  <c r="N376" i="1"/>
  <c r="B376" i="1"/>
  <c r="A376" i="1"/>
  <c r="Q375" i="1"/>
  <c r="P375" i="1"/>
  <c r="O375" i="1"/>
  <c r="N375" i="1"/>
  <c r="B375" i="1"/>
  <c r="A375" i="1"/>
  <c r="Q374" i="1"/>
  <c r="P374" i="1"/>
  <c r="O374" i="1"/>
  <c r="N374" i="1"/>
  <c r="B374" i="1"/>
  <c r="A374" i="1"/>
  <c r="Q373" i="1"/>
  <c r="P373" i="1"/>
  <c r="O373" i="1"/>
  <c r="N373" i="1"/>
  <c r="B373" i="1"/>
  <c r="A373" i="1"/>
  <c r="Q372" i="1"/>
  <c r="P372" i="1"/>
  <c r="O372" i="1"/>
  <c r="N372" i="1"/>
  <c r="B372" i="1"/>
  <c r="A372" i="1"/>
  <c r="Q371" i="1"/>
  <c r="P371" i="1"/>
  <c r="O371" i="1"/>
  <c r="N371" i="1"/>
  <c r="B371" i="1"/>
  <c r="A371" i="1"/>
  <c r="Q370" i="1"/>
  <c r="P370" i="1"/>
  <c r="O370" i="1"/>
  <c r="N370" i="1"/>
  <c r="B370" i="1"/>
  <c r="A370" i="1"/>
  <c r="Q369" i="1"/>
  <c r="P369" i="1"/>
  <c r="O369" i="1"/>
  <c r="N369" i="1"/>
  <c r="B369" i="1"/>
  <c r="A369" i="1"/>
  <c r="Q368" i="1"/>
  <c r="P368" i="1"/>
  <c r="O368" i="1"/>
  <c r="N368" i="1"/>
  <c r="B368" i="1"/>
  <c r="A368" i="1"/>
  <c r="Q367" i="1"/>
  <c r="P367" i="1"/>
  <c r="O367" i="1"/>
  <c r="N367" i="1"/>
  <c r="B367" i="1"/>
  <c r="A367" i="1"/>
  <c r="Q366" i="1"/>
  <c r="P366" i="1"/>
  <c r="O366" i="1"/>
  <c r="N366" i="1"/>
  <c r="B366" i="1"/>
  <c r="A366" i="1"/>
  <c r="Q365" i="1"/>
  <c r="P365" i="1"/>
  <c r="O365" i="1"/>
  <c r="N365" i="1"/>
  <c r="B365" i="1"/>
  <c r="A365" i="1"/>
  <c r="Q364" i="1"/>
  <c r="P364" i="1"/>
  <c r="O364" i="1"/>
  <c r="N364" i="1"/>
  <c r="B364" i="1"/>
  <c r="A364" i="1"/>
  <c r="Q363" i="1"/>
  <c r="P363" i="1"/>
  <c r="O363" i="1"/>
  <c r="N363" i="1"/>
  <c r="B363" i="1"/>
  <c r="A363" i="1"/>
  <c r="Q362" i="1"/>
  <c r="P362" i="1"/>
  <c r="O362" i="1"/>
  <c r="N362" i="1"/>
  <c r="B362" i="1"/>
  <c r="A362" i="1"/>
  <c r="Q361" i="1"/>
  <c r="P361" i="1"/>
  <c r="O361" i="1"/>
  <c r="N361" i="1"/>
  <c r="B361" i="1"/>
  <c r="A361" i="1"/>
  <c r="Q360" i="1"/>
  <c r="P360" i="1"/>
  <c r="O360" i="1"/>
  <c r="N360" i="1"/>
  <c r="B360" i="1"/>
  <c r="A360" i="1"/>
  <c r="Q359" i="1"/>
  <c r="P359" i="1"/>
  <c r="O359" i="1"/>
  <c r="N359" i="1"/>
  <c r="B359" i="1"/>
  <c r="A359" i="1"/>
  <c r="Q358" i="1"/>
  <c r="P358" i="1"/>
  <c r="O358" i="1"/>
  <c r="N358" i="1"/>
  <c r="B358" i="1"/>
  <c r="A358" i="1"/>
  <c r="Q357" i="1"/>
  <c r="P357" i="1"/>
  <c r="O357" i="1"/>
  <c r="N357" i="1"/>
  <c r="B357" i="1"/>
  <c r="A357" i="1"/>
  <c r="Q356" i="1"/>
  <c r="P356" i="1"/>
  <c r="O356" i="1"/>
  <c r="N356" i="1"/>
  <c r="B356" i="1"/>
  <c r="A356" i="1"/>
  <c r="Q355" i="1"/>
  <c r="P355" i="1"/>
  <c r="O355" i="1"/>
  <c r="N355" i="1"/>
  <c r="B355" i="1"/>
  <c r="A355" i="1"/>
  <c r="Q354" i="1"/>
  <c r="P354" i="1"/>
  <c r="O354" i="1"/>
  <c r="N354" i="1"/>
  <c r="B354" i="1"/>
  <c r="A354" i="1"/>
  <c r="Q353" i="1"/>
  <c r="P353" i="1"/>
  <c r="O353" i="1"/>
  <c r="N353" i="1"/>
  <c r="B353" i="1"/>
  <c r="A353" i="1"/>
  <c r="Q352" i="1"/>
  <c r="P352" i="1"/>
  <c r="O352" i="1"/>
  <c r="N352" i="1"/>
  <c r="B352" i="1"/>
  <c r="A352" i="1"/>
  <c r="Q351" i="1"/>
  <c r="P351" i="1"/>
  <c r="O351" i="1"/>
  <c r="N351" i="1"/>
  <c r="B351" i="1"/>
  <c r="A351" i="1"/>
  <c r="Q350" i="1"/>
  <c r="P350" i="1"/>
  <c r="O350" i="1"/>
  <c r="N350" i="1"/>
  <c r="B350" i="1"/>
  <c r="A350" i="1"/>
  <c r="Q349" i="1"/>
  <c r="P349" i="1"/>
  <c r="O349" i="1"/>
  <c r="N349" i="1"/>
  <c r="B349" i="1"/>
  <c r="A349" i="1"/>
  <c r="Q348" i="1"/>
  <c r="P348" i="1"/>
  <c r="O348" i="1"/>
  <c r="N348" i="1"/>
  <c r="B348" i="1"/>
  <c r="A348" i="1"/>
  <c r="Q347" i="1"/>
  <c r="P347" i="1"/>
  <c r="O347" i="1"/>
  <c r="N347" i="1"/>
  <c r="B347" i="1"/>
  <c r="A347" i="1"/>
  <c r="Q346" i="1"/>
  <c r="P346" i="1"/>
  <c r="O346" i="1"/>
  <c r="N346" i="1"/>
  <c r="B346" i="1"/>
  <c r="A346" i="1"/>
  <c r="Q345" i="1"/>
  <c r="P345" i="1"/>
  <c r="O345" i="1"/>
  <c r="N345" i="1"/>
  <c r="B345" i="1"/>
  <c r="A345" i="1"/>
  <c r="Q344" i="1"/>
  <c r="P344" i="1"/>
  <c r="O344" i="1"/>
  <c r="N344" i="1"/>
  <c r="B344" i="1"/>
  <c r="A344" i="1"/>
  <c r="Q343" i="1"/>
  <c r="P343" i="1"/>
  <c r="O343" i="1"/>
  <c r="N343" i="1"/>
  <c r="B343" i="1"/>
  <c r="A343" i="1"/>
  <c r="Q342" i="1"/>
  <c r="P342" i="1"/>
  <c r="O342" i="1"/>
  <c r="N342" i="1"/>
  <c r="B342" i="1"/>
  <c r="A342" i="1"/>
  <c r="Q341" i="1"/>
  <c r="P341" i="1"/>
  <c r="O341" i="1"/>
  <c r="N341" i="1"/>
  <c r="B341" i="1"/>
  <c r="A341" i="1"/>
  <c r="Q340" i="1"/>
  <c r="P340" i="1"/>
  <c r="O340" i="1"/>
  <c r="N340" i="1"/>
  <c r="B340" i="1"/>
  <c r="A340" i="1"/>
  <c r="Q339" i="1"/>
  <c r="P339" i="1"/>
  <c r="O339" i="1"/>
  <c r="N339" i="1"/>
  <c r="B339" i="1"/>
  <c r="A339" i="1"/>
  <c r="Q338" i="1"/>
  <c r="P338" i="1"/>
  <c r="O338" i="1"/>
  <c r="N338" i="1"/>
  <c r="B338" i="1"/>
  <c r="A338" i="1"/>
  <c r="Q337" i="1"/>
  <c r="P337" i="1"/>
  <c r="O337" i="1"/>
  <c r="N337" i="1"/>
  <c r="B337" i="1"/>
  <c r="A337" i="1"/>
  <c r="Q336" i="1"/>
  <c r="P336" i="1"/>
  <c r="O336" i="1"/>
  <c r="N336" i="1"/>
  <c r="B336" i="1"/>
  <c r="A336" i="1"/>
  <c r="Q335" i="1"/>
  <c r="P335" i="1"/>
  <c r="O335" i="1"/>
  <c r="N335" i="1"/>
  <c r="B335" i="1"/>
  <c r="A335" i="1"/>
  <c r="Q334" i="1"/>
  <c r="P334" i="1"/>
  <c r="O334" i="1"/>
  <c r="N334" i="1"/>
  <c r="B334" i="1"/>
  <c r="A334" i="1"/>
  <c r="Q333" i="1"/>
  <c r="P333" i="1"/>
  <c r="O333" i="1"/>
  <c r="N333" i="1"/>
  <c r="B333" i="1"/>
  <c r="A333" i="1"/>
  <c r="Q332" i="1"/>
  <c r="P332" i="1"/>
  <c r="O332" i="1"/>
  <c r="N332" i="1"/>
  <c r="B332" i="1"/>
  <c r="A332" i="1"/>
  <c r="Q331" i="1"/>
  <c r="P331" i="1"/>
  <c r="O331" i="1"/>
  <c r="N331" i="1"/>
  <c r="B331" i="1"/>
  <c r="A331" i="1"/>
  <c r="Q330" i="1"/>
  <c r="P330" i="1"/>
  <c r="O330" i="1"/>
  <c r="N330" i="1"/>
  <c r="B330" i="1"/>
  <c r="A330" i="1"/>
  <c r="Q329" i="1"/>
  <c r="P329" i="1"/>
  <c r="O329" i="1"/>
  <c r="N329" i="1"/>
  <c r="B329" i="1"/>
  <c r="A329" i="1"/>
  <c r="Q328" i="1"/>
  <c r="P328" i="1"/>
  <c r="O328" i="1"/>
  <c r="N328" i="1"/>
  <c r="B328" i="1"/>
  <c r="A328" i="1"/>
  <c r="Q327" i="1"/>
  <c r="P327" i="1"/>
  <c r="O327" i="1"/>
  <c r="N327" i="1"/>
  <c r="B327" i="1"/>
  <c r="A327" i="1"/>
  <c r="Q326" i="1"/>
  <c r="P326" i="1"/>
  <c r="O326" i="1"/>
  <c r="N326" i="1"/>
  <c r="B326" i="1"/>
  <c r="A326" i="1"/>
  <c r="Q325" i="1"/>
  <c r="P325" i="1"/>
  <c r="O325" i="1"/>
  <c r="N325" i="1"/>
  <c r="B325" i="1"/>
  <c r="A325" i="1"/>
  <c r="Q324" i="1"/>
  <c r="P324" i="1"/>
  <c r="O324" i="1"/>
  <c r="N324" i="1"/>
  <c r="B324" i="1"/>
  <c r="A324" i="1"/>
  <c r="Q323" i="1"/>
  <c r="P323" i="1"/>
  <c r="O323" i="1"/>
  <c r="N323" i="1"/>
  <c r="B323" i="1"/>
  <c r="A323" i="1"/>
  <c r="Q322" i="1"/>
  <c r="P322" i="1"/>
  <c r="O322" i="1"/>
  <c r="N322" i="1"/>
  <c r="B322" i="1"/>
  <c r="A322" i="1"/>
  <c r="Q321" i="1"/>
  <c r="P321" i="1"/>
  <c r="O321" i="1"/>
  <c r="N321" i="1"/>
  <c r="B321" i="1"/>
  <c r="A321" i="1"/>
  <c r="Q320" i="1"/>
  <c r="P320" i="1"/>
  <c r="O320" i="1"/>
  <c r="N320" i="1"/>
  <c r="B320" i="1"/>
  <c r="A320" i="1"/>
  <c r="Q319" i="1"/>
  <c r="P319" i="1"/>
  <c r="O319" i="1"/>
  <c r="N319" i="1"/>
  <c r="B319" i="1"/>
  <c r="A319" i="1"/>
  <c r="Q318" i="1"/>
  <c r="P318" i="1"/>
  <c r="O318" i="1"/>
  <c r="N318" i="1"/>
  <c r="B318" i="1"/>
  <c r="A318" i="1"/>
  <c r="Q317" i="1"/>
  <c r="P317" i="1"/>
  <c r="O317" i="1"/>
  <c r="N317" i="1"/>
  <c r="B317" i="1"/>
  <c r="A317" i="1"/>
  <c r="Q316" i="1"/>
  <c r="P316" i="1"/>
  <c r="O316" i="1"/>
  <c r="N316" i="1"/>
  <c r="B316" i="1"/>
  <c r="A316" i="1"/>
  <c r="Q315" i="1"/>
  <c r="P315" i="1"/>
  <c r="O315" i="1"/>
  <c r="N315" i="1"/>
  <c r="B315" i="1"/>
  <c r="A315" i="1"/>
  <c r="Q314" i="1"/>
  <c r="P314" i="1"/>
  <c r="O314" i="1"/>
  <c r="N314" i="1"/>
  <c r="B314" i="1"/>
  <c r="A314" i="1"/>
  <c r="Q313" i="1"/>
  <c r="P313" i="1"/>
  <c r="O313" i="1"/>
  <c r="N313" i="1"/>
  <c r="B313" i="1"/>
  <c r="A313" i="1"/>
  <c r="Q312" i="1"/>
  <c r="P312" i="1"/>
  <c r="O312" i="1"/>
  <c r="N312" i="1"/>
  <c r="B312" i="1"/>
  <c r="A312" i="1"/>
  <c r="Q311" i="1"/>
  <c r="P311" i="1"/>
  <c r="O311" i="1"/>
  <c r="N311" i="1"/>
  <c r="B311" i="1"/>
  <c r="A311" i="1"/>
  <c r="Q310" i="1"/>
  <c r="P310" i="1"/>
  <c r="O310" i="1"/>
  <c r="N310" i="1"/>
  <c r="B310" i="1"/>
  <c r="A310" i="1"/>
  <c r="Q309" i="1"/>
  <c r="P309" i="1"/>
  <c r="O309" i="1"/>
  <c r="N309" i="1"/>
  <c r="B309" i="1"/>
  <c r="A309" i="1"/>
  <c r="Q308" i="1"/>
  <c r="P308" i="1"/>
  <c r="O308" i="1"/>
  <c r="N308" i="1"/>
  <c r="B308" i="1"/>
  <c r="A308" i="1"/>
  <c r="Q307" i="1"/>
  <c r="P307" i="1"/>
  <c r="O307" i="1"/>
  <c r="N307" i="1"/>
  <c r="B307" i="1"/>
  <c r="A307" i="1"/>
  <c r="Q306" i="1"/>
  <c r="P306" i="1"/>
  <c r="O306" i="1"/>
  <c r="N306" i="1"/>
  <c r="B306" i="1"/>
  <c r="A306" i="1"/>
  <c r="Q305" i="1"/>
  <c r="P305" i="1"/>
  <c r="O305" i="1"/>
  <c r="N305" i="1"/>
  <c r="B305" i="1"/>
  <c r="A305" i="1"/>
  <c r="Q304" i="1"/>
  <c r="P304" i="1"/>
  <c r="O304" i="1"/>
  <c r="N304" i="1"/>
  <c r="B304" i="1"/>
  <c r="A304" i="1"/>
  <c r="Q303" i="1"/>
  <c r="P303" i="1"/>
  <c r="O303" i="1"/>
  <c r="N303" i="1"/>
  <c r="B303" i="1"/>
  <c r="A303" i="1"/>
  <c r="Q302" i="1"/>
  <c r="P302" i="1"/>
  <c r="O302" i="1"/>
  <c r="N302" i="1"/>
  <c r="B302" i="1"/>
  <c r="A302" i="1"/>
  <c r="Q301" i="1"/>
  <c r="P301" i="1"/>
  <c r="O301" i="1"/>
  <c r="N301" i="1"/>
  <c r="B301" i="1"/>
  <c r="A301" i="1"/>
  <c r="Q300" i="1"/>
  <c r="P300" i="1"/>
  <c r="O300" i="1"/>
  <c r="N300" i="1"/>
  <c r="B300" i="1"/>
  <c r="A300" i="1"/>
  <c r="Q299" i="1"/>
  <c r="P299" i="1"/>
  <c r="O299" i="1"/>
  <c r="N299" i="1"/>
  <c r="B299" i="1"/>
  <c r="A299" i="1"/>
  <c r="Q298" i="1"/>
  <c r="P298" i="1"/>
  <c r="O298" i="1"/>
  <c r="N298" i="1"/>
  <c r="B298" i="1"/>
  <c r="A298" i="1"/>
  <c r="Q297" i="1"/>
  <c r="P297" i="1"/>
  <c r="O297" i="1"/>
  <c r="N297" i="1"/>
  <c r="B297" i="1"/>
  <c r="A297" i="1"/>
  <c r="Q296" i="1"/>
  <c r="P296" i="1"/>
  <c r="O296" i="1"/>
  <c r="N296" i="1"/>
  <c r="B296" i="1"/>
  <c r="A296" i="1"/>
  <c r="Q295" i="1"/>
  <c r="P295" i="1"/>
  <c r="O295" i="1"/>
  <c r="N295" i="1"/>
  <c r="B295" i="1"/>
  <c r="A295" i="1"/>
  <c r="Q294" i="1"/>
  <c r="P294" i="1"/>
  <c r="O294" i="1"/>
  <c r="N294" i="1"/>
  <c r="B294" i="1"/>
  <c r="A294" i="1"/>
  <c r="Q293" i="1"/>
  <c r="P293" i="1"/>
  <c r="O293" i="1"/>
  <c r="N293" i="1"/>
  <c r="B293" i="1"/>
  <c r="A293" i="1"/>
  <c r="Q292" i="1"/>
  <c r="P292" i="1"/>
  <c r="O292" i="1"/>
  <c r="N292" i="1"/>
  <c r="B292" i="1"/>
  <c r="A292" i="1"/>
  <c r="Q291" i="1"/>
  <c r="P291" i="1"/>
  <c r="O291" i="1"/>
  <c r="N291" i="1"/>
  <c r="B291" i="1"/>
  <c r="A291" i="1"/>
  <c r="Q290" i="1"/>
  <c r="P290" i="1"/>
  <c r="O290" i="1"/>
  <c r="N290" i="1"/>
  <c r="B290" i="1"/>
  <c r="A290" i="1"/>
  <c r="Q289" i="1"/>
  <c r="P289" i="1"/>
  <c r="O289" i="1"/>
  <c r="N289" i="1"/>
  <c r="B289" i="1"/>
  <c r="A289" i="1"/>
  <c r="Q288" i="1"/>
  <c r="P288" i="1"/>
  <c r="O288" i="1"/>
  <c r="N288" i="1"/>
  <c r="B288" i="1"/>
  <c r="A288" i="1"/>
  <c r="Q287" i="1"/>
  <c r="P287" i="1"/>
  <c r="O287" i="1"/>
  <c r="N287" i="1"/>
  <c r="B287" i="1"/>
  <c r="A287" i="1"/>
  <c r="Q286" i="1"/>
  <c r="P286" i="1"/>
  <c r="O286" i="1"/>
  <c r="N286" i="1"/>
  <c r="B286" i="1"/>
  <c r="A286" i="1"/>
  <c r="Q285" i="1"/>
  <c r="P285" i="1"/>
  <c r="O285" i="1"/>
  <c r="N285" i="1"/>
  <c r="B285" i="1"/>
  <c r="A285" i="1"/>
  <c r="Q284" i="1"/>
  <c r="P284" i="1"/>
  <c r="O284" i="1"/>
  <c r="N284" i="1"/>
  <c r="B284" i="1"/>
  <c r="A284" i="1"/>
  <c r="Q283" i="1"/>
  <c r="P283" i="1"/>
  <c r="O283" i="1"/>
  <c r="N283" i="1"/>
  <c r="B283" i="1"/>
  <c r="A283" i="1"/>
  <c r="Q282" i="1"/>
  <c r="P282" i="1"/>
  <c r="O282" i="1"/>
  <c r="N282" i="1"/>
  <c r="B282" i="1"/>
  <c r="A282" i="1"/>
  <c r="Q281" i="1"/>
  <c r="P281" i="1"/>
  <c r="O281" i="1"/>
  <c r="N281" i="1"/>
  <c r="B281" i="1"/>
  <c r="A281" i="1"/>
  <c r="Q280" i="1"/>
  <c r="P280" i="1"/>
  <c r="O280" i="1"/>
  <c r="N280" i="1"/>
  <c r="B280" i="1"/>
  <c r="A280" i="1"/>
  <c r="Q279" i="1"/>
  <c r="P279" i="1"/>
  <c r="O279" i="1"/>
  <c r="N279" i="1"/>
  <c r="B279" i="1"/>
  <c r="A279" i="1"/>
  <c r="Q278" i="1"/>
  <c r="P278" i="1"/>
  <c r="O278" i="1"/>
  <c r="N278" i="1"/>
  <c r="B278" i="1"/>
  <c r="A278" i="1"/>
  <c r="Q277" i="1"/>
  <c r="P277" i="1"/>
  <c r="O277" i="1"/>
  <c r="N277" i="1"/>
  <c r="B277" i="1"/>
  <c r="A277" i="1"/>
  <c r="Q276" i="1"/>
  <c r="P276" i="1"/>
  <c r="O276" i="1"/>
  <c r="N276" i="1"/>
  <c r="B276" i="1"/>
  <c r="A276" i="1"/>
  <c r="Q275" i="1"/>
  <c r="P275" i="1"/>
  <c r="O275" i="1"/>
  <c r="N275" i="1"/>
  <c r="B275" i="1"/>
  <c r="A275" i="1"/>
  <c r="Q274" i="1"/>
  <c r="P274" i="1"/>
  <c r="O274" i="1"/>
  <c r="N274" i="1"/>
  <c r="B274" i="1"/>
  <c r="A274" i="1"/>
  <c r="Q273" i="1"/>
  <c r="P273" i="1"/>
  <c r="O273" i="1"/>
  <c r="N273" i="1"/>
  <c r="B273" i="1"/>
  <c r="A273" i="1"/>
  <c r="Q272" i="1"/>
  <c r="P272" i="1"/>
  <c r="O272" i="1"/>
  <c r="N272" i="1"/>
  <c r="B272" i="1"/>
  <c r="A272" i="1"/>
  <c r="Q271" i="1"/>
  <c r="P271" i="1"/>
  <c r="O271" i="1"/>
  <c r="N271" i="1"/>
  <c r="B271" i="1"/>
  <c r="A271" i="1"/>
  <c r="Q270" i="1"/>
  <c r="P270" i="1"/>
  <c r="O270" i="1"/>
  <c r="N270" i="1"/>
  <c r="B270" i="1"/>
  <c r="A270" i="1"/>
  <c r="Q269" i="1"/>
  <c r="P269" i="1"/>
  <c r="O269" i="1"/>
  <c r="N269" i="1"/>
  <c r="B269" i="1"/>
  <c r="A269" i="1"/>
  <c r="Q268" i="1"/>
  <c r="P268" i="1"/>
  <c r="O268" i="1"/>
  <c r="N268" i="1"/>
  <c r="B268" i="1"/>
  <c r="A268" i="1"/>
  <c r="Q267" i="1"/>
  <c r="P267" i="1"/>
  <c r="O267" i="1"/>
  <c r="N267" i="1"/>
  <c r="B267" i="1"/>
  <c r="A267" i="1"/>
  <c r="Q266" i="1"/>
  <c r="P266" i="1"/>
  <c r="O266" i="1"/>
  <c r="N266" i="1"/>
  <c r="B266" i="1"/>
  <c r="A266" i="1"/>
  <c r="Q265" i="1"/>
  <c r="P265" i="1"/>
  <c r="O265" i="1"/>
  <c r="N265" i="1"/>
  <c r="B265" i="1"/>
  <c r="A265" i="1"/>
  <c r="Q264" i="1"/>
  <c r="P264" i="1"/>
  <c r="O264" i="1"/>
  <c r="N264" i="1"/>
  <c r="B264" i="1"/>
  <c r="A264" i="1"/>
  <c r="Q263" i="1"/>
  <c r="P263" i="1"/>
  <c r="O263" i="1"/>
  <c r="N263" i="1"/>
  <c r="B263" i="1"/>
  <c r="A263" i="1"/>
  <c r="Q262" i="1"/>
  <c r="P262" i="1"/>
  <c r="O262" i="1"/>
  <c r="N262" i="1"/>
  <c r="B262" i="1"/>
  <c r="A262" i="1"/>
  <c r="Q261" i="1"/>
  <c r="P261" i="1"/>
  <c r="O261" i="1"/>
  <c r="N261" i="1"/>
  <c r="B261" i="1"/>
  <c r="A261" i="1"/>
  <c r="Q260" i="1"/>
  <c r="P260" i="1"/>
  <c r="O260" i="1"/>
  <c r="N260" i="1"/>
  <c r="B260" i="1"/>
  <c r="A260" i="1"/>
  <c r="Q259" i="1"/>
  <c r="P259" i="1"/>
  <c r="O259" i="1"/>
  <c r="N259" i="1"/>
  <c r="B259" i="1"/>
  <c r="A259" i="1"/>
  <c r="Q258" i="1"/>
  <c r="P258" i="1"/>
  <c r="O258" i="1"/>
  <c r="N258" i="1"/>
  <c r="B258" i="1"/>
  <c r="A258" i="1"/>
  <c r="Q257" i="1"/>
  <c r="P257" i="1"/>
  <c r="O257" i="1"/>
  <c r="N257" i="1"/>
  <c r="B257" i="1"/>
  <c r="A257" i="1"/>
  <c r="Q256" i="1"/>
  <c r="P256" i="1"/>
  <c r="O256" i="1"/>
  <c r="N256" i="1"/>
  <c r="B256" i="1"/>
  <c r="A256" i="1"/>
  <c r="Q255" i="1"/>
  <c r="P255" i="1"/>
  <c r="O255" i="1"/>
  <c r="N255" i="1"/>
  <c r="B255" i="1"/>
  <c r="A255" i="1"/>
  <c r="Q254" i="1"/>
  <c r="P254" i="1"/>
  <c r="O254" i="1"/>
  <c r="N254" i="1"/>
  <c r="B254" i="1"/>
  <c r="A254" i="1"/>
  <c r="Q253" i="1"/>
  <c r="P253" i="1"/>
  <c r="O253" i="1"/>
  <c r="N253" i="1"/>
  <c r="B253" i="1"/>
  <c r="A253" i="1"/>
  <c r="Q252" i="1"/>
  <c r="P252" i="1"/>
  <c r="O252" i="1"/>
  <c r="N252" i="1"/>
  <c r="B252" i="1"/>
  <c r="A252" i="1"/>
  <c r="Q251" i="1"/>
  <c r="P251" i="1"/>
  <c r="O251" i="1"/>
  <c r="N251" i="1"/>
  <c r="B251" i="1"/>
  <c r="A251" i="1"/>
  <c r="Q250" i="1"/>
  <c r="P250" i="1"/>
  <c r="O250" i="1"/>
  <c r="N250" i="1"/>
  <c r="B250" i="1"/>
  <c r="A250" i="1"/>
  <c r="Q249" i="1"/>
  <c r="P249" i="1"/>
  <c r="O249" i="1"/>
  <c r="N249" i="1"/>
  <c r="B249" i="1"/>
  <c r="A249" i="1"/>
  <c r="Q248" i="1"/>
  <c r="P248" i="1"/>
  <c r="O248" i="1"/>
  <c r="N248" i="1"/>
  <c r="B248" i="1"/>
  <c r="A248" i="1"/>
  <c r="Q247" i="1"/>
  <c r="P247" i="1"/>
  <c r="O247" i="1"/>
  <c r="N247" i="1"/>
  <c r="B247" i="1"/>
  <c r="A247" i="1"/>
  <c r="Q246" i="1"/>
  <c r="P246" i="1"/>
  <c r="O246" i="1"/>
  <c r="N246" i="1"/>
  <c r="B246" i="1"/>
  <c r="A246" i="1"/>
  <c r="Q245" i="1"/>
  <c r="P245" i="1"/>
  <c r="O245" i="1"/>
  <c r="N245" i="1"/>
  <c r="B245" i="1"/>
  <c r="A245" i="1"/>
  <c r="Q244" i="1"/>
  <c r="P244" i="1"/>
  <c r="O244" i="1"/>
  <c r="N244" i="1"/>
  <c r="B244" i="1"/>
  <c r="A244" i="1"/>
  <c r="Q243" i="1"/>
  <c r="P243" i="1"/>
  <c r="O243" i="1"/>
  <c r="N243" i="1"/>
  <c r="B243" i="1"/>
  <c r="A243" i="1"/>
  <c r="Q242" i="1"/>
  <c r="P242" i="1"/>
  <c r="O242" i="1"/>
  <c r="N242" i="1"/>
  <c r="B242" i="1"/>
  <c r="A242" i="1"/>
  <c r="Q241" i="1"/>
  <c r="P241" i="1"/>
  <c r="O241" i="1"/>
  <c r="N241" i="1"/>
  <c r="B241" i="1"/>
  <c r="A241" i="1"/>
  <c r="Q240" i="1"/>
  <c r="P240" i="1"/>
  <c r="O240" i="1"/>
  <c r="N240" i="1"/>
  <c r="B240" i="1"/>
  <c r="A240" i="1"/>
  <c r="Q239" i="1"/>
  <c r="P239" i="1"/>
  <c r="O239" i="1"/>
  <c r="N239" i="1"/>
  <c r="B239" i="1"/>
  <c r="A239" i="1"/>
  <c r="Q238" i="1"/>
  <c r="P238" i="1"/>
  <c r="O238" i="1"/>
  <c r="N238" i="1"/>
  <c r="B238" i="1"/>
  <c r="A238" i="1"/>
  <c r="Q237" i="1"/>
  <c r="P237" i="1"/>
  <c r="O237" i="1"/>
  <c r="N237" i="1"/>
  <c r="B237" i="1"/>
  <c r="A237" i="1"/>
  <c r="Q236" i="1"/>
  <c r="P236" i="1"/>
  <c r="O236" i="1"/>
  <c r="N236" i="1"/>
  <c r="B236" i="1"/>
  <c r="A236" i="1"/>
  <c r="Q235" i="1"/>
  <c r="P235" i="1"/>
  <c r="O235" i="1"/>
  <c r="N235" i="1"/>
  <c r="B235" i="1"/>
  <c r="A235" i="1"/>
  <c r="Q234" i="1"/>
  <c r="P234" i="1"/>
  <c r="O234" i="1"/>
  <c r="N234" i="1"/>
  <c r="B234" i="1"/>
  <c r="A234" i="1"/>
  <c r="Q233" i="1"/>
  <c r="P233" i="1"/>
  <c r="O233" i="1"/>
  <c r="N233" i="1"/>
  <c r="B233" i="1"/>
  <c r="A233" i="1"/>
  <c r="Q232" i="1"/>
  <c r="P232" i="1"/>
  <c r="O232" i="1"/>
  <c r="N232" i="1"/>
  <c r="B232" i="1"/>
  <c r="A232" i="1"/>
  <c r="Q231" i="1"/>
  <c r="P231" i="1"/>
  <c r="O231" i="1"/>
  <c r="N231" i="1"/>
  <c r="B231" i="1"/>
  <c r="A231" i="1"/>
  <c r="Q230" i="1"/>
  <c r="P230" i="1"/>
  <c r="O230" i="1"/>
  <c r="N230" i="1"/>
  <c r="B230" i="1"/>
  <c r="A230" i="1"/>
  <c r="Q229" i="1"/>
  <c r="P229" i="1"/>
  <c r="O229" i="1"/>
  <c r="N229" i="1"/>
  <c r="B229" i="1"/>
  <c r="A229" i="1"/>
  <c r="Q228" i="1"/>
  <c r="P228" i="1"/>
  <c r="O228" i="1"/>
  <c r="N228" i="1"/>
  <c r="B228" i="1"/>
  <c r="A228" i="1"/>
  <c r="Q227" i="1"/>
  <c r="P227" i="1"/>
  <c r="O227" i="1"/>
  <c r="N227" i="1"/>
  <c r="B227" i="1"/>
  <c r="A227" i="1"/>
  <c r="Q226" i="1"/>
  <c r="P226" i="1"/>
  <c r="O226" i="1"/>
  <c r="N226" i="1"/>
  <c r="B226" i="1"/>
  <c r="A226" i="1"/>
  <c r="Q225" i="1"/>
  <c r="P225" i="1"/>
  <c r="O225" i="1"/>
  <c r="N225" i="1"/>
  <c r="B225" i="1"/>
  <c r="A225" i="1"/>
  <c r="Q224" i="1"/>
  <c r="P224" i="1"/>
  <c r="O224" i="1"/>
  <c r="N224" i="1"/>
  <c r="B224" i="1"/>
  <c r="A224" i="1"/>
  <c r="Q223" i="1"/>
  <c r="P223" i="1"/>
  <c r="O223" i="1"/>
  <c r="N223" i="1"/>
  <c r="B223" i="1"/>
  <c r="A223" i="1"/>
  <c r="Q222" i="1"/>
  <c r="P222" i="1"/>
  <c r="O222" i="1"/>
  <c r="N222" i="1"/>
  <c r="B222" i="1"/>
  <c r="A222" i="1"/>
  <c r="Q221" i="1"/>
  <c r="P221" i="1"/>
  <c r="O221" i="1"/>
  <c r="N221" i="1"/>
  <c r="B221" i="1"/>
  <c r="A221" i="1"/>
  <c r="Q220" i="1"/>
  <c r="P220" i="1"/>
  <c r="O220" i="1"/>
  <c r="N220" i="1"/>
  <c r="B220" i="1"/>
  <c r="A220" i="1"/>
  <c r="Q219" i="1"/>
  <c r="P219" i="1"/>
  <c r="O219" i="1"/>
  <c r="N219" i="1"/>
  <c r="B219" i="1"/>
  <c r="A219" i="1"/>
  <c r="Q218" i="1"/>
  <c r="P218" i="1"/>
  <c r="O218" i="1"/>
  <c r="N218" i="1"/>
  <c r="B218" i="1"/>
  <c r="A218" i="1"/>
  <c r="Q217" i="1"/>
  <c r="P217" i="1"/>
  <c r="O217" i="1"/>
  <c r="N217" i="1"/>
  <c r="B217" i="1"/>
  <c r="A217" i="1"/>
  <c r="Q216" i="1"/>
  <c r="P216" i="1"/>
  <c r="O216" i="1"/>
  <c r="N216" i="1"/>
  <c r="B216" i="1"/>
  <c r="A216" i="1"/>
  <c r="Q215" i="1"/>
  <c r="P215" i="1"/>
  <c r="O215" i="1"/>
  <c r="N215" i="1"/>
  <c r="B215" i="1"/>
  <c r="A215" i="1"/>
  <c r="Q214" i="1"/>
  <c r="P214" i="1"/>
  <c r="O214" i="1"/>
  <c r="N214" i="1"/>
  <c r="B214" i="1"/>
  <c r="A214" i="1"/>
  <c r="Q213" i="1"/>
  <c r="P213" i="1"/>
  <c r="O213" i="1"/>
  <c r="N213" i="1"/>
  <c r="B213" i="1"/>
  <c r="A213" i="1"/>
  <c r="Q212" i="1"/>
  <c r="P212" i="1"/>
  <c r="O212" i="1"/>
  <c r="N212" i="1"/>
  <c r="B212" i="1"/>
  <c r="A212" i="1"/>
  <c r="Q211" i="1"/>
  <c r="P211" i="1"/>
  <c r="O211" i="1"/>
  <c r="N211" i="1"/>
  <c r="B211" i="1"/>
  <c r="A211" i="1"/>
  <c r="Q210" i="1"/>
  <c r="P210" i="1"/>
  <c r="O210" i="1"/>
  <c r="N210" i="1"/>
  <c r="B210" i="1"/>
  <c r="A210" i="1"/>
  <c r="Q209" i="1"/>
  <c r="P209" i="1"/>
  <c r="O209" i="1"/>
  <c r="N209" i="1"/>
  <c r="B209" i="1"/>
  <c r="A209" i="1"/>
  <c r="Q208" i="1"/>
  <c r="P208" i="1"/>
  <c r="O208" i="1"/>
  <c r="N208" i="1"/>
  <c r="B208" i="1"/>
  <c r="A208" i="1"/>
  <c r="Q207" i="1"/>
  <c r="P207" i="1"/>
  <c r="O207" i="1"/>
  <c r="N207" i="1"/>
  <c r="B207" i="1"/>
  <c r="A207" i="1"/>
  <c r="Q206" i="1"/>
  <c r="P206" i="1"/>
  <c r="O206" i="1"/>
  <c r="N206" i="1"/>
  <c r="B206" i="1"/>
  <c r="A206" i="1"/>
  <c r="Q205" i="1"/>
  <c r="P205" i="1"/>
  <c r="O205" i="1"/>
  <c r="N205" i="1"/>
  <c r="B205" i="1"/>
  <c r="A205" i="1"/>
  <c r="Q204" i="1"/>
  <c r="P204" i="1"/>
  <c r="O204" i="1"/>
  <c r="N204" i="1"/>
  <c r="B204" i="1"/>
  <c r="A204" i="1"/>
  <c r="Q203" i="1"/>
  <c r="P203" i="1"/>
  <c r="O203" i="1"/>
  <c r="N203" i="1"/>
  <c r="B203" i="1"/>
  <c r="A203" i="1"/>
  <c r="Q202" i="1"/>
  <c r="P202" i="1"/>
  <c r="O202" i="1"/>
  <c r="N202" i="1"/>
  <c r="B202" i="1"/>
  <c r="A202" i="1"/>
  <c r="Q201" i="1"/>
  <c r="P201" i="1"/>
  <c r="O201" i="1"/>
  <c r="N201" i="1"/>
  <c r="B201" i="1"/>
  <c r="A201" i="1"/>
  <c r="Q200" i="1"/>
  <c r="P200" i="1"/>
  <c r="O200" i="1"/>
  <c r="N200" i="1"/>
  <c r="B200" i="1"/>
  <c r="A200" i="1"/>
  <c r="Q199" i="1"/>
  <c r="P199" i="1"/>
  <c r="O199" i="1"/>
  <c r="N199" i="1"/>
  <c r="B199" i="1"/>
  <c r="A199" i="1"/>
  <c r="Q198" i="1"/>
  <c r="P198" i="1"/>
  <c r="O198" i="1"/>
  <c r="N198" i="1"/>
  <c r="B198" i="1"/>
  <c r="A198" i="1"/>
  <c r="Q197" i="1"/>
  <c r="P197" i="1"/>
  <c r="O197" i="1"/>
  <c r="N197" i="1"/>
  <c r="B197" i="1"/>
  <c r="A197" i="1"/>
  <c r="Q196" i="1"/>
  <c r="P196" i="1"/>
  <c r="O196" i="1"/>
  <c r="N196" i="1"/>
  <c r="B196" i="1"/>
  <c r="A196" i="1"/>
  <c r="Q195" i="1"/>
  <c r="P195" i="1"/>
  <c r="O195" i="1"/>
  <c r="N195" i="1"/>
  <c r="B195" i="1"/>
  <c r="A195" i="1"/>
  <c r="Q194" i="1"/>
  <c r="P194" i="1"/>
  <c r="O194" i="1"/>
  <c r="N194" i="1"/>
  <c r="B194" i="1"/>
  <c r="A194" i="1"/>
  <c r="Q193" i="1"/>
  <c r="P193" i="1"/>
  <c r="O193" i="1"/>
  <c r="N193" i="1"/>
  <c r="B193" i="1"/>
  <c r="A193" i="1"/>
  <c r="Q192" i="1"/>
  <c r="P192" i="1"/>
  <c r="O192" i="1"/>
  <c r="N192" i="1"/>
  <c r="B192" i="1"/>
  <c r="A192" i="1"/>
  <c r="Q191" i="1"/>
  <c r="P191" i="1"/>
  <c r="O191" i="1"/>
  <c r="N191" i="1"/>
  <c r="B191" i="1"/>
  <c r="A191" i="1"/>
  <c r="Q190" i="1"/>
  <c r="P190" i="1"/>
  <c r="O190" i="1"/>
  <c r="N190" i="1"/>
  <c r="B190" i="1"/>
  <c r="A190" i="1"/>
  <c r="Q189" i="1"/>
  <c r="P189" i="1"/>
  <c r="O189" i="1"/>
  <c r="N189" i="1"/>
  <c r="B189" i="1"/>
  <c r="A189" i="1"/>
  <c r="Q188" i="1"/>
  <c r="P188" i="1"/>
  <c r="O188" i="1"/>
  <c r="N188" i="1"/>
  <c r="B188" i="1"/>
  <c r="A188" i="1"/>
  <c r="Q187" i="1"/>
  <c r="P187" i="1"/>
  <c r="O187" i="1"/>
  <c r="N187" i="1"/>
  <c r="B187" i="1"/>
  <c r="A187" i="1"/>
  <c r="Q186" i="1"/>
  <c r="P186" i="1"/>
  <c r="O186" i="1"/>
  <c r="N186" i="1"/>
  <c r="B186" i="1"/>
  <c r="A186" i="1"/>
  <c r="Q185" i="1"/>
  <c r="P185" i="1"/>
  <c r="O185" i="1"/>
  <c r="N185" i="1"/>
  <c r="B185" i="1"/>
  <c r="A185" i="1"/>
  <c r="Q184" i="1"/>
  <c r="P184" i="1"/>
  <c r="O184" i="1"/>
  <c r="N184" i="1"/>
  <c r="B184" i="1"/>
  <c r="A184" i="1"/>
  <c r="Q183" i="1"/>
  <c r="P183" i="1"/>
  <c r="O183" i="1"/>
  <c r="N183" i="1"/>
  <c r="B183" i="1"/>
  <c r="A183" i="1"/>
  <c r="Q182" i="1"/>
  <c r="P182" i="1"/>
  <c r="O182" i="1"/>
  <c r="N182" i="1"/>
  <c r="B182" i="1"/>
  <c r="A182" i="1"/>
  <c r="Q181" i="1"/>
  <c r="P181" i="1"/>
  <c r="O181" i="1"/>
  <c r="N181" i="1"/>
  <c r="B181" i="1"/>
  <c r="A181" i="1"/>
  <c r="Q180" i="1"/>
  <c r="P180" i="1"/>
  <c r="O180" i="1"/>
  <c r="N180" i="1"/>
  <c r="B180" i="1"/>
  <c r="A180" i="1"/>
  <c r="Q179" i="1"/>
  <c r="P179" i="1"/>
  <c r="O179" i="1"/>
  <c r="N179" i="1"/>
  <c r="B179" i="1"/>
  <c r="A179" i="1"/>
  <c r="Q178" i="1"/>
  <c r="P178" i="1"/>
  <c r="O178" i="1"/>
  <c r="N178" i="1"/>
  <c r="B178" i="1"/>
  <c r="A178" i="1"/>
  <c r="Q177" i="1"/>
  <c r="P177" i="1"/>
  <c r="O177" i="1"/>
  <c r="N177" i="1"/>
  <c r="B177" i="1"/>
  <c r="A177" i="1"/>
  <c r="Q176" i="1"/>
  <c r="P176" i="1"/>
  <c r="O176" i="1"/>
  <c r="N176" i="1"/>
  <c r="B176" i="1"/>
  <c r="A176" i="1"/>
  <c r="Q175" i="1"/>
  <c r="P175" i="1"/>
  <c r="O175" i="1"/>
  <c r="N175" i="1"/>
  <c r="B175" i="1"/>
  <c r="A175" i="1"/>
  <c r="Q174" i="1"/>
  <c r="P174" i="1"/>
  <c r="O174" i="1"/>
  <c r="N174" i="1"/>
  <c r="B174" i="1"/>
  <c r="A174" i="1"/>
  <c r="Q173" i="1"/>
  <c r="P173" i="1"/>
  <c r="O173" i="1"/>
  <c r="N173" i="1"/>
  <c r="B173" i="1"/>
  <c r="A173" i="1"/>
  <c r="Q172" i="1"/>
  <c r="P172" i="1"/>
  <c r="O172" i="1"/>
  <c r="N172" i="1"/>
  <c r="B172" i="1"/>
  <c r="A172" i="1"/>
  <c r="Q171" i="1"/>
  <c r="P171" i="1"/>
  <c r="O171" i="1"/>
  <c r="N171" i="1"/>
  <c r="B171" i="1"/>
  <c r="A171" i="1"/>
  <c r="Q170" i="1"/>
  <c r="P170" i="1"/>
  <c r="O170" i="1"/>
  <c r="N170" i="1"/>
  <c r="B170" i="1"/>
  <c r="A170" i="1"/>
  <c r="Q169" i="1"/>
  <c r="P169" i="1"/>
  <c r="O169" i="1"/>
  <c r="N169" i="1"/>
  <c r="B169" i="1"/>
  <c r="A169" i="1"/>
  <c r="Q168" i="1"/>
  <c r="P168" i="1"/>
  <c r="O168" i="1"/>
  <c r="N168" i="1"/>
  <c r="B168" i="1"/>
  <c r="A168" i="1"/>
  <c r="Q167" i="1"/>
  <c r="P167" i="1"/>
  <c r="O167" i="1"/>
  <c r="N167" i="1"/>
  <c r="B167" i="1"/>
  <c r="A167" i="1"/>
  <c r="Q166" i="1"/>
  <c r="P166" i="1"/>
  <c r="O166" i="1"/>
  <c r="N166" i="1"/>
  <c r="B166" i="1"/>
  <c r="A166" i="1"/>
  <c r="Q165" i="1"/>
  <c r="P165" i="1"/>
  <c r="O165" i="1"/>
  <c r="N165" i="1"/>
  <c r="B165" i="1"/>
  <c r="A165" i="1"/>
  <c r="Q164" i="1"/>
  <c r="P164" i="1"/>
  <c r="O164" i="1"/>
  <c r="N164" i="1"/>
  <c r="B164" i="1"/>
  <c r="A164" i="1"/>
  <c r="Q163" i="1"/>
  <c r="P163" i="1"/>
  <c r="O163" i="1"/>
  <c r="N163" i="1"/>
  <c r="B163" i="1"/>
  <c r="A163" i="1"/>
  <c r="Q162" i="1"/>
  <c r="P162" i="1"/>
  <c r="O162" i="1"/>
  <c r="N162" i="1"/>
  <c r="B162" i="1"/>
  <c r="A162" i="1"/>
  <c r="Q161" i="1"/>
  <c r="P161" i="1"/>
  <c r="O161" i="1"/>
  <c r="N161" i="1"/>
  <c r="B161" i="1"/>
  <c r="A161" i="1"/>
  <c r="Q160" i="1"/>
  <c r="P160" i="1"/>
  <c r="O160" i="1"/>
  <c r="N160" i="1"/>
  <c r="B160" i="1"/>
  <c r="A160" i="1"/>
  <c r="Q159" i="1"/>
  <c r="P159" i="1"/>
  <c r="O159" i="1"/>
  <c r="N159" i="1"/>
  <c r="B159" i="1"/>
  <c r="A159" i="1"/>
  <c r="Q158" i="1"/>
  <c r="P158" i="1"/>
  <c r="O158" i="1"/>
  <c r="N158" i="1"/>
  <c r="B158" i="1"/>
  <c r="A158" i="1"/>
  <c r="Q157" i="1"/>
  <c r="P157" i="1"/>
  <c r="O157" i="1"/>
  <c r="N157" i="1"/>
  <c r="B157" i="1"/>
  <c r="A157" i="1"/>
  <c r="Q156" i="1"/>
  <c r="P156" i="1"/>
  <c r="O156" i="1"/>
  <c r="N156" i="1"/>
  <c r="B156" i="1"/>
  <c r="A156" i="1"/>
  <c r="Q155" i="1"/>
  <c r="P155" i="1"/>
  <c r="O155" i="1"/>
  <c r="N155" i="1"/>
  <c r="B155" i="1"/>
  <c r="A155" i="1"/>
  <c r="Q154" i="1"/>
  <c r="P154" i="1"/>
  <c r="O154" i="1"/>
  <c r="N154" i="1"/>
  <c r="B154" i="1"/>
  <c r="A154" i="1"/>
  <c r="Q153" i="1"/>
  <c r="P153" i="1"/>
  <c r="O153" i="1"/>
  <c r="N153" i="1"/>
  <c r="B153" i="1"/>
  <c r="A153" i="1"/>
  <c r="Q152" i="1"/>
  <c r="P152" i="1"/>
  <c r="O152" i="1"/>
  <c r="N152" i="1"/>
  <c r="B152" i="1"/>
  <c r="A152" i="1"/>
  <c r="Q151" i="1"/>
  <c r="P151" i="1"/>
  <c r="O151" i="1"/>
  <c r="N151" i="1"/>
  <c r="B151" i="1"/>
  <c r="A151" i="1"/>
  <c r="Q150" i="1"/>
  <c r="P150" i="1"/>
  <c r="O150" i="1"/>
  <c r="N150" i="1"/>
  <c r="B150" i="1"/>
  <c r="A150" i="1"/>
  <c r="Q149" i="1"/>
  <c r="P149" i="1"/>
  <c r="O149" i="1"/>
  <c r="N149" i="1"/>
  <c r="B149" i="1"/>
  <c r="A149" i="1"/>
  <c r="Q148" i="1"/>
  <c r="P148" i="1"/>
  <c r="O148" i="1"/>
  <c r="N148" i="1"/>
  <c r="B148" i="1"/>
  <c r="A148" i="1"/>
  <c r="Q147" i="1"/>
  <c r="P147" i="1"/>
  <c r="O147" i="1"/>
  <c r="N147" i="1"/>
  <c r="B147" i="1"/>
  <c r="A147" i="1"/>
  <c r="Q146" i="1"/>
  <c r="P146" i="1"/>
  <c r="O146" i="1"/>
  <c r="N146" i="1"/>
  <c r="B146" i="1"/>
  <c r="A146" i="1"/>
  <c r="Q145" i="1"/>
  <c r="P145" i="1"/>
  <c r="O145" i="1"/>
  <c r="N145" i="1"/>
  <c r="B145" i="1"/>
  <c r="A145" i="1"/>
  <c r="Q144" i="1"/>
  <c r="P144" i="1"/>
  <c r="O144" i="1"/>
  <c r="N144" i="1"/>
  <c r="B144" i="1"/>
  <c r="A144" i="1"/>
  <c r="Q143" i="1"/>
  <c r="P143" i="1"/>
  <c r="O143" i="1"/>
  <c r="N143" i="1"/>
  <c r="B143" i="1"/>
  <c r="A143" i="1"/>
  <c r="Q142" i="1"/>
  <c r="P142" i="1"/>
  <c r="O142" i="1"/>
  <c r="N142" i="1"/>
  <c r="B142" i="1"/>
  <c r="A142" i="1"/>
  <c r="Q141" i="1"/>
  <c r="P141" i="1"/>
  <c r="O141" i="1"/>
  <c r="N141" i="1"/>
  <c r="B141" i="1"/>
  <c r="A141" i="1"/>
  <c r="Q140" i="1"/>
  <c r="P140" i="1"/>
  <c r="O140" i="1"/>
  <c r="N140" i="1"/>
  <c r="B140" i="1"/>
  <c r="A140" i="1"/>
  <c r="Q139" i="1"/>
  <c r="P139" i="1"/>
  <c r="O139" i="1"/>
  <c r="N139" i="1"/>
  <c r="B139" i="1"/>
  <c r="A139" i="1"/>
  <c r="Q138" i="1"/>
  <c r="P138" i="1"/>
  <c r="O138" i="1"/>
  <c r="N138" i="1"/>
  <c r="B138" i="1"/>
  <c r="A138" i="1"/>
  <c r="Q137" i="1"/>
  <c r="P137" i="1"/>
  <c r="O137" i="1"/>
  <c r="N137" i="1"/>
  <c r="B137" i="1"/>
  <c r="A137" i="1"/>
  <c r="Q136" i="1"/>
  <c r="P136" i="1"/>
  <c r="O136" i="1"/>
  <c r="N136" i="1"/>
  <c r="B136" i="1"/>
  <c r="A136" i="1"/>
  <c r="Q135" i="1"/>
  <c r="P135" i="1"/>
  <c r="O135" i="1"/>
  <c r="N135" i="1"/>
  <c r="B135" i="1"/>
  <c r="A135" i="1"/>
  <c r="Q134" i="1"/>
  <c r="P134" i="1"/>
  <c r="O134" i="1"/>
  <c r="N134" i="1"/>
  <c r="B134" i="1"/>
  <c r="A134" i="1"/>
  <c r="Q133" i="1"/>
  <c r="P133" i="1"/>
  <c r="O133" i="1"/>
  <c r="N133" i="1"/>
  <c r="B133" i="1"/>
  <c r="A133" i="1"/>
  <c r="Q132" i="1"/>
  <c r="P132" i="1"/>
  <c r="O132" i="1"/>
  <c r="N132" i="1"/>
  <c r="B132" i="1"/>
  <c r="A132" i="1"/>
  <c r="Q131" i="1"/>
  <c r="P131" i="1"/>
  <c r="O131" i="1"/>
  <c r="N131" i="1"/>
  <c r="B131" i="1"/>
  <c r="A131" i="1"/>
  <c r="Q130" i="1"/>
  <c r="P130" i="1"/>
  <c r="O130" i="1"/>
  <c r="N130" i="1"/>
  <c r="B130" i="1"/>
  <c r="A130" i="1"/>
  <c r="Q129" i="1"/>
  <c r="P129" i="1"/>
  <c r="O129" i="1"/>
  <c r="N129" i="1"/>
  <c r="B129" i="1"/>
  <c r="A129" i="1"/>
  <c r="Q128" i="1"/>
  <c r="P128" i="1"/>
  <c r="O128" i="1"/>
  <c r="N128" i="1"/>
  <c r="B128" i="1"/>
  <c r="A128" i="1"/>
  <c r="Q127" i="1"/>
  <c r="P127" i="1"/>
  <c r="O127" i="1"/>
  <c r="N127" i="1"/>
  <c r="B127" i="1"/>
  <c r="A127" i="1"/>
  <c r="Q126" i="1"/>
  <c r="P126" i="1"/>
  <c r="O126" i="1"/>
  <c r="N126" i="1"/>
  <c r="B126" i="1"/>
  <c r="A126" i="1"/>
  <c r="Q125" i="1"/>
  <c r="P125" i="1"/>
  <c r="O125" i="1"/>
  <c r="N125" i="1"/>
  <c r="B125" i="1"/>
  <c r="A125" i="1"/>
  <c r="Q124" i="1"/>
  <c r="P124" i="1"/>
  <c r="O124" i="1"/>
  <c r="N124" i="1"/>
  <c r="B124" i="1"/>
  <c r="A124" i="1"/>
  <c r="Q123" i="1"/>
  <c r="P123" i="1"/>
  <c r="O123" i="1"/>
  <c r="N123" i="1"/>
  <c r="B123" i="1"/>
  <c r="A123" i="1"/>
  <c r="Q122" i="1"/>
  <c r="P122" i="1"/>
  <c r="O122" i="1"/>
  <c r="N122" i="1"/>
  <c r="B122" i="1"/>
  <c r="A122" i="1"/>
  <c r="Q121" i="1"/>
  <c r="P121" i="1"/>
  <c r="O121" i="1"/>
  <c r="N121" i="1"/>
  <c r="B121" i="1"/>
  <c r="A121" i="1"/>
  <c r="Q120" i="1"/>
  <c r="P120" i="1"/>
  <c r="O120" i="1"/>
  <c r="N120" i="1"/>
  <c r="B120" i="1"/>
  <c r="A120" i="1"/>
  <c r="Q119" i="1"/>
  <c r="P119" i="1"/>
  <c r="O119" i="1"/>
  <c r="N119" i="1"/>
  <c r="B119" i="1"/>
  <c r="A119" i="1"/>
  <c r="Q118" i="1"/>
  <c r="P118" i="1"/>
  <c r="O118" i="1"/>
  <c r="N118" i="1"/>
  <c r="B118" i="1"/>
  <c r="A118" i="1"/>
  <c r="Q117" i="1"/>
  <c r="P117" i="1"/>
  <c r="O117" i="1"/>
  <c r="N117" i="1"/>
  <c r="B117" i="1"/>
  <c r="A117" i="1"/>
  <c r="Q116" i="1"/>
  <c r="P116" i="1"/>
  <c r="O116" i="1"/>
  <c r="N116" i="1"/>
  <c r="B116" i="1"/>
  <c r="A116" i="1"/>
  <c r="Q115" i="1"/>
  <c r="P115" i="1"/>
  <c r="O115" i="1"/>
  <c r="N115" i="1"/>
  <c r="B115" i="1"/>
  <c r="A115" i="1"/>
  <c r="Q114" i="1"/>
  <c r="P114" i="1"/>
  <c r="O114" i="1"/>
  <c r="N114" i="1"/>
  <c r="B114" i="1"/>
  <c r="A114" i="1"/>
  <c r="Q113" i="1"/>
  <c r="P113" i="1"/>
  <c r="O113" i="1"/>
  <c r="N113" i="1"/>
  <c r="B113" i="1"/>
  <c r="A113" i="1"/>
  <c r="Q112" i="1"/>
  <c r="P112" i="1"/>
  <c r="O112" i="1"/>
  <c r="N112" i="1"/>
  <c r="B112" i="1"/>
  <c r="A112" i="1"/>
  <c r="Q111" i="1"/>
  <c r="P111" i="1"/>
  <c r="O111" i="1"/>
  <c r="N111" i="1"/>
  <c r="B111" i="1"/>
  <c r="A111" i="1"/>
  <c r="Q110" i="1"/>
  <c r="P110" i="1"/>
  <c r="O110" i="1"/>
  <c r="N110" i="1"/>
  <c r="B110" i="1"/>
  <c r="A110" i="1"/>
  <c r="Q109" i="1"/>
  <c r="P109" i="1"/>
  <c r="O109" i="1"/>
  <c r="N109" i="1"/>
  <c r="B109" i="1"/>
  <c r="A109" i="1"/>
  <c r="Q108" i="1"/>
  <c r="P108" i="1"/>
  <c r="O108" i="1"/>
  <c r="N108" i="1"/>
  <c r="B108" i="1"/>
  <c r="A108" i="1"/>
  <c r="Q107" i="1"/>
  <c r="P107" i="1"/>
  <c r="O107" i="1"/>
  <c r="N107" i="1"/>
  <c r="B107" i="1"/>
  <c r="A107" i="1"/>
  <c r="Q106" i="1"/>
  <c r="P106" i="1"/>
  <c r="O106" i="1"/>
  <c r="N106" i="1"/>
  <c r="B106" i="1"/>
  <c r="A106" i="1"/>
  <c r="Q105" i="1"/>
  <c r="P105" i="1"/>
  <c r="O105" i="1"/>
  <c r="N105" i="1"/>
  <c r="B105" i="1"/>
  <c r="A105" i="1"/>
  <c r="Q104" i="1"/>
  <c r="P104" i="1"/>
  <c r="O104" i="1"/>
  <c r="N104" i="1"/>
  <c r="B104" i="1"/>
  <c r="A104" i="1"/>
  <c r="Q103" i="1"/>
  <c r="P103" i="1"/>
  <c r="O103" i="1"/>
  <c r="N103" i="1"/>
  <c r="B103" i="1"/>
  <c r="A103" i="1"/>
  <c r="Q102" i="1"/>
  <c r="P102" i="1"/>
  <c r="O102" i="1"/>
  <c r="N102" i="1"/>
  <c r="B102" i="1"/>
  <c r="A102" i="1"/>
  <c r="Q101" i="1"/>
  <c r="P101" i="1"/>
  <c r="O101" i="1"/>
  <c r="N101" i="1"/>
  <c r="B101" i="1"/>
  <c r="A101" i="1"/>
  <c r="Q100" i="1"/>
  <c r="P100" i="1"/>
  <c r="O100" i="1"/>
  <c r="N100" i="1"/>
  <c r="B100" i="1"/>
  <c r="A100" i="1"/>
  <c r="Q99" i="1"/>
  <c r="P99" i="1"/>
  <c r="O99" i="1"/>
  <c r="N99" i="1"/>
  <c r="B99" i="1"/>
  <c r="A99" i="1"/>
  <c r="Q98" i="1"/>
  <c r="P98" i="1"/>
  <c r="O98" i="1"/>
  <c r="N98" i="1"/>
  <c r="B98" i="1"/>
  <c r="A98" i="1"/>
  <c r="Q97" i="1"/>
  <c r="P97" i="1"/>
  <c r="O97" i="1"/>
  <c r="N97" i="1"/>
  <c r="B97" i="1"/>
  <c r="A97" i="1"/>
  <c r="Q96" i="1"/>
  <c r="P96" i="1"/>
  <c r="O96" i="1"/>
  <c r="N96" i="1"/>
  <c r="B96" i="1"/>
  <c r="A96" i="1"/>
  <c r="Q95" i="1"/>
  <c r="P95" i="1"/>
  <c r="O95" i="1"/>
  <c r="N95" i="1"/>
  <c r="B95" i="1"/>
  <c r="A95" i="1"/>
  <c r="Q94" i="1"/>
  <c r="P94" i="1"/>
  <c r="O94" i="1"/>
  <c r="N94" i="1"/>
  <c r="B94" i="1"/>
  <c r="A94" i="1"/>
  <c r="Q93" i="1"/>
  <c r="P93" i="1"/>
  <c r="O93" i="1"/>
  <c r="N93" i="1"/>
  <c r="B93" i="1"/>
  <c r="A93" i="1"/>
  <c r="Q92" i="1"/>
  <c r="P92" i="1"/>
  <c r="O92" i="1"/>
  <c r="N92" i="1"/>
  <c r="B92" i="1"/>
  <c r="A92" i="1"/>
  <c r="Q91" i="1"/>
  <c r="P91" i="1"/>
  <c r="O91" i="1"/>
  <c r="N91" i="1"/>
  <c r="B91" i="1"/>
  <c r="A91" i="1"/>
  <c r="Q90" i="1"/>
  <c r="P90" i="1"/>
  <c r="O90" i="1"/>
  <c r="N90" i="1"/>
  <c r="B90" i="1"/>
  <c r="A90" i="1"/>
  <c r="Q89" i="1"/>
  <c r="P89" i="1"/>
  <c r="O89" i="1"/>
  <c r="N89" i="1"/>
  <c r="B89" i="1"/>
  <c r="A89" i="1"/>
  <c r="Q88" i="1"/>
  <c r="P88" i="1"/>
  <c r="O88" i="1"/>
  <c r="N88" i="1"/>
  <c r="B88" i="1"/>
  <c r="A88" i="1"/>
  <c r="Q87" i="1"/>
  <c r="P87" i="1"/>
  <c r="O87" i="1"/>
  <c r="N87" i="1"/>
  <c r="B87" i="1"/>
  <c r="A87" i="1"/>
  <c r="Q86" i="1"/>
  <c r="P86" i="1"/>
  <c r="O86" i="1"/>
  <c r="N86" i="1"/>
  <c r="B86" i="1"/>
  <c r="A86" i="1"/>
  <c r="Q85" i="1"/>
  <c r="P85" i="1"/>
  <c r="O85" i="1"/>
  <c r="N85" i="1"/>
  <c r="B85" i="1"/>
  <c r="A85" i="1"/>
  <c r="Q84" i="1"/>
  <c r="P84" i="1"/>
  <c r="O84" i="1"/>
  <c r="N84" i="1"/>
  <c r="B84" i="1"/>
  <c r="A84" i="1"/>
  <c r="Q83" i="1"/>
  <c r="P83" i="1"/>
  <c r="O83" i="1"/>
  <c r="N83" i="1"/>
  <c r="B83" i="1"/>
  <c r="A83" i="1"/>
  <c r="Q82" i="1"/>
  <c r="P82" i="1"/>
  <c r="O82" i="1"/>
  <c r="N82" i="1"/>
  <c r="B82" i="1"/>
  <c r="A82" i="1"/>
  <c r="Q81" i="1"/>
  <c r="P81" i="1"/>
  <c r="O81" i="1"/>
  <c r="N81" i="1"/>
  <c r="B81" i="1"/>
  <c r="A81" i="1"/>
  <c r="Q80" i="1"/>
  <c r="P80" i="1"/>
  <c r="O80" i="1"/>
  <c r="N80" i="1"/>
  <c r="B80" i="1"/>
  <c r="A80" i="1"/>
  <c r="Q79" i="1"/>
  <c r="P79" i="1"/>
  <c r="O79" i="1"/>
  <c r="N79" i="1"/>
  <c r="B79" i="1"/>
  <c r="A79" i="1"/>
  <c r="Q78" i="1"/>
  <c r="P78" i="1"/>
  <c r="O78" i="1"/>
  <c r="N78" i="1"/>
  <c r="B78" i="1"/>
  <c r="A78" i="1"/>
  <c r="Q77" i="1"/>
  <c r="P77" i="1"/>
  <c r="O77" i="1"/>
  <c r="N77" i="1"/>
  <c r="B77" i="1"/>
  <c r="A77" i="1"/>
  <c r="Q76" i="1"/>
  <c r="P76" i="1"/>
  <c r="O76" i="1"/>
  <c r="N76" i="1"/>
  <c r="B76" i="1"/>
  <c r="A76" i="1"/>
  <c r="Q75" i="1"/>
  <c r="P75" i="1"/>
  <c r="O75" i="1"/>
  <c r="N75" i="1"/>
  <c r="B75" i="1"/>
  <c r="A75" i="1"/>
  <c r="Q74" i="1"/>
  <c r="P74" i="1"/>
  <c r="O74" i="1"/>
  <c r="N74" i="1"/>
  <c r="B74" i="1"/>
  <c r="A74" i="1"/>
  <c r="Q73" i="1"/>
  <c r="P73" i="1"/>
  <c r="O73" i="1"/>
  <c r="N73" i="1"/>
  <c r="B73" i="1"/>
  <c r="A73" i="1"/>
  <c r="Q72" i="1"/>
  <c r="P72" i="1"/>
  <c r="O72" i="1"/>
  <c r="N72" i="1"/>
  <c r="B72" i="1"/>
  <c r="A72" i="1"/>
  <c r="Q71" i="1"/>
  <c r="P71" i="1"/>
  <c r="O71" i="1"/>
  <c r="N71" i="1"/>
  <c r="B71" i="1"/>
  <c r="A71" i="1"/>
  <c r="Q70" i="1"/>
  <c r="P70" i="1"/>
  <c r="O70" i="1"/>
  <c r="N70" i="1"/>
  <c r="B70" i="1"/>
  <c r="A70" i="1"/>
  <c r="Q69" i="1"/>
  <c r="P69" i="1"/>
  <c r="O69" i="1"/>
  <c r="N69" i="1"/>
  <c r="B69" i="1"/>
  <c r="A69" i="1"/>
  <c r="Q68" i="1"/>
  <c r="P68" i="1"/>
  <c r="O68" i="1"/>
  <c r="N68" i="1"/>
  <c r="B68" i="1"/>
  <c r="A68" i="1"/>
  <c r="Q67" i="1"/>
  <c r="P67" i="1"/>
  <c r="O67" i="1"/>
  <c r="N67" i="1"/>
  <c r="B67" i="1"/>
  <c r="A67" i="1"/>
  <c r="Q66" i="1"/>
  <c r="P66" i="1"/>
  <c r="O66" i="1"/>
  <c r="N66" i="1"/>
  <c r="B66" i="1"/>
  <c r="A66" i="1"/>
  <c r="Q65" i="1"/>
  <c r="P65" i="1"/>
  <c r="O65" i="1"/>
  <c r="N65" i="1"/>
  <c r="B65" i="1"/>
  <c r="A65" i="1"/>
  <c r="Q64" i="1"/>
  <c r="P64" i="1"/>
  <c r="O64" i="1"/>
  <c r="N64" i="1"/>
  <c r="B64" i="1"/>
  <c r="A64" i="1"/>
  <c r="Q63" i="1"/>
  <c r="P63" i="1"/>
  <c r="O63" i="1"/>
  <c r="N63" i="1"/>
  <c r="B63" i="1"/>
  <c r="A63" i="1"/>
  <c r="Q62" i="1"/>
  <c r="P62" i="1"/>
  <c r="O62" i="1"/>
  <c r="N62" i="1"/>
  <c r="B62" i="1"/>
  <c r="A62" i="1"/>
  <c r="Q61" i="1"/>
  <c r="P61" i="1"/>
  <c r="O61" i="1"/>
  <c r="N61" i="1"/>
  <c r="B61" i="1"/>
  <c r="A61" i="1"/>
  <c r="Q60" i="1"/>
  <c r="P60" i="1"/>
  <c r="O60" i="1"/>
  <c r="N60" i="1"/>
  <c r="B60" i="1"/>
  <c r="A60" i="1"/>
  <c r="Q59" i="1"/>
  <c r="P59" i="1"/>
  <c r="O59" i="1"/>
  <c r="N59" i="1"/>
  <c r="B59" i="1"/>
  <c r="A59" i="1"/>
  <c r="Q58" i="1"/>
  <c r="P58" i="1"/>
  <c r="O58" i="1"/>
  <c r="N58" i="1"/>
  <c r="B58" i="1"/>
  <c r="A58" i="1"/>
  <c r="Q57" i="1"/>
  <c r="P57" i="1"/>
  <c r="O57" i="1"/>
  <c r="N57" i="1"/>
  <c r="B57" i="1"/>
  <c r="A57" i="1"/>
  <c r="Q56" i="1"/>
  <c r="P56" i="1"/>
  <c r="O56" i="1"/>
  <c r="N56" i="1"/>
  <c r="B56" i="1"/>
  <c r="A56" i="1"/>
  <c r="Q55" i="1"/>
  <c r="P55" i="1"/>
  <c r="O55" i="1"/>
  <c r="N55" i="1"/>
  <c r="B55" i="1"/>
  <c r="A55" i="1"/>
  <c r="Q54" i="1"/>
  <c r="P54" i="1"/>
  <c r="O54" i="1"/>
  <c r="N54" i="1"/>
  <c r="B54" i="1"/>
  <c r="A54" i="1"/>
  <c r="Q53" i="1"/>
  <c r="P53" i="1"/>
  <c r="O53" i="1"/>
  <c r="N53" i="1"/>
  <c r="B53" i="1"/>
  <c r="A53" i="1"/>
  <c r="Q52" i="1"/>
  <c r="P52" i="1"/>
  <c r="O52" i="1"/>
  <c r="N52" i="1"/>
  <c r="B52" i="1"/>
  <c r="A52" i="1"/>
  <c r="Q51" i="1"/>
  <c r="P51" i="1"/>
  <c r="O51" i="1"/>
  <c r="N51" i="1"/>
  <c r="B51" i="1"/>
  <c r="A51" i="1"/>
  <c r="Q50" i="1"/>
  <c r="P50" i="1"/>
  <c r="O50" i="1"/>
  <c r="N50" i="1"/>
  <c r="B50" i="1"/>
  <c r="A50" i="1"/>
  <c r="Q49" i="1"/>
  <c r="P49" i="1"/>
  <c r="O49" i="1"/>
  <c r="N49" i="1"/>
  <c r="B49" i="1"/>
  <c r="A49" i="1"/>
  <c r="Q48" i="1"/>
  <c r="P48" i="1"/>
  <c r="O48" i="1"/>
  <c r="N48" i="1"/>
  <c r="B48" i="1"/>
  <c r="A48" i="1"/>
  <c r="Q47" i="1"/>
  <c r="P47" i="1"/>
  <c r="O47" i="1"/>
  <c r="N47" i="1"/>
  <c r="B47" i="1"/>
  <c r="A47" i="1"/>
  <c r="Q46" i="1"/>
  <c r="P46" i="1"/>
  <c r="O46" i="1"/>
  <c r="N46" i="1"/>
  <c r="B46" i="1"/>
  <c r="A46" i="1"/>
  <c r="Q45" i="1"/>
  <c r="P45" i="1"/>
  <c r="O45" i="1"/>
  <c r="N45" i="1"/>
  <c r="B45" i="1"/>
  <c r="A45" i="1"/>
  <c r="Q44" i="1"/>
  <c r="P44" i="1"/>
  <c r="O44" i="1"/>
  <c r="N44" i="1"/>
  <c r="B44" i="1"/>
  <c r="A44" i="1"/>
  <c r="Q43" i="1"/>
  <c r="P43" i="1"/>
  <c r="O43" i="1"/>
  <c r="N43" i="1"/>
  <c r="B43" i="1"/>
  <c r="A43" i="1"/>
  <c r="Q42" i="1"/>
  <c r="P42" i="1"/>
  <c r="O42" i="1"/>
  <c r="N42" i="1"/>
  <c r="B42" i="1"/>
  <c r="A42" i="1"/>
  <c r="Q41" i="1"/>
  <c r="P41" i="1"/>
  <c r="O41" i="1"/>
  <c r="N41" i="1"/>
  <c r="B41" i="1"/>
  <c r="A41" i="1"/>
  <c r="Q40" i="1"/>
  <c r="P40" i="1"/>
  <c r="O40" i="1"/>
  <c r="N40" i="1"/>
  <c r="B40" i="1"/>
  <c r="A40" i="1"/>
  <c r="Q39" i="1"/>
  <c r="P39" i="1"/>
  <c r="O39" i="1"/>
  <c r="N39" i="1"/>
  <c r="B39" i="1"/>
  <c r="A39" i="1"/>
  <c r="Q38" i="1"/>
  <c r="P38" i="1"/>
  <c r="O38" i="1"/>
  <c r="N38" i="1"/>
  <c r="B38" i="1"/>
  <c r="A38" i="1"/>
  <c r="Q37" i="1"/>
  <c r="P37" i="1"/>
  <c r="O37" i="1"/>
  <c r="N37" i="1"/>
  <c r="B37" i="1"/>
  <c r="A37" i="1"/>
  <c r="Q36" i="1"/>
  <c r="P36" i="1"/>
  <c r="O36" i="1"/>
  <c r="N36" i="1"/>
  <c r="B36" i="1"/>
  <c r="A36" i="1"/>
  <c r="Q35" i="1"/>
  <c r="P35" i="1"/>
  <c r="O35" i="1"/>
  <c r="N35" i="1"/>
  <c r="B35" i="1"/>
  <c r="A35" i="1"/>
  <c r="Q34" i="1"/>
  <c r="P34" i="1"/>
  <c r="O34" i="1"/>
  <c r="N34" i="1"/>
  <c r="B34" i="1"/>
  <c r="A34" i="1"/>
  <c r="Q33" i="1"/>
  <c r="P33" i="1"/>
  <c r="O33" i="1"/>
  <c r="N33" i="1"/>
  <c r="B33" i="1"/>
  <c r="A33" i="1"/>
  <c r="Q32" i="1"/>
  <c r="P32" i="1"/>
  <c r="O32" i="1"/>
  <c r="N32" i="1"/>
  <c r="B32" i="1"/>
  <c r="A32" i="1"/>
  <c r="Q31" i="1"/>
  <c r="P31" i="1"/>
  <c r="O31" i="1"/>
  <c r="N31" i="1"/>
  <c r="B31" i="1"/>
  <c r="A31" i="1"/>
  <c r="Q30" i="1"/>
  <c r="P30" i="1"/>
  <c r="O30" i="1"/>
  <c r="N30" i="1"/>
  <c r="B30" i="1"/>
  <c r="A30" i="1"/>
  <c r="Q29" i="1"/>
  <c r="P29" i="1"/>
  <c r="O29" i="1"/>
  <c r="N29" i="1"/>
  <c r="B29" i="1"/>
  <c r="A29" i="1"/>
  <c r="Q28" i="1"/>
  <c r="P28" i="1"/>
  <c r="O28" i="1"/>
  <c r="N28" i="1"/>
  <c r="B28" i="1"/>
  <c r="A28" i="1"/>
  <c r="Q27" i="1"/>
  <c r="P27" i="1"/>
  <c r="O27" i="1"/>
  <c r="N27" i="1"/>
  <c r="B27" i="1"/>
  <c r="A27" i="1"/>
  <c r="Q26" i="1"/>
  <c r="P26" i="1"/>
  <c r="O26" i="1"/>
  <c r="N26" i="1"/>
  <c r="B26" i="1"/>
  <c r="A26" i="1"/>
  <c r="Q25" i="1"/>
  <c r="P25" i="1"/>
  <c r="O25" i="1"/>
  <c r="N25" i="1"/>
  <c r="B25" i="1"/>
  <c r="A25" i="1"/>
  <c r="Q24" i="1"/>
  <c r="P24" i="1"/>
  <c r="O24" i="1"/>
  <c r="N24" i="1"/>
  <c r="B24" i="1"/>
  <c r="A24" i="1"/>
  <c r="Q23" i="1"/>
  <c r="P23" i="1"/>
  <c r="O23" i="1"/>
  <c r="N23" i="1"/>
  <c r="B23" i="1"/>
  <c r="A23" i="1"/>
  <c r="Q22" i="1"/>
  <c r="P22" i="1"/>
  <c r="O22" i="1"/>
  <c r="N22" i="1"/>
  <c r="B22" i="1"/>
  <c r="A22" i="1"/>
  <c r="Q21" i="1"/>
  <c r="P21" i="1"/>
  <c r="O21" i="1"/>
  <c r="N21" i="1"/>
  <c r="B21" i="1"/>
  <c r="A21" i="1"/>
  <c r="Q20" i="1"/>
  <c r="P20" i="1"/>
  <c r="O20" i="1"/>
  <c r="N20" i="1"/>
  <c r="B20" i="1"/>
  <c r="A20" i="1"/>
  <c r="Q19" i="1"/>
  <c r="P19" i="1"/>
  <c r="O19" i="1"/>
  <c r="N19" i="1"/>
  <c r="B19" i="1"/>
  <c r="A19" i="1"/>
  <c r="Q18" i="1"/>
  <c r="P18" i="1"/>
  <c r="O18" i="1"/>
  <c r="N18" i="1"/>
  <c r="B18" i="1"/>
  <c r="A18" i="1"/>
  <c r="Q17" i="1"/>
  <c r="P17" i="1"/>
  <c r="O17" i="1"/>
  <c r="N17" i="1"/>
  <c r="B17" i="1"/>
  <c r="A17" i="1"/>
  <c r="Q16" i="1"/>
  <c r="P16" i="1"/>
  <c r="O16" i="1"/>
  <c r="N16" i="1"/>
  <c r="B16" i="1"/>
  <c r="A16" i="1"/>
  <c r="Q15" i="1"/>
  <c r="P15" i="1"/>
  <c r="O15" i="1"/>
  <c r="N15" i="1"/>
  <c r="B15" i="1"/>
  <c r="A15" i="1"/>
  <c r="Q14" i="1"/>
  <c r="P14" i="1"/>
  <c r="O14" i="1"/>
  <c r="N14" i="1"/>
  <c r="B14" i="1"/>
  <c r="A14" i="1"/>
  <c r="Q13" i="1"/>
  <c r="P13" i="1"/>
  <c r="O13" i="1"/>
  <c r="N13" i="1"/>
  <c r="B13" i="1"/>
  <c r="A13" i="1"/>
  <c r="Q12" i="1"/>
  <c r="P12" i="1"/>
  <c r="O12" i="1"/>
  <c r="N12" i="1"/>
  <c r="B12" i="1"/>
  <c r="A12" i="1"/>
  <c r="Q11" i="1"/>
  <c r="P11" i="1"/>
  <c r="O11" i="1"/>
  <c r="N11" i="1"/>
  <c r="B11" i="1"/>
  <c r="A11" i="1"/>
  <c r="Q10" i="1"/>
  <c r="P10" i="1"/>
  <c r="O10" i="1"/>
  <c r="N10" i="1"/>
  <c r="B10" i="1"/>
  <c r="A10" i="1"/>
  <c r="Q9" i="1"/>
  <c r="P9" i="1"/>
  <c r="O9" i="1"/>
  <c r="N9" i="1"/>
  <c r="B9" i="1"/>
  <c r="A9" i="1"/>
  <c r="Q8" i="1"/>
  <c r="P8" i="1"/>
  <c r="O8" i="1"/>
  <c r="N8" i="1"/>
  <c r="B8" i="1"/>
  <c r="A8" i="1"/>
  <c r="Q7" i="1"/>
  <c r="P7" i="1"/>
  <c r="O7" i="1"/>
  <c r="N7" i="1"/>
  <c r="B7" i="1"/>
  <c r="A7" i="1"/>
  <c r="Q6" i="1"/>
  <c r="P6" i="1"/>
  <c r="O6" i="1"/>
  <c r="N6" i="1"/>
  <c r="B6" i="1"/>
  <c r="A6" i="1"/>
  <c r="Q5" i="1"/>
  <c r="P5" i="1"/>
  <c r="O5" i="1"/>
  <c r="N5" i="1"/>
  <c r="B5" i="1"/>
  <c r="A5" i="1"/>
  <c r="Q4" i="1"/>
  <c r="P4" i="1"/>
  <c r="O4" i="1"/>
  <c r="N4" i="1"/>
  <c r="B4" i="1"/>
  <c r="A4" i="1"/>
  <c r="Q3" i="1"/>
  <c r="P3" i="1"/>
  <c r="O3" i="1"/>
  <c r="N3" i="1"/>
  <c r="B3" i="1"/>
  <c r="A3" i="1"/>
  <c r="M986" i="1" l="1"/>
  <c r="M3" i="1"/>
  <c r="M24" i="1"/>
  <c r="M45" i="1"/>
  <c r="M5" i="1"/>
  <c r="M794" i="1"/>
  <c r="M718" i="1"/>
  <c r="M488" i="1"/>
  <c r="M7" i="1"/>
  <c r="M936" i="1"/>
  <c r="M840" i="1"/>
  <c r="M772" i="1"/>
  <c r="M728" i="1"/>
  <c r="M675" i="1"/>
  <c r="M647" i="1"/>
  <c r="M628" i="1"/>
  <c r="M963" i="1"/>
  <c r="M901" i="1"/>
  <c r="M863" i="1"/>
  <c r="M857" i="1"/>
  <c r="M765" i="1"/>
  <c r="M655" i="1"/>
  <c r="M627" i="1"/>
  <c r="M465" i="1"/>
  <c r="M22" i="1"/>
  <c r="M993" i="1"/>
  <c r="M990" i="1"/>
  <c r="M981" i="1"/>
  <c r="M977" i="1"/>
  <c r="M961" i="1"/>
  <c r="M951" i="1"/>
  <c r="M945" i="1"/>
  <c r="M934" i="1"/>
  <c r="M931" i="1"/>
  <c r="M926" i="1"/>
  <c r="M922" i="1"/>
  <c r="M920" i="1"/>
  <c r="M905" i="1"/>
  <c r="M890" i="1"/>
  <c r="M887" i="1"/>
  <c r="M878" i="1"/>
  <c r="M872" i="1"/>
  <c r="M868" i="1"/>
  <c r="M866" i="1"/>
  <c r="M855" i="1"/>
  <c r="M854" i="1"/>
  <c r="M852" i="1"/>
  <c r="M836" i="1"/>
  <c r="M828" i="1"/>
  <c r="M824" i="1"/>
  <c r="M822" i="1"/>
  <c r="M814" i="1"/>
  <c r="M812" i="1"/>
  <c r="M810" i="1"/>
  <c r="M804" i="1"/>
  <c r="M797" i="1"/>
  <c r="M790" i="1"/>
  <c r="M787" i="1"/>
  <c r="M744" i="1"/>
  <c r="M743" i="1"/>
  <c r="M737" i="1"/>
  <c r="M733" i="1"/>
  <c r="M731" i="1"/>
  <c r="M723" i="1"/>
  <c r="M707" i="1"/>
  <c r="M700" i="1"/>
  <c r="M697" i="1"/>
  <c r="M46" i="1"/>
  <c r="M42" i="1"/>
  <c r="M41" i="1"/>
  <c r="M39" i="1"/>
  <c r="M33" i="1"/>
  <c r="M32" i="1"/>
  <c r="M26" i="1"/>
  <c r="M25" i="1"/>
  <c r="M23" i="1"/>
  <c r="M21" i="1"/>
  <c r="M17" i="1"/>
  <c r="M14" i="1"/>
  <c r="M11" i="1"/>
  <c r="M10" i="1"/>
  <c r="M8" i="1"/>
  <c r="M6" i="1"/>
  <c r="S505" i="1"/>
  <c r="M43" i="1"/>
  <c r="M31" i="1"/>
  <c r="M30" i="1"/>
  <c r="M29" i="1"/>
  <c r="M28" i="1"/>
  <c r="M27" i="1"/>
  <c r="M16" i="1"/>
  <c r="M15" i="1"/>
  <c r="M982" i="1"/>
  <c r="M975" i="1"/>
  <c r="M971" i="1"/>
  <c r="M968" i="1"/>
  <c r="M966" i="1"/>
  <c r="M928" i="1"/>
  <c r="M911" i="1"/>
  <c r="M896" i="1"/>
  <c r="M893" i="1"/>
  <c r="M845" i="1"/>
  <c r="M842" i="1"/>
  <c r="M833" i="1"/>
  <c r="M817" i="1"/>
  <c r="M785" i="1"/>
  <c r="M781" i="1"/>
  <c r="M767" i="1"/>
  <c r="M762" i="1"/>
  <c r="M756" i="1"/>
  <c r="M712" i="1"/>
  <c r="M709" i="1"/>
  <c r="M705" i="1"/>
  <c r="M692" i="1"/>
  <c r="M687" i="1"/>
  <c r="M685" i="1"/>
  <c r="M679" i="1"/>
  <c r="M44" i="1"/>
  <c r="M40" i="1"/>
  <c r="M38" i="1"/>
  <c r="M37" i="1"/>
  <c r="M36" i="1"/>
  <c r="M35" i="1"/>
  <c r="M34" i="1"/>
  <c r="M20" i="1"/>
  <c r="M19" i="1"/>
  <c r="M18" i="1"/>
  <c r="M13" i="1"/>
  <c r="M12" i="1"/>
  <c r="M9" i="1"/>
  <c r="M4" i="1"/>
  <c r="M820" i="1"/>
  <c r="M806" i="1"/>
  <c r="S1000" i="1"/>
  <c r="M1000" i="1"/>
  <c r="M998" i="1"/>
  <c r="S997" i="1"/>
  <c r="M997" i="1"/>
  <c r="M996" i="1"/>
  <c r="S995" i="1"/>
  <c r="M994" i="1"/>
  <c r="S993" i="1"/>
  <c r="S992" i="1"/>
  <c r="M992" i="1"/>
  <c r="S991" i="1"/>
  <c r="M991" i="1"/>
  <c r="S990" i="1"/>
  <c r="M987" i="1"/>
  <c r="S986" i="1"/>
  <c r="S985" i="1"/>
  <c r="M985" i="1"/>
  <c r="S984" i="1"/>
  <c r="M984" i="1"/>
  <c r="S983" i="1"/>
  <c r="M978" i="1"/>
  <c r="S972" i="1"/>
  <c r="M972" i="1"/>
  <c r="S971" i="1"/>
  <c r="S967" i="1"/>
  <c r="M967" i="1"/>
  <c r="S966" i="1"/>
  <c r="S963" i="1"/>
  <c r="S962" i="1"/>
  <c r="M962" i="1"/>
  <c r="S961" i="1"/>
  <c r="M958" i="1"/>
  <c r="S957" i="1"/>
  <c r="M954" i="1"/>
  <c r="M953" i="1"/>
  <c r="S952" i="1"/>
  <c r="M952" i="1"/>
  <c r="S951" i="1"/>
  <c r="S948" i="1"/>
  <c r="S947" i="1"/>
  <c r="M947" i="1"/>
  <c r="S946" i="1"/>
  <c r="M946" i="1"/>
  <c r="M943" i="1"/>
  <c r="S942" i="1"/>
  <c r="M942" i="1"/>
  <c r="S941" i="1"/>
  <c r="M941" i="1"/>
  <c r="S940" i="1"/>
  <c r="M940" i="1"/>
  <c r="S939" i="1"/>
  <c r="M939" i="1"/>
  <c r="S938" i="1"/>
  <c r="S937" i="1"/>
  <c r="M937" i="1"/>
  <c r="S936" i="1"/>
  <c r="S933" i="1"/>
  <c r="M924" i="1"/>
  <c r="S923" i="1"/>
  <c r="S922" i="1"/>
  <c r="S919" i="1"/>
  <c r="M919" i="1"/>
  <c r="S918" i="1"/>
  <c r="M918" i="1"/>
  <c r="S917" i="1"/>
  <c r="Q916" i="1"/>
  <c r="S916" i="1" s="1"/>
  <c r="S915" i="1"/>
  <c r="M915" i="1"/>
  <c r="S914" i="1"/>
  <c r="M914" i="1"/>
  <c r="S913" i="1"/>
  <c r="S912" i="1"/>
  <c r="M909" i="1"/>
  <c r="S908" i="1"/>
  <c r="M908" i="1"/>
  <c r="S907" i="1"/>
  <c r="S898" i="1"/>
  <c r="M898" i="1"/>
  <c r="S897" i="1"/>
  <c r="M897" i="1"/>
  <c r="S896" i="1"/>
  <c r="M894" i="1"/>
  <c r="S893" i="1"/>
  <c r="S892" i="1"/>
  <c r="M892" i="1"/>
  <c r="S891" i="1"/>
  <c r="M891" i="1"/>
  <c r="S890" i="1"/>
  <c r="S889" i="1"/>
  <c r="S888" i="1"/>
  <c r="M888" i="1"/>
  <c r="S887" i="1"/>
  <c r="S884" i="1"/>
  <c r="M884" i="1"/>
  <c r="M883" i="1"/>
  <c r="S882" i="1"/>
  <c r="M881" i="1"/>
  <c r="S880" i="1"/>
  <c r="M879" i="1"/>
  <c r="S878" i="1"/>
  <c r="S877" i="1"/>
  <c r="M877" i="1"/>
  <c r="S876" i="1"/>
  <c r="M876" i="1"/>
  <c r="M875" i="1"/>
  <c r="S874" i="1"/>
  <c r="M873" i="1"/>
  <c r="S871" i="1"/>
  <c r="M871" i="1"/>
  <c r="S870" i="1"/>
  <c r="M870" i="1"/>
  <c r="S869" i="1"/>
  <c r="M869" i="1"/>
  <c r="S868" i="1"/>
  <c r="S867" i="1"/>
  <c r="M867" i="1"/>
  <c r="S866" i="1"/>
  <c r="S863" i="1"/>
  <c r="S862" i="1"/>
  <c r="M862" i="1"/>
  <c r="S861" i="1"/>
  <c r="M861" i="1"/>
  <c r="S860" i="1"/>
  <c r="M859" i="1"/>
  <c r="S858" i="1"/>
  <c r="S853" i="1"/>
  <c r="M853" i="1"/>
  <c r="M849" i="1"/>
  <c r="M848" i="1"/>
  <c r="M847" i="1"/>
  <c r="S846" i="1"/>
  <c r="S842" i="1"/>
  <c r="S839" i="1"/>
  <c r="M839" i="1"/>
  <c r="S838" i="1"/>
  <c r="M838" i="1"/>
  <c r="S833" i="1"/>
  <c r="S832" i="1"/>
  <c r="M832" i="1"/>
  <c r="S830" i="1"/>
  <c r="S829" i="1"/>
  <c r="S814" i="1"/>
  <c r="S811" i="1"/>
  <c r="M811" i="1"/>
  <c r="S810" i="1"/>
  <c r="S809" i="1"/>
  <c r="M809" i="1"/>
  <c r="S808" i="1"/>
  <c r="M808" i="1"/>
  <c r="S807" i="1"/>
  <c r="S805" i="1"/>
  <c r="M805" i="1"/>
  <c r="S804" i="1"/>
  <c r="M800" i="1"/>
  <c r="M799" i="1"/>
  <c r="S798" i="1"/>
  <c r="S793" i="1"/>
  <c r="M793" i="1"/>
  <c r="S792" i="1"/>
  <c r="M792" i="1"/>
  <c r="S791" i="1"/>
  <c r="S789" i="1"/>
  <c r="M789" i="1"/>
  <c r="S788" i="1"/>
  <c r="M788" i="1"/>
  <c r="S786" i="1"/>
  <c r="M786" i="1"/>
  <c r="S785" i="1"/>
  <c r="S784" i="1"/>
  <c r="M784" i="1"/>
  <c r="S783" i="1"/>
  <c r="S771" i="1"/>
  <c r="M771" i="1"/>
  <c r="S770" i="1"/>
  <c r="M768" i="1"/>
  <c r="S767" i="1"/>
  <c r="S766" i="1"/>
  <c r="M766" i="1"/>
  <c r="S764" i="1"/>
  <c r="M764" i="1"/>
  <c r="S755" i="1"/>
  <c r="M755" i="1"/>
  <c r="S743" i="1"/>
  <c r="S739" i="1"/>
  <c r="M739" i="1"/>
  <c r="S738" i="1"/>
  <c r="S733" i="1"/>
  <c r="S732" i="1"/>
  <c r="S727" i="1"/>
  <c r="M727" i="1"/>
  <c r="S726" i="1"/>
  <c r="M725" i="1"/>
  <c r="S719" i="1"/>
  <c r="S708" i="1"/>
  <c r="M708" i="1"/>
  <c r="S707" i="1"/>
  <c r="S706" i="1"/>
  <c r="M706" i="1"/>
  <c r="S705" i="1"/>
  <c r="S696" i="1"/>
  <c r="M696" i="1"/>
  <c r="S695" i="1"/>
  <c r="S691" i="1"/>
  <c r="M691" i="1"/>
  <c r="S690" i="1"/>
  <c r="M690" i="1"/>
  <c r="S689" i="1"/>
  <c r="M689" i="1"/>
  <c r="S688" i="1"/>
  <c r="S686" i="1"/>
  <c r="M686" i="1"/>
  <c r="S685" i="1"/>
  <c r="M676" i="1"/>
  <c r="S675" i="1"/>
  <c r="S665" i="1"/>
  <c r="M664" i="1"/>
  <c r="S657" i="1"/>
  <c r="S656" i="1"/>
  <c r="M656" i="1"/>
  <c r="M654" i="1"/>
  <c r="S653" i="1"/>
  <c r="S652" i="1"/>
  <c r="M652" i="1"/>
  <c r="M651" i="1"/>
  <c r="S650" i="1"/>
  <c r="S649" i="1"/>
  <c r="M648" i="1"/>
  <c r="S646" i="1"/>
  <c r="S645" i="1"/>
  <c r="M645" i="1"/>
  <c r="M644" i="1"/>
  <c r="S640" i="1"/>
  <c r="M640" i="1"/>
  <c r="S639" i="1"/>
  <c r="M639" i="1"/>
  <c r="S637" i="1"/>
  <c r="S632" i="1"/>
  <c r="S631" i="1"/>
  <c r="M631" i="1"/>
  <c r="S629" i="1"/>
  <c r="S624" i="1"/>
  <c r="M624" i="1"/>
  <c r="M619" i="1"/>
  <c r="S615" i="1"/>
  <c r="M614" i="1"/>
  <c r="S612" i="1"/>
  <c r="M612" i="1"/>
  <c r="S609" i="1"/>
  <c r="S608" i="1"/>
  <c r="M608" i="1"/>
  <c r="M606" i="1"/>
  <c r="M603" i="1"/>
  <c r="S600" i="1"/>
  <c r="S599" i="1"/>
  <c r="S595" i="1"/>
  <c r="S591" i="1"/>
  <c r="M591" i="1"/>
  <c r="S589" i="1"/>
  <c r="M588" i="1"/>
  <c r="S587" i="1"/>
  <c r="S586" i="1"/>
  <c r="M586" i="1"/>
  <c r="S583" i="1"/>
  <c r="M583" i="1"/>
  <c r="S580" i="1"/>
  <c r="M579" i="1"/>
  <c r="S576" i="1"/>
  <c r="M576" i="1"/>
  <c r="S571" i="1"/>
  <c r="M571" i="1"/>
  <c r="S567" i="1"/>
  <c r="M567" i="1"/>
  <c r="M559" i="1"/>
  <c r="M558" i="1"/>
  <c r="S555" i="1"/>
  <c r="M555" i="1"/>
  <c r="S553" i="1"/>
  <c r="M552" i="1"/>
  <c r="S549" i="1"/>
  <c r="S548" i="1"/>
  <c r="M548" i="1"/>
  <c r="S545" i="1"/>
  <c r="M544" i="1"/>
  <c r="M543" i="1"/>
  <c r="M538" i="1"/>
  <c r="S534" i="1"/>
  <c r="M534" i="1"/>
  <c r="S533" i="1"/>
  <c r="M533" i="1"/>
  <c r="S531" i="1"/>
  <c r="S528" i="1"/>
  <c r="M528" i="1"/>
  <c r="M527" i="1"/>
  <c r="M526" i="1"/>
  <c r="S525" i="1"/>
  <c r="S523" i="1"/>
  <c r="S520" i="1"/>
  <c r="M520" i="1"/>
  <c r="S516" i="1"/>
  <c r="M515" i="1"/>
  <c r="M513" i="1"/>
  <c r="S512" i="1"/>
  <c r="S511" i="1"/>
  <c r="M510" i="1"/>
  <c r="M505" i="1"/>
  <c r="S504" i="1"/>
  <c r="S503" i="1"/>
  <c r="M503" i="1"/>
  <c r="M501" i="1"/>
  <c r="S498" i="1"/>
  <c r="M498" i="1"/>
  <c r="S491" i="1"/>
  <c r="M491" i="1"/>
  <c r="S487" i="1"/>
  <c r="S484" i="1"/>
  <c r="M484" i="1"/>
  <c r="S481" i="1"/>
  <c r="M481" i="1"/>
  <c r="S479" i="1"/>
  <c r="S478" i="1"/>
  <c r="M477" i="1"/>
  <c r="M476" i="1"/>
  <c r="S474" i="1"/>
  <c r="M471" i="1"/>
  <c r="M467" i="1"/>
  <c r="S462" i="1"/>
  <c r="S461" i="1"/>
  <c r="M461" i="1"/>
  <c r="M460" i="1"/>
  <c r="M457" i="1"/>
  <c r="M456" i="1"/>
  <c r="S454" i="1"/>
  <c r="M453" i="1"/>
  <c r="M452" i="1"/>
  <c r="M448" i="1"/>
  <c r="M447" i="1"/>
  <c r="S444" i="1"/>
  <c r="M443" i="1"/>
  <c r="S439" i="1"/>
  <c r="S438" i="1"/>
  <c r="M437" i="1"/>
  <c r="M436" i="1"/>
  <c r="S435" i="1"/>
  <c r="M434" i="1"/>
  <c r="S430" i="1"/>
  <c r="M430" i="1"/>
  <c r="M428" i="1"/>
  <c r="M426" i="1"/>
  <c r="S424" i="1"/>
  <c r="S422" i="1"/>
  <c r="M421" i="1"/>
  <c r="S419" i="1"/>
  <c r="M419" i="1"/>
  <c r="S417" i="1"/>
  <c r="M414" i="1"/>
  <c r="M409" i="1"/>
  <c r="S402" i="1"/>
  <c r="M401" i="1"/>
  <c r="S400" i="1"/>
  <c r="M393" i="1"/>
  <c r="S389" i="1"/>
  <c r="M386" i="1"/>
  <c r="M385" i="1"/>
  <c r="M384" i="1"/>
  <c r="M383" i="1"/>
  <c r="S380" i="1"/>
  <c r="S379" i="1"/>
  <c r="S378" i="1"/>
  <c r="S377" i="1"/>
  <c r="M376" i="1"/>
  <c r="M375" i="1"/>
  <c r="M374" i="1"/>
  <c r="M373" i="1"/>
  <c r="S370" i="1"/>
  <c r="S369" i="1"/>
  <c r="S368" i="1"/>
  <c r="S367" i="1"/>
  <c r="S365" i="1"/>
  <c r="S362" i="1"/>
  <c r="S361" i="1"/>
  <c r="S360" i="1"/>
  <c r="S357" i="1"/>
  <c r="S356" i="1"/>
  <c r="S355" i="1"/>
  <c r="S354" i="1"/>
  <c r="S353" i="1"/>
  <c r="M353" i="1"/>
  <c r="S352" i="1"/>
  <c r="S349" i="1"/>
  <c r="S348" i="1"/>
  <c r="S345" i="1"/>
  <c r="S344" i="1"/>
  <c r="M343" i="1"/>
  <c r="S340" i="1"/>
  <c r="S339" i="1"/>
  <c r="S338" i="1"/>
  <c r="M337" i="1"/>
  <c r="S334" i="1"/>
  <c r="S333" i="1"/>
  <c r="S321" i="1"/>
  <c r="S319" i="1"/>
  <c r="M317" i="1"/>
  <c r="S314" i="1"/>
  <c r="M314" i="1"/>
  <c r="S312" i="1"/>
  <c r="M311" i="1"/>
  <c r="M310" i="1"/>
  <c r="M308" i="1"/>
  <c r="M307" i="1"/>
  <c r="S304" i="1"/>
  <c r="S303" i="1"/>
  <c r="M302" i="1"/>
  <c r="M301" i="1"/>
  <c r="M300" i="1"/>
  <c r="M297" i="1"/>
  <c r="M296" i="1"/>
  <c r="S295" i="1"/>
  <c r="S292" i="1"/>
  <c r="S291" i="1"/>
  <c r="M290" i="1"/>
  <c r="M289" i="1"/>
  <c r="S285" i="1"/>
  <c r="M280" i="1"/>
  <c r="M274" i="1"/>
  <c r="S273" i="1"/>
  <c r="S270" i="1"/>
  <c r="M270" i="1"/>
  <c r="M269" i="1"/>
  <c r="M264" i="1"/>
  <c r="S263" i="1"/>
  <c r="M262" i="1"/>
  <c r="S257" i="1"/>
  <c r="M256" i="1"/>
  <c r="M255" i="1"/>
  <c r="M254" i="1"/>
  <c r="S250" i="1"/>
  <c r="M249" i="1"/>
  <c r="S246" i="1"/>
  <c r="S245" i="1"/>
  <c r="S244" i="1"/>
  <c r="M243" i="1"/>
  <c r="M242" i="1"/>
  <c r="S241" i="1"/>
  <c r="S237" i="1"/>
  <c r="M236" i="1"/>
  <c r="S235" i="1"/>
  <c r="M234" i="1"/>
  <c r="S230" i="1"/>
  <c r="M230" i="1"/>
  <c r="M229" i="1"/>
  <c r="S228" i="1"/>
  <c r="S227" i="1"/>
  <c r="M227" i="1"/>
  <c r="S226" i="1"/>
  <c r="S223" i="1"/>
  <c r="S222" i="1"/>
  <c r="M220" i="1"/>
  <c r="S219" i="1"/>
  <c r="S218" i="1"/>
  <c r="S214" i="1"/>
  <c r="M213" i="1"/>
  <c r="M211" i="1"/>
  <c r="S207" i="1"/>
  <c r="M206" i="1"/>
  <c r="S205" i="1"/>
  <c r="M204" i="1"/>
  <c r="S201" i="1"/>
  <c r="S197" i="1"/>
  <c r="M196" i="1"/>
  <c r="M193" i="1"/>
  <c r="M192" i="1"/>
  <c r="S189" i="1"/>
  <c r="M188" i="1"/>
  <c r="S183" i="1"/>
  <c r="S182" i="1"/>
  <c r="S181" i="1"/>
  <c r="M180" i="1"/>
  <c r="S175" i="1"/>
  <c r="S174" i="1"/>
  <c r="S172" i="1"/>
  <c r="S171" i="1"/>
  <c r="M166" i="1"/>
  <c r="S163" i="1"/>
  <c r="M162" i="1"/>
  <c r="S158" i="1"/>
  <c r="S156" i="1"/>
  <c r="S155" i="1"/>
  <c r="M153" i="1"/>
  <c r="S147" i="1"/>
  <c r="S146" i="1"/>
  <c r="M146" i="1"/>
  <c r="S145" i="1"/>
  <c r="M145" i="1"/>
  <c r="S142" i="1"/>
  <c r="S141" i="1"/>
  <c r="S140" i="1"/>
  <c r="S136" i="1"/>
  <c r="S135" i="1"/>
  <c r="M133" i="1"/>
  <c r="S131" i="1"/>
  <c r="M131" i="1"/>
  <c r="M129" i="1"/>
  <c r="S122" i="1"/>
  <c r="S121" i="1"/>
  <c r="S120" i="1"/>
  <c r="S119" i="1"/>
  <c r="S118" i="1"/>
  <c r="M117" i="1"/>
  <c r="S116" i="1"/>
  <c r="S113" i="1"/>
  <c r="S112" i="1"/>
  <c r="S111" i="1"/>
  <c r="S105" i="1"/>
  <c r="S104" i="1"/>
  <c r="M104" i="1"/>
  <c r="M103" i="1"/>
  <c r="M102" i="1"/>
  <c r="M101" i="1"/>
  <c r="M97" i="1"/>
  <c r="M93" i="1"/>
  <c r="M88" i="1"/>
  <c r="S82" i="1"/>
  <c r="M81" i="1"/>
  <c r="S80" i="1"/>
  <c r="S79" i="1"/>
  <c r="S78" i="1"/>
  <c r="S77" i="1"/>
  <c r="S76" i="1"/>
  <c r="S75" i="1"/>
  <c r="S70" i="1"/>
  <c r="S69" i="1"/>
  <c r="M69" i="1"/>
  <c r="M65" i="1"/>
  <c r="S64" i="1"/>
  <c r="S61" i="1"/>
  <c r="M57" i="1"/>
  <c r="M56" i="1"/>
  <c r="M55" i="1"/>
  <c r="S54" i="1"/>
  <c r="S628" i="1"/>
  <c r="S627" i="1"/>
  <c r="S626" i="1"/>
  <c r="M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999" i="1"/>
  <c r="M999" i="1"/>
  <c r="S998" i="1"/>
  <c r="S996" i="1"/>
  <c r="M995" i="1"/>
  <c r="S994" i="1"/>
  <c r="S989" i="1"/>
  <c r="M989" i="1"/>
  <c r="S988" i="1"/>
  <c r="M988" i="1"/>
  <c r="S987" i="1"/>
  <c r="M983" i="1"/>
  <c r="S982" i="1"/>
  <c r="S981" i="1"/>
  <c r="S980" i="1"/>
  <c r="M980" i="1"/>
  <c r="S979" i="1"/>
  <c r="M979" i="1"/>
  <c r="S978" i="1"/>
  <c r="S977" i="1"/>
  <c r="S976" i="1"/>
  <c r="M976" i="1"/>
  <c r="S975" i="1"/>
  <c r="S974" i="1"/>
  <c r="M974" i="1"/>
  <c r="S973" i="1"/>
  <c r="S970" i="1"/>
  <c r="M970" i="1"/>
  <c r="S969" i="1"/>
  <c r="M969" i="1"/>
  <c r="S968" i="1"/>
  <c r="S965" i="1"/>
  <c r="M965" i="1"/>
  <c r="S964" i="1"/>
  <c r="M964" i="1"/>
  <c r="S960" i="1"/>
  <c r="M960" i="1"/>
  <c r="S959" i="1"/>
  <c r="M959" i="1"/>
  <c r="S958" i="1"/>
  <c r="M957" i="1"/>
  <c r="S956" i="1"/>
  <c r="M956" i="1"/>
  <c r="S955" i="1"/>
  <c r="M955" i="1"/>
  <c r="S954" i="1"/>
  <c r="S953" i="1"/>
  <c r="S950" i="1"/>
  <c r="M950" i="1"/>
  <c r="S949" i="1"/>
  <c r="M949" i="1"/>
  <c r="M948" i="1"/>
  <c r="S945" i="1"/>
  <c r="S944" i="1"/>
  <c r="M944" i="1"/>
  <c r="S943" i="1"/>
  <c r="M938" i="1"/>
  <c r="S935" i="1"/>
  <c r="M935" i="1"/>
  <c r="S934" i="1"/>
  <c r="M933" i="1"/>
  <c r="S932" i="1"/>
  <c r="M932" i="1"/>
  <c r="S931" i="1"/>
  <c r="S930" i="1"/>
  <c r="M930" i="1"/>
  <c r="S929" i="1"/>
  <c r="M929" i="1"/>
  <c r="S928" i="1"/>
  <c r="S927" i="1"/>
  <c r="M927" i="1"/>
  <c r="S926" i="1"/>
  <c r="S925" i="1"/>
  <c r="M925" i="1"/>
  <c r="S924" i="1"/>
  <c r="M923" i="1"/>
  <c r="S921" i="1"/>
  <c r="M921" i="1"/>
  <c r="S920" i="1"/>
  <c r="M917" i="1"/>
  <c r="M913" i="1"/>
  <c r="M912" i="1"/>
  <c r="S911" i="1"/>
  <c r="S910" i="1"/>
  <c r="M910" i="1"/>
  <c r="S909" i="1"/>
  <c r="M907" i="1"/>
  <c r="S906" i="1"/>
  <c r="M906" i="1"/>
  <c r="S905" i="1"/>
  <c r="S904" i="1"/>
  <c r="M904" i="1"/>
  <c r="S903" i="1"/>
  <c r="M903" i="1"/>
  <c r="S902" i="1"/>
  <c r="M902" i="1"/>
  <c r="S901" i="1"/>
  <c r="S900" i="1"/>
  <c r="M900" i="1"/>
  <c r="S899" i="1"/>
  <c r="M899" i="1"/>
  <c r="S895" i="1"/>
  <c r="M895" i="1"/>
  <c r="S894" i="1"/>
  <c r="M889" i="1"/>
  <c r="S886" i="1"/>
  <c r="M886" i="1"/>
  <c r="S885" i="1"/>
  <c r="M885" i="1"/>
  <c r="S883" i="1"/>
  <c r="M882" i="1"/>
  <c r="S881" i="1"/>
  <c r="M880" i="1"/>
  <c r="S879" i="1"/>
  <c r="S875" i="1"/>
  <c r="M874" i="1"/>
  <c r="S873" i="1"/>
  <c r="S872" i="1"/>
  <c r="S865" i="1"/>
  <c r="M865" i="1"/>
  <c r="S864" i="1"/>
  <c r="M864" i="1"/>
  <c r="M860" i="1"/>
  <c r="S859" i="1"/>
  <c r="M858" i="1"/>
  <c r="S857" i="1"/>
  <c r="S856" i="1"/>
  <c r="M856" i="1"/>
  <c r="S855" i="1"/>
  <c r="S854" i="1"/>
  <c r="S852" i="1"/>
  <c r="S851" i="1"/>
  <c r="M851" i="1"/>
  <c r="S850" i="1"/>
  <c r="M850" i="1"/>
  <c r="S849" i="1"/>
  <c r="S848" i="1"/>
  <c r="S847" i="1"/>
  <c r="M846" i="1"/>
  <c r="S845" i="1"/>
  <c r="S844" i="1"/>
  <c r="M844" i="1"/>
  <c r="S843" i="1"/>
  <c r="M843" i="1"/>
  <c r="S841" i="1"/>
  <c r="M841" i="1"/>
  <c r="S840" i="1"/>
  <c r="S837" i="1"/>
  <c r="M837" i="1"/>
  <c r="S836" i="1"/>
  <c r="S835" i="1"/>
  <c r="M835" i="1"/>
  <c r="S834" i="1"/>
  <c r="M834" i="1"/>
  <c r="S831" i="1"/>
  <c r="M831" i="1"/>
  <c r="M830" i="1"/>
  <c r="M829" i="1"/>
  <c r="S828" i="1"/>
  <c r="S827" i="1"/>
  <c r="M827" i="1"/>
  <c r="S826" i="1"/>
  <c r="M826" i="1"/>
  <c r="S825" i="1"/>
  <c r="M825" i="1"/>
  <c r="S824" i="1"/>
  <c r="S823" i="1"/>
  <c r="M823" i="1"/>
  <c r="S822" i="1"/>
  <c r="S821" i="1"/>
  <c r="M821" i="1"/>
  <c r="S820" i="1"/>
  <c r="S819" i="1"/>
  <c r="M819" i="1"/>
  <c r="S818" i="1"/>
  <c r="M818" i="1"/>
  <c r="S817" i="1"/>
  <c r="S816" i="1"/>
  <c r="M816" i="1"/>
  <c r="S815" i="1"/>
  <c r="M815" i="1"/>
  <c r="S813" i="1"/>
  <c r="M813" i="1"/>
  <c r="S812" i="1"/>
  <c r="M807" i="1"/>
  <c r="S806" i="1"/>
  <c r="S803" i="1"/>
  <c r="M803" i="1"/>
  <c r="S802" i="1"/>
  <c r="M802" i="1"/>
  <c r="S801" i="1"/>
  <c r="M801" i="1"/>
  <c r="S800" i="1"/>
  <c r="S799" i="1"/>
  <c r="M798" i="1"/>
  <c r="S797" i="1"/>
  <c r="S796" i="1"/>
  <c r="M796" i="1"/>
  <c r="S795" i="1"/>
  <c r="M795" i="1"/>
  <c r="S794" i="1"/>
  <c r="M791" i="1"/>
  <c r="S790" i="1"/>
  <c r="S787" i="1"/>
  <c r="M783" i="1"/>
  <c r="S782" i="1"/>
  <c r="M782" i="1"/>
  <c r="S781" i="1"/>
  <c r="S780" i="1"/>
  <c r="M780" i="1"/>
  <c r="S779" i="1"/>
  <c r="M779" i="1"/>
  <c r="S778" i="1"/>
  <c r="M778" i="1"/>
  <c r="S777" i="1"/>
  <c r="M777" i="1"/>
  <c r="S776" i="1"/>
  <c r="M776" i="1"/>
  <c r="S775" i="1"/>
  <c r="M775" i="1"/>
  <c r="S774" i="1"/>
  <c r="M774" i="1"/>
  <c r="S773" i="1"/>
  <c r="M773" i="1"/>
  <c r="S772" i="1"/>
  <c r="M770" i="1"/>
  <c r="S769" i="1"/>
  <c r="M769" i="1"/>
  <c r="S768" i="1"/>
  <c r="S765" i="1"/>
  <c r="S763" i="1"/>
  <c r="M763" i="1"/>
  <c r="S762" i="1"/>
  <c r="S761" i="1"/>
  <c r="M761" i="1"/>
  <c r="S760" i="1"/>
  <c r="M760" i="1"/>
  <c r="S759" i="1"/>
  <c r="M759" i="1"/>
  <c r="S758" i="1"/>
  <c r="M758" i="1"/>
  <c r="S757" i="1"/>
  <c r="M757" i="1"/>
  <c r="S756" i="1"/>
  <c r="S754" i="1"/>
  <c r="M754" i="1"/>
  <c r="S753" i="1"/>
  <c r="M753" i="1"/>
  <c r="S752" i="1"/>
  <c r="M752" i="1"/>
  <c r="S751" i="1"/>
  <c r="M751" i="1"/>
  <c r="S750" i="1"/>
  <c r="M750" i="1"/>
  <c r="S749" i="1"/>
  <c r="M749" i="1"/>
  <c r="S748" i="1"/>
  <c r="M748" i="1"/>
  <c r="S747" i="1"/>
  <c r="M747" i="1"/>
  <c r="S746" i="1"/>
  <c r="M746" i="1"/>
  <c r="S745" i="1"/>
  <c r="M745" i="1"/>
  <c r="S744" i="1"/>
  <c r="S742" i="1"/>
  <c r="M742" i="1"/>
  <c r="S741" i="1"/>
  <c r="M741" i="1"/>
  <c r="S740" i="1"/>
  <c r="M740" i="1"/>
  <c r="M738" i="1"/>
  <c r="S737" i="1"/>
  <c r="S736" i="1"/>
  <c r="M736" i="1"/>
  <c r="S735" i="1"/>
  <c r="M735" i="1"/>
  <c r="S734" i="1"/>
  <c r="M734" i="1"/>
  <c r="M732" i="1"/>
  <c r="S731" i="1"/>
  <c r="S730" i="1"/>
  <c r="M730" i="1"/>
  <c r="S729" i="1"/>
  <c r="M729" i="1"/>
  <c r="S728" i="1"/>
  <c r="M726" i="1"/>
  <c r="S725" i="1"/>
  <c r="S724" i="1"/>
  <c r="M724" i="1"/>
  <c r="S723" i="1"/>
  <c r="S722" i="1"/>
  <c r="M722" i="1"/>
  <c r="S721" i="1"/>
  <c r="M721" i="1"/>
  <c r="S720" i="1"/>
  <c r="M720" i="1"/>
  <c r="M719" i="1"/>
  <c r="S718" i="1"/>
  <c r="S717" i="1"/>
  <c r="M717" i="1"/>
  <c r="S716" i="1"/>
  <c r="M716" i="1"/>
  <c r="S715" i="1"/>
  <c r="M715" i="1"/>
  <c r="S714" i="1"/>
  <c r="M714" i="1"/>
  <c r="S713" i="1"/>
  <c r="M713" i="1"/>
  <c r="S712" i="1"/>
  <c r="S711" i="1"/>
  <c r="M711" i="1"/>
  <c r="S710" i="1"/>
  <c r="M710" i="1"/>
  <c r="S709" i="1"/>
  <c r="S704" i="1"/>
  <c r="M704" i="1"/>
  <c r="S703" i="1"/>
  <c r="M703" i="1"/>
  <c r="S702" i="1"/>
  <c r="M702" i="1"/>
  <c r="S701" i="1"/>
  <c r="M701" i="1"/>
  <c r="S700" i="1"/>
  <c r="S699" i="1"/>
  <c r="M699" i="1"/>
  <c r="S698" i="1"/>
  <c r="M698" i="1"/>
  <c r="S697" i="1"/>
  <c r="S694" i="1"/>
  <c r="M694" i="1"/>
  <c r="S693" i="1"/>
  <c r="M693" i="1"/>
  <c r="S692" i="1"/>
  <c r="M688" i="1"/>
  <c r="S687" i="1"/>
  <c r="S684" i="1"/>
  <c r="M684" i="1"/>
  <c r="S683" i="1"/>
  <c r="M683" i="1"/>
  <c r="S682" i="1"/>
  <c r="M682" i="1"/>
  <c r="S681" i="1"/>
  <c r="M681" i="1"/>
  <c r="S680" i="1"/>
  <c r="M680" i="1"/>
  <c r="S679" i="1"/>
  <c r="S678" i="1"/>
  <c r="M678" i="1"/>
  <c r="S677" i="1"/>
  <c r="M677" i="1"/>
  <c r="S676" i="1"/>
  <c r="M674" i="1"/>
  <c r="M673" i="1"/>
  <c r="M672" i="1"/>
  <c r="M670" i="1"/>
  <c r="S668" i="1"/>
  <c r="M666" i="1"/>
  <c r="S662" i="1"/>
  <c r="S661" i="1"/>
  <c r="S660" i="1"/>
  <c r="M660" i="1"/>
  <c r="M659" i="1"/>
  <c r="S658" i="1"/>
  <c r="M657" i="1"/>
  <c r="M649" i="1"/>
  <c r="S641" i="1"/>
  <c r="M641" i="1"/>
  <c r="S636" i="1"/>
  <c r="S635" i="1"/>
  <c r="M635" i="1"/>
  <c r="M634" i="1"/>
  <c r="M630" i="1"/>
  <c r="M626" i="1"/>
  <c r="M621" i="1"/>
  <c r="S617" i="1"/>
  <c r="M616" i="1"/>
  <c r="M615" i="1"/>
  <c r="M611" i="1"/>
  <c r="S610" i="1"/>
  <c r="S607" i="1"/>
  <c r="M607" i="1"/>
  <c r="M605" i="1"/>
  <c r="S601" i="1"/>
  <c r="M600" i="1"/>
  <c r="M599" i="1"/>
  <c r="M598" i="1"/>
  <c r="S596" i="1"/>
  <c r="M596" i="1"/>
  <c r="M595" i="1"/>
  <c r="M594" i="1"/>
  <c r="S593" i="1"/>
  <c r="M592" i="1"/>
  <c r="M590" i="1"/>
  <c r="S582" i="1"/>
  <c r="S581" i="1"/>
  <c r="M581" i="1"/>
  <c r="S575" i="1"/>
  <c r="M573" i="1"/>
  <c r="S568" i="1"/>
  <c r="S566" i="1"/>
  <c r="M566" i="1"/>
  <c r="M565" i="1"/>
  <c r="M563" i="1"/>
  <c r="S562" i="1"/>
  <c r="S560" i="1"/>
  <c r="S557" i="1"/>
  <c r="M557" i="1"/>
  <c r="M556" i="1"/>
  <c r="M554" i="1"/>
  <c r="S551" i="1"/>
  <c r="S550" i="1"/>
  <c r="M549" i="1"/>
  <c r="M547" i="1"/>
  <c r="S544" i="1"/>
  <c r="S543" i="1"/>
  <c r="M542" i="1"/>
  <c r="S540" i="1"/>
  <c r="S539" i="1"/>
  <c r="M539" i="1"/>
  <c r="M537" i="1"/>
  <c r="S536" i="1"/>
  <c r="M535" i="1"/>
  <c r="M532" i="1"/>
  <c r="S530" i="1"/>
  <c r="S529" i="1"/>
  <c r="M529" i="1"/>
  <c r="S527" i="1"/>
  <c r="M523" i="1"/>
  <c r="M522" i="1"/>
  <c r="S521" i="1"/>
  <c r="S519" i="1"/>
  <c r="M519" i="1"/>
  <c r="M518" i="1"/>
  <c r="S515" i="1"/>
  <c r="S514" i="1"/>
  <c r="M514" i="1"/>
  <c r="M511" i="1"/>
  <c r="M509" i="1"/>
  <c r="S508" i="1"/>
  <c r="M507" i="1"/>
  <c r="M506" i="1"/>
  <c r="M504" i="1"/>
  <c r="S502" i="1"/>
  <c r="S501" i="1"/>
  <c r="S500" i="1"/>
  <c r="M500" i="1"/>
  <c r="M499" i="1"/>
  <c r="S497" i="1"/>
  <c r="M497" i="1"/>
  <c r="M496" i="1"/>
  <c r="M494" i="1"/>
  <c r="M493" i="1"/>
  <c r="S492" i="1"/>
  <c r="S490" i="1"/>
  <c r="M490" i="1"/>
  <c r="M489" i="1"/>
  <c r="M487" i="1"/>
  <c r="M486" i="1"/>
  <c r="M485" i="1"/>
  <c r="S483" i="1"/>
  <c r="S482" i="1"/>
  <c r="M482" i="1"/>
  <c r="M480" i="1"/>
  <c r="S477" i="1"/>
  <c r="S476" i="1"/>
  <c r="M475" i="1"/>
  <c r="S470" i="1"/>
  <c r="S469" i="1"/>
  <c r="M469" i="1"/>
  <c r="S467" i="1"/>
  <c r="S466" i="1"/>
  <c r="M466" i="1"/>
  <c r="M463" i="1"/>
  <c r="M459" i="1"/>
  <c r="S455" i="1"/>
  <c r="S449" i="1"/>
  <c r="S448" i="1"/>
  <c r="S447" i="1"/>
  <c r="S446" i="1"/>
  <c r="S443" i="1"/>
  <c r="S440" i="1"/>
  <c r="S437" i="1"/>
  <c r="S436" i="1"/>
  <c r="M433" i="1"/>
  <c r="M432" i="1"/>
  <c r="M431" i="1"/>
  <c r="M429" i="1"/>
  <c r="S428" i="1"/>
  <c r="S427" i="1"/>
  <c r="M427" i="1"/>
  <c r="M425" i="1"/>
  <c r="S420" i="1"/>
  <c r="M413" i="1"/>
  <c r="S411" i="1"/>
  <c r="S410" i="1"/>
  <c r="S409" i="1"/>
  <c r="S408" i="1"/>
  <c r="S407" i="1"/>
  <c r="S406" i="1"/>
  <c r="M405" i="1"/>
  <c r="M404" i="1"/>
  <c r="M403" i="1"/>
  <c r="M402" i="1"/>
  <c r="S401" i="1"/>
  <c r="S399" i="1"/>
  <c r="M399" i="1"/>
  <c r="S398" i="1"/>
  <c r="M398" i="1"/>
  <c r="M397" i="1"/>
  <c r="S393" i="1"/>
  <c r="S392" i="1"/>
  <c r="M392" i="1"/>
  <c r="M391" i="1"/>
  <c r="S387" i="1"/>
  <c r="S386" i="1"/>
  <c r="S385" i="1"/>
  <c r="M382" i="1"/>
  <c r="S381" i="1"/>
  <c r="M381" i="1"/>
  <c r="M380" i="1"/>
  <c r="S373" i="1"/>
  <c r="M369" i="1"/>
  <c r="M368" i="1"/>
  <c r="M367" i="1"/>
  <c r="S366" i="1"/>
  <c r="S364" i="1"/>
  <c r="M364" i="1"/>
  <c r="M360" i="1"/>
  <c r="S359" i="1"/>
  <c r="M358" i="1"/>
  <c r="M350" i="1"/>
  <c r="M349" i="1"/>
  <c r="S346" i="1"/>
  <c r="M345" i="1"/>
  <c r="M342" i="1"/>
  <c r="M339" i="1"/>
  <c r="M335" i="1"/>
  <c r="M334" i="1"/>
  <c r="S331" i="1"/>
  <c r="M331" i="1"/>
  <c r="S329" i="1"/>
  <c r="M329" i="1"/>
  <c r="S328" i="1"/>
  <c r="S326" i="1"/>
  <c r="M325" i="1"/>
  <c r="M324" i="1"/>
  <c r="M323" i="1"/>
  <c r="M321" i="1"/>
  <c r="S318" i="1"/>
  <c r="S317" i="1"/>
  <c r="S316" i="1"/>
  <c r="M316" i="1"/>
  <c r="S315" i="1"/>
  <c r="S311" i="1"/>
  <c r="S310" i="1"/>
  <c r="S309" i="1"/>
  <c r="S301" i="1"/>
  <c r="S298" i="1"/>
  <c r="S297" i="1"/>
  <c r="S296" i="1"/>
  <c r="S293" i="1"/>
  <c r="M293" i="1"/>
  <c r="M292" i="1"/>
  <c r="S289" i="1"/>
  <c r="M287" i="1"/>
  <c r="M286" i="1"/>
  <c r="M283" i="1"/>
  <c r="M282" i="1"/>
  <c r="S278" i="1"/>
  <c r="M278" i="1"/>
  <c r="M277" i="1"/>
  <c r="S274" i="1"/>
  <c r="S268" i="1"/>
  <c r="S265" i="1"/>
  <c r="S264" i="1"/>
  <c r="S261" i="1"/>
  <c r="S259" i="1"/>
  <c r="S258" i="1"/>
  <c r="M257" i="1"/>
  <c r="S256" i="1"/>
  <c r="S253" i="1"/>
  <c r="S252" i="1"/>
  <c r="S251" i="1"/>
  <c r="M250" i="1"/>
  <c r="M246" i="1"/>
  <c r="S243" i="1"/>
  <c r="S242" i="1"/>
  <c r="M241" i="1"/>
  <c r="M239" i="1"/>
  <c r="M235" i="1"/>
  <c r="M232" i="1"/>
  <c r="M231" i="1"/>
  <c r="S225" i="1"/>
  <c r="M224" i="1"/>
  <c r="M223" i="1"/>
  <c r="S220" i="1"/>
  <c r="M216" i="1"/>
  <c r="S209" i="1"/>
  <c r="S203" i="1"/>
  <c r="S199" i="1"/>
  <c r="M198" i="1"/>
  <c r="M197" i="1"/>
  <c r="M195" i="1"/>
  <c r="M194" i="1"/>
  <c r="S192" i="1"/>
  <c r="S191" i="1"/>
  <c r="S188" i="1"/>
  <c r="S184" i="1"/>
  <c r="M183" i="1"/>
  <c r="M182" i="1"/>
  <c r="M181" i="1"/>
  <c r="S178" i="1"/>
  <c r="S177" i="1"/>
  <c r="M174" i="1"/>
  <c r="S169" i="1"/>
  <c r="S168" i="1"/>
  <c r="S166" i="1"/>
  <c r="S165" i="1"/>
  <c r="M164" i="1"/>
  <c r="S161" i="1"/>
  <c r="M160" i="1"/>
  <c r="S154" i="1"/>
  <c r="M152" i="1"/>
  <c r="S149" i="1"/>
  <c r="M148" i="1"/>
  <c r="M147" i="1"/>
  <c r="M142" i="1"/>
  <c r="M141" i="1"/>
  <c r="S138" i="1"/>
  <c r="S137" i="1"/>
  <c r="M137" i="1"/>
  <c r="M136" i="1"/>
  <c r="S130" i="1"/>
  <c r="S128" i="1"/>
  <c r="S127" i="1"/>
  <c r="M126" i="1"/>
  <c r="S123" i="1"/>
  <c r="M122" i="1"/>
  <c r="M121" i="1"/>
  <c r="M120" i="1"/>
  <c r="S117" i="1"/>
  <c r="M114" i="1"/>
  <c r="M112" i="1"/>
  <c r="M111" i="1"/>
  <c r="S107" i="1"/>
  <c r="S100" i="1"/>
  <c r="M99" i="1"/>
  <c r="S96" i="1"/>
  <c r="S95" i="1"/>
  <c r="S92" i="1"/>
  <c r="S91" i="1"/>
  <c r="S90" i="1"/>
  <c r="M87" i="1"/>
  <c r="M86" i="1"/>
  <c r="S83" i="1"/>
  <c r="M78" i="1"/>
  <c r="M77" i="1"/>
  <c r="S74" i="1"/>
  <c r="M74" i="1"/>
  <c r="S73" i="1"/>
  <c r="M73" i="1"/>
  <c r="S67" i="1"/>
  <c r="S66" i="1"/>
  <c r="S65" i="1"/>
  <c r="M64" i="1"/>
  <c r="S63" i="1"/>
  <c r="M61" i="1"/>
  <c r="S60" i="1"/>
  <c r="S57" i="1"/>
  <c r="S56" i="1"/>
  <c r="S55" i="1"/>
  <c r="M54" i="1"/>
  <c r="M53" i="1"/>
  <c r="M52" i="1"/>
  <c r="M51" i="1"/>
  <c r="M48" i="1"/>
  <c r="S452" i="1"/>
  <c r="S450" i="1"/>
  <c r="M450" i="1"/>
  <c r="M449" i="1"/>
  <c r="M446" i="1"/>
  <c r="S445" i="1"/>
  <c r="M442" i="1"/>
  <c r="S441" i="1"/>
  <c r="M440" i="1"/>
  <c r="M438" i="1"/>
  <c r="S434" i="1"/>
  <c r="S433" i="1"/>
  <c r="S432" i="1"/>
  <c r="S429" i="1"/>
  <c r="S426" i="1"/>
  <c r="S425" i="1"/>
  <c r="M424" i="1"/>
  <c r="M423" i="1"/>
  <c r="M422" i="1"/>
  <c r="S421" i="1"/>
  <c r="S418" i="1"/>
  <c r="M418" i="1"/>
  <c r="S416" i="1"/>
  <c r="M415" i="1"/>
  <c r="S414" i="1"/>
  <c r="S413" i="1"/>
  <c r="S412" i="1"/>
  <c r="M412" i="1"/>
  <c r="M410" i="1"/>
  <c r="M407" i="1"/>
  <c r="S404" i="1"/>
  <c r="S403" i="1"/>
  <c r="S397" i="1"/>
  <c r="S396" i="1"/>
  <c r="S395" i="1"/>
  <c r="M395" i="1"/>
  <c r="M394" i="1"/>
  <c r="S391" i="1"/>
  <c r="S390" i="1"/>
  <c r="M390" i="1"/>
  <c r="M389" i="1"/>
  <c r="S388" i="1"/>
  <c r="M388" i="1"/>
  <c r="M387" i="1"/>
  <c r="S384" i="1"/>
  <c r="S383" i="1"/>
  <c r="S382" i="1"/>
  <c r="M378" i="1"/>
  <c r="M377" i="1"/>
  <c r="S376" i="1"/>
  <c r="S375" i="1"/>
  <c r="S374" i="1"/>
  <c r="S372" i="1"/>
  <c r="M372" i="1"/>
  <c r="M371" i="1"/>
  <c r="M370" i="1"/>
  <c r="M366" i="1"/>
  <c r="M365" i="1"/>
  <c r="M363" i="1"/>
  <c r="M361" i="1"/>
  <c r="M357" i="1"/>
  <c r="M356" i="1"/>
  <c r="M355" i="1"/>
  <c r="M354" i="1"/>
  <c r="M352" i="1"/>
  <c r="M351" i="1"/>
  <c r="M347" i="1"/>
  <c r="M346" i="1"/>
  <c r="S343" i="1"/>
  <c r="S341" i="1"/>
  <c r="M341" i="1"/>
  <c r="M340" i="1"/>
  <c r="S337" i="1"/>
  <c r="M333" i="1"/>
  <c r="S332" i="1"/>
  <c r="S330" i="1"/>
  <c r="S327" i="1"/>
  <c r="M327" i="1"/>
  <c r="S324" i="1"/>
  <c r="S323" i="1"/>
  <c r="S322" i="1"/>
  <c r="M322" i="1"/>
  <c r="S320" i="1"/>
  <c r="M318" i="1"/>
  <c r="M315" i="1"/>
  <c r="S313" i="1"/>
  <c r="M312" i="1"/>
  <c r="S307" i="1"/>
  <c r="S306" i="1"/>
  <c r="M306" i="1"/>
  <c r="S305" i="1"/>
  <c r="M305" i="1"/>
  <c r="S300" i="1"/>
  <c r="S299" i="1"/>
  <c r="M298" i="1"/>
  <c r="S294" i="1"/>
  <c r="S290" i="1"/>
  <c r="S288" i="1"/>
  <c r="S287" i="1"/>
  <c r="S284" i="1"/>
  <c r="S283" i="1"/>
  <c r="S282" i="1"/>
  <c r="M281" i="1"/>
  <c r="S280" i="1"/>
  <c r="S279" i="1"/>
  <c r="S277" i="1"/>
  <c r="M276" i="1"/>
  <c r="S275" i="1"/>
  <c r="M275" i="1"/>
  <c r="M272" i="1"/>
  <c r="S271" i="1"/>
  <c r="M271" i="1"/>
  <c r="M267" i="1"/>
  <c r="M265" i="1"/>
  <c r="M261" i="1"/>
  <c r="M259" i="1"/>
  <c r="M258" i="1"/>
  <c r="S255" i="1"/>
  <c r="S254" i="1"/>
  <c r="M251" i="1"/>
  <c r="S249" i="1"/>
  <c r="S248" i="1"/>
  <c r="M244" i="1"/>
  <c r="M240" i="1"/>
  <c r="S239" i="1"/>
  <c r="S238" i="1"/>
  <c r="M237" i="1"/>
  <c r="S234" i="1"/>
  <c r="S233" i="1"/>
  <c r="M228" i="1"/>
  <c r="M226" i="1"/>
  <c r="M225" i="1"/>
  <c r="M221" i="1"/>
  <c r="M219" i="1"/>
  <c r="M217" i="1"/>
  <c r="S215" i="1"/>
  <c r="S212" i="1"/>
  <c r="M212" i="1"/>
  <c r="S210" i="1"/>
  <c r="M210" i="1"/>
  <c r="M209" i="1"/>
  <c r="S206" i="1"/>
  <c r="M205" i="1"/>
  <c r="M201" i="1"/>
  <c r="M200" i="1"/>
  <c r="S196" i="1"/>
  <c r="S195" i="1"/>
  <c r="S193" i="1"/>
  <c r="M191" i="1"/>
  <c r="S190" i="1"/>
  <c r="M190" i="1"/>
  <c r="M187" i="1"/>
  <c r="S186" i="1"/>
  <c r="S185" i="1"/>
  <c r="M185" i="1"/>
  <c r="M184" i="1"/>
  <c r="S180" i="1"/>
  <c r="S179" i="1"/>
  <c r="M179" i="1"/>
  <c r="M178" i="1"/>
  <c r="M176" i="1"/>
  <c r="M175" i="1"/>
  <c r="S173" i="1"/>
  <c r="M171" i="1"/>
  <c r="M170" i="1"/>
  <c r="M169" i="1"/>
  <c r="M168" i="1"/>
  <c r="M167" i="1"/>
  <c r="S164" i="1"/>
  <c r="S160" i="1"/>
  <c r="S159" i="1"/>
  <c r="M159" i="1"/>
  <c r="M158" i="1"/>
  <c r="M157" i="1"/>
  <c r="M156" i="1"/>
  <c r="M155" i="1"/>
  <c r="S152" i="1"/>
  <c r="S151" i="1"/>
  <c r="M151" i="1"/>
  <c r="M150" i="1"/>
  <c r="M149" i="1"/>
  <c r="M144" i="1"/>
  <c r="M139" i="1"/>
  <c r="M138" i="1"/>
  <c r="M134" i="1"/>
  <c r="M132" i="1"/>
  <c r="M130" i="1"/>
  <c r="M128" i="1"/>
  <c r="M125" i="1"/>
  <c r="S124" i="1"/>
  <c r="M124" i="1"/>
  <c r="M118" i="1"/>
  <c r="M115" i="1"/>
  <c r="M113" i="1"/>
  <c r="M110" i="1"/>
  <c r="S109" i="1"/>
  <c r="M109" i="1"/>
  <c r="S108" i="1"/>
  <c r="M108" i="1"/>
  <c r="M106" i="1"/>
  <c r="M105" i="1"/>
  <c r="S103" i="1"/>
  <c r="S102" i="1"/>
  <c r="S101" i="1"/>
  <c r="S98" i="1"/>
  <c r="M98" i="1"/>
  <c r="S97" i="1"/>
  <c r="M94" i="1"/>
  <c r="S93" i="1"/>
  <c r="M92" i="1"/>
  <c r="M91" i="1"/>
  <c r="M90" i="1"/>
  <c r="S89" i="1"/>
  <c r="S88" i="1"/>
  <c r="S86" i="1"/>
  <c r="M85" i="1"/>
  <c r="S84" i="1"/>
  <c r="M83" i="1"/>
  <c r="M82" i="1"/>
  <c r="M80" i="1"/>
  <c r="M79" i="1"/>
  <c r="M76" i="1"/>
  <c r="M72" i="1"/>
  <c r="S71" i="1"/>
  <c r="M71" i="1"/>
  <c r="S68" i="1"/>
  <c r="M68" i="1"/>
  <c r="M67" i="1"/>
  <c r="M66" i="1"/>
  <c r="M63" i="1"/>
  <c r="S62" i="1"/>
  <c r="M62" i="1"/>
  <c r="M59" i="1"/>
  <c r="S58" i="1"/>
  <c r="M58" i="1"/>
  <c r="S52" i="1"/>
  <c r="S50" i="1"/>
  <c r="S49" i="1"/>
  <c r="S48" i="1"/>
  <c r="S47" i="1"/>
  <c r="S674" i="1"/>
  <c r="S672" i="1"/>
  <c r="S671" i="1"/>
  <c r="M671" i="1"/>
  <c r="S670" i="1"/>
  <c r="S669" i="1"/>
  <c r="M668" i="1"/>
  <c r="S667" i="1"/>
  <c r="S664" i="1"/>
  <c r="S663" i="1"/>
  <c r="M663" i="1"/>
  <c r="M662" i="1"/>
  <c r="S659" i="1"/>
  <c r="M658" i="1"/>
  <c r="S655" i="1"/>
  <c r="S651" i="1"/>
  <c r="M650" i="1"/>
  <c r="S648" i="1"/>
  <c r="S647" i="1"/>
  <c r="M646" i="1"/>
  <c r="S643" i="1"/>
  <c r="S642" i="1"/>
  <c r="S638" i="1"/>
  <c r="S634" i="1"/>
  <c r="S633" i="1"/>
  <c r="S630" i="1"/>
  <c r="M629" i="1"/>
  <c r="S625" i="1"/>
  <c r="M625" i="1"/>
  <c r="S623" i="1"/>
  <c r="M623" i="1"/>
  <c r="S620" i="1"/>
  <c r="S619" i="1"/>
  <c r="S618" i="1"/>
  <c r="M618" i="1"/>
  <c r="M617" i="1"/>
  <c r="S614" i="1"/>
  <c r="S613" i="1"/>
  <c r="M613" i="1"/>
  <c r="S604" i="1"/>
  <c r="M604" i="1"/>
  <c r="M597" i="1"/>
  <c r="S594" i="1"/>
  <c r="M593" i="1"/>
  <c r="S590" i="1"/>
  <c r="M589" i="1"/>
  <c r="S585" i="1"/>
  <c r="M585" i="1"/>
  <c r="S584" i="1"/>
  <c r="M580" i="1"/>
  <c r="S574" i="1"/>
  <c r="S573" i="1"/>
  <c r="S572" i="1"/>
  <c r="M572" i="1"/>
  <c r="M569" i="1"/>
  <c r="M568" i="1"/>
  <c r="M564" i="1"/>
  <c r="S561" i="1"/>
  <c r="M561" i="1"/>
  <c r="S559" i="1"/>
  <c r="S558" i="1"/>
  <c r="S554" i="1"/>
  <c r="M553" i="1"/>
  <c r="M546" i="1"/>
  <c r="M545" i="1"/>
  <c r="S542" i="1"/>
  <c r="M541" i="1"/>
  <c r="S538" i="1"/>
  <c r="S537" i="1"/>
  <c r="M536" i="1"/>
  <c r="S535" i="1"/>
  <c r="M531" i="1"/>
  <c r="S524" i="1"/>
  <c r="S522" i="1"/>
  <c r="M521" i="1"/>
  <c r="S518" i="1"/>
  <c r="M517" i="1"/>
  <c r="M512" i="1"/>
  <c r="S507" i="1"/>
  <c r="S506" i="1"/>
  <c r="M502" i="1"/>
  <c r="S499" i="1"/>
  <c r="S496" i="1"/>
  <c r="S495" i="1"/>
  <c r="S488" i="1"/>
  <c r="S486" i="1"/>
  <c r="M483" i="1"/>
  <c r="S480" i="1"/>
  <c r="M479" i="1"/>
  <c r="M478" i="1"/>
  <c r="S472" i="1"/>
  <c r="S471" i="1"/>
  <c r="M470" i="1"/>
  <c r="M468" i="1"/>
  <c r="S465" i="1"/>
  <c r="M464" i="1"/>
  <c r="S463" i="1"/>
  <c r="M462" i="1"/>
  <c r="S459" i="1"/>
  <c r="S458" i="1"/>
  <c r="S457" i="1"/>
  <c r="S456" i="1"/>
  <c r="M455" i="1"/>
  <c r="M454" i="1"/>
  <c r="S451" i="1"/>
  <c r="M444" i="1"/>
  <c r="S442" i="1"/>
  <c r="M441" i="1"/>
  <c r="M435" i="1"/>
  <c r="S423" i="1"/>
  <c r="S415" i="1"/>
  <c r="M411" i="1"/>
  <c r="M406" i="1"/>
  <c r="S405" i="1"/>
  <c r="S371" i="1"/>
  <c r="S363" i="1"/>
  <c r="M359" i="1"/>
  <c r="S358" i="1"/>
  <c r="S351" i="1"/>
  <c r="M348" i="1"/>
  <c r="S347" i="1"/>
  <c r="M344" i="1"/>
  <c r="S342" i="1"/>
  <c r="M338" i="1"/>
  <c r="S336" i="1"/>
  <c r="M332" i="1"/>
  <c r="M330" i="1"/>
  <c r="M328" i="1"/>
  <c r="S325" i="1"/>
  <c r="M309" i="1"/>
  <c r="S308" i="1"/>
  <c r="M304" i="1"/>
  <c r="M294" i="1"/>
  <c r="M288" i="1"/>
  <c r="S286" i="1"/>
  <c r="M285" i="1"/>
  <c r="S281" i="1"/>
  <c r="M279" i="1"/>
  <c r="S269" i="1"/>
  <c r="M268" i="1"/>
  <c r="S267" i="1"/>
  <c r="S266" i="1"/>
  <c r="M263" i="1"/>
  <c r="S262" i="1"/>
  <c r="S260" i="1"/>
  <c r="M252" i="1"/>
  <c r="S247" i="1"/>
  <c r="M245" i="1"/>
  <c r="M233" i="1"/>
  <c r="S232" i="1"/>
  <c r="S224" i="1"/>
  <c r="S216" i="1"/>
  <c r="M214" i="1"/>
  <c r="S211" i="1"/>
  <c r="M208" i="1"/>
  <c r="S204" i="1"/>
  <c r="M202" i="1"/>
  <c r="S200" i="1"/>
  <c r="S187" i="1"/>
  <c r="M186" i="1"/>
  <c r="S176" i="1"/>
  <c r="M172" i="1"/>
  <c r="S170" i="1"/>
  <c r="S167" i="1"/>
  <c r="M163" i="1"/>
  <c r="S162" i="1"/>
  <c r="S150" i="1"/>
  <c r="M143" i="1"/>
  <c r="S133" i="1"/>
  <c r="M127" i="1"/>
  <c r="S126" i="1"/>
  <c r="M123" i="1"/>
  <c r="M116" i="1"/>
  <c r="S115" i="1"/>
  <c r="S114" i="1"/>
  <c r="M107" i="1"/>
  <c r="S106" i="1"/>
  <c r="M95" i="1"/>
  <c r="S94" i="1"/>
  <c r="M89" i="1"/>
  <c r="S87" i="1"/>
  <c r="M84" i="1"/>
  <c r="S81" i="1"/>
  <c r="M60" i="1"/>
  <c r="S59" i="1"/>
  <c r="S53" i="1"/>
  <c r="M50" i="1"/>
  <c r="S673" i="1"/>
  <c r="M669" i="1"/>
  <c r="M667" i="1"/>
  <c r="S666" i="1"/>
  <c r="M665" i="1"/>
  <c r="M661" i="1"/>
  <c r="S654" i="1"/>
  <c r="M653" i="1"/>
  <c r="S644" i="1"/>
  <c r="M643" i="1"/>
  <c r="M642" i="1"/>
  <c r="M638" i="1"/>
  <c r="M637" i="1"/>
  <c r="M636" i="1"/>
  <c r="M633" i="1"/>
  <c r="M632" i="1"/>
  <c r="S622" i="1"/>
  <c r="M622" i="1"/>
  <c r="S621" i="1"/>
  <c r="M620" i="1"/>
  <c r="S616" i="1"/>
  <c r="S611" i="1"/>
  <c r="M610" i="1"/>
  <c r="M609" i="1"/>
  <c r="S606" i="1"/>
  <c r="S605" i="1"/>
  <c r="S603" i="1"/>
  <c r="S602" i="1"/>
  <c r="M602" i="1"/>
  <c r="M601" i="1"/>
  <c r="S598" i="1"/>
  <c r="S597" i="1"/>
  <c r="S592" i="1"/>
  <c r="S588" i="1"/>
  <c r="M587" i="1"/>
  <c r="M584" i="1"/>
  <c r="M582" i="1"/>
  <c r="S579" i="1"/>
  <c r="S578" i="1"/>
  <c r="M578" i="1"/>
  <c r="S577" i="1"/>
  <c r="M577" i="1"/>
  <c r="M575" i="1"/>
  <c r="M574" i="1"/>
  <c r="S570" i="1"/>
  <c r="M570" i="1"/>
  <c r="S569" i="1"/>
  <c r="S565" i="1"/>
  <c r="S564" i="1"/>
  <c r="S563" i="1"/>
  <c r="M562" i="1"/>
  <c r="M560" i="1"/>
  <c r="S556" i="1"/>
  <c r="S552" i="1"/>
  <c r="M551" i="1"/>
  <c r="M550" i="1"/>
  <c r="S547" i="1"/>
  <c r="S546" i="1"/>
  <c r="S541" i="1"/>
  <c r="M540" i="1"/>
  <c r="S532" i="1"/>
  <c r="M530" i="1"/>
  <c r="S526" i="1"/>
  <c r="M525" i="1"/>
  <c r="M524" i="1"/>
  <c r="S517" i="1"/>
  <c r="M516" i="1"/>
  <c r="S513" i="1"/>
  <c r="S510" i="1"/>
  <c r="S509" i="1"/>
  <c r="M508" i="1"/>
  <c r="M495" i="1"/>
  <c r="S494" i="1"/>
  <c r="S493" i="1"/>
  <c r="M492" i="1"/>
  <c r="S489" i="1"/>
  <c r="S485" i="1"/>
  <c r="S475" i="1"/>
  <c r="M474" i="1"/>
  <c r="S473" i="1"/>
  <c r="M473" i="1"/>
  <c r="M472" i="1"/>
  <c r="S468" i="1"/>
  <c r="S464" i="1"/>
  <c r="S460" i="1"/>
  <c r="M458" i="1"/>
  <c r="S453" i="1"/>
  <c r="M451" i="1"/>
  <c r="M445" i="1"/>
  <c r="M439" i="1"/>
  <c r="S431" i="1"/>
  <c r="M420" i="1"/>
  <c r="M417" i="1"/>
  <c r="M416" i="1"/>
  <c r="M408" i="1"/>
  <c r="M400" i="1"/>
  <c r="M396" i="1"/>
  <c r="S394" i="1"/>
  <c r="M379" i="1"/>
  <c r="M362" i="1"/>
  <c r="S350" i="1"/>
  <c r="M336" i="1"/>
  <c r="S335" i="1"/>
  <c r="M326" i="1"/>
  <c r="M320" i="1"/>
  <c r="M319" i="1"/>
  <c r="M313" i="1"/>
  <c r="M303" i="1"/>
  <c r="S302" i="1"/>
  <c r="M299" i="1"/>
  <c r="M295" i="1"/>
  <c r="M291" i="1"/>
  <c r="M284" i="1"/>
  <c r="S276" i="1"/>
  <c r="M273" i="1"/>
  <c r="S272" i="1"/>
  <c r="M266" i="1"/>
  <c r="M260" i="1"/>
  <c r="M253" i="1"/>
  <c r="M248" i="1"/>
  <c r="M247" i="1"/>
  <c r="S240" i="1"/>
  <c r="M238" i="1"/>
  <c r="S236" i="1"/>
  <c r="S231" i="1"/>
  <c r="S229" i="1"/>
  <c r="M222" i="1"/>
  <c r="S221" i="1"/>
  <c r="M218" i="1"/>
  <c r="S217" i="1"/>
  <c r="M215" i="1"/>
  <c r="S213" i="1"/>
  <c r="S208" i="1"/>
  <c r="M207" i="1"/>
  <c r="M203" i="1"/>
  <c r="S202" i="1"/>
  <c r="M199" i="1"/>
  <c r="S198" i="1"/>
  <c r="S194" i="1"/>
  <c r="M189" i="1"/>
  <c r="M177" i="1"/>
  <c r="M173" i="1"/>
  <c r="M165" i="1"/>
  <c r="M161" i="1"/>
  <c r="S157" i="1"/>
  <c r="M154" i="1"/>
  <c r="S153" i="1"/>
  <c r="S148" i="1"/>
  <c r="S144" i="1"/>
  <c r="S143" i="1"/>
  <c r="M140" i="1"/>
  <c r="S139" i="1"/>
  <c r="M135" i="1"/>
  <c r="S134" i="1"/>
  <c r="S132" i="1"/>
  <c r="S129" i="1"/>
  <c r="S125" i="1"/>
  <c r="M119" i="1"/>
  <c r="S110" i="1"/>
  <c r="M100" i="1"/>
  <c r="S99" i="1"/>
  <c r="M96" i="1"/>
  <c r="S85" i="1"/>
  <c r="M75" i="1"/>
  <c r="S72" i="1"/>
  <c r="M70" i="1"/>
  <c r="S51" i="1"/>
  <c r="M49" i="1"/>
  <c r="M916" i="1" l="1"/>
</calcChain>
</file>

<file path=xl/sharedStrings.xml><?xml version="1.0" encoding="utf-8"?>
<sst xmlns="http://schemas.openxmlformats.org/spreadsheetml/2006/main" count="29" uniqueCount="26">
  <si>
    <t>Product Description</t>
  </si>
  <si>
    <t>Size</t>
  </si>
  <si>
    <t>Date</t>
  </si>
  <si>
    <t>Item#</t>
  </si>
  <si>
    <t>WO# /Lot#</t>
  </si>
  <si>
    <t>Carts#</t>
  </si>
  <si>
    <t>Mc%</t>
  </si>
  <si>
    <t>Aw</t>
  </si>
  <si>
    <t>Testing Temp (°C)</t>
  </si>
  <si>
    <t>Humidity %</t>
  </si>
  <si>
    <t>Room Temp  (°F)</t>
  </si>
  <si>
    <t>Inspector</t>
  </si>
  <si>
    <t>Test Result</t>
  </si>
  <si>
    <t>Mc% Standard</t>
  </si>
  <si>
    <t>Aw Standard</t>
  </si>
  <si>
    <t>Verification Time</t>
  </si>
  <si>
    <t>Retest/Accept</t>
  </si>
  <si>
    <t>Verify</t>
  </si>
  <si>
    <t xml:space="preserve">Note </t>
  </si>
  <si>
    <t>Min</t>
  </si>
  <si>
    <t>Max</t>
  </si>
  <si>
    <t>01226382-1</t>
  </si>
  <si>
    <t>9</t>
  </si>
  <si>
    <t>T</t>
  </si>
  <si>
    <t>87899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</si>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</sst>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[$-409]h:mm\ AM/PM;@"/>
    <numFmt numFmtId="166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.5"/>
      <color theme="1"/>
      <name val="Aptos Narrow"/>
      <family val="2"/>
      <scheme val="minor"/>
    </font>
    <font>
      <sz val="12.5"/>
      <name val="Aptos Narrow"/>
      <family val="2"/>
      <scheme val="minor"/>
    </font>
    <font>
      <b/>
      <sz val="12.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14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3" xfId="0" applyNumberFormat="1" applyFont="1" applyFill="1" applyBorder="1" applyAlignment="1" applyProtection="1">
      <alignment horizontal="center" vertical="center" wrapText="1"/>
      <protection locked="0"/>
    </xf>
    <xf numFmtId="2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2" fontId="3" fillId="0" borderId="2" xfId="0" applyNumberFormat="1" applyFont="1" applyBorder="1" applyAlignment="1" applyProtection="1">
      <alignment horizontal="center" vertical="center" wrapText="1"/>
      <protection hidden="1"/>
    </xf>
    <xf numFmtId="165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14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7" xfId="0" applyNumberFormat="1" applyFont="1" applyFill="1" applyBorder="1" applyAlignment="1" applyProtection="1">
      <alignment horizontal="center" vertical="center" wrapText="1"/>
      <protection locked="0"/>
    </xf>
    <xf numFmtId="2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164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166" fontId="3" fillId="0" borderId="6" xfId="0" applyNumberFormat="1" applyFont="1" applyBorder="1" applyAlignment="1" applyProtection="1">
      <alignment horizontal="center" vertical="center" wrapText="1"/>
      <protection hidden="1"/>
    </xf>
    <xf numFmtId="2" fontId="3" fillId="0" borderId="6" xfId="0" applyNumberFormat="1" applyFont="1" applyBorder="1" applyAlignment="1" applyProtection="1">
      <alignment horizontal="center" vertical="center" wrapText="1"/>
      <protection hidden="1"/>
    </xf>
    <xf numFmtId="165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left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14" fontId="5" fillId="3" borderId="2" xfId="0" applyNumberFormat="1" applyFont="1" applyFill="1" applyBorder="1" applyAlignment="1" applyProtection="1">
      <alignment horizontal="center" vertical="center" wrapTex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/>
      <protection locked="0"/>
    </xf>
    <xf numFmtId="2" fontId="5" fillId="3" borderId="2" xfId="0" applyNumberFormat="1" applyFont="1" applyFill="1" applyBorder="1" applyAlignment="1" applyProtection="1">
      <alignment horizontal="center" vertical="center" wrapText="1"/>
      <protection locked="0"/>
    </xf>
    <xf numFmtId="164" fontId="5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2" xfId="0" applyFont="1" applyFill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166" fontId="6" fillId="0" borderId="2" xfId="0" applyNumberFormat="1" applyFont="1" applyBorder="1" applyAlignment="1" applyProtection="1">
      <alignment horizontal="center" vertical="center"/>
      <protection hidden="1"/>
    </xf>
    <xf numFmtId="2" fontId="6" fillId="0" borderId="2" xfId="0" applyNumberFormat="1" applyFont="1" applyBorder="1" applyAlignment="1" applyProtection="1">
      <alignment horizontal="center" vertical="center"/>
      <protection hidden="1"/>
    </xf>
    <xf numFmtId="165" fontId="4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>
      <alignment horizontal="center" vertical="center" wrapText="1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Alignment="1">
      <alignment horizontal="center" vertical="center" wrapText="1"/>
    </xf>
    <xf numFmtId="0" fontId="4" fillId="0" borderId="10" xfId="0" applyFont="1" applyBorder="1" applyAlignment="1" applyProtection="1">
      <alignment horizontal="left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14" fontId="5" fillId="3" borderId="11" xfId="0" applyNumberFormat="1" applyFont="1" applyFill="1" applyBorder="1" applyAlignment="1" applyProtection="1">
      <alignment horizontal="center" vertical="center" wrapText="1"/>
      <protection locked="0"/>
    </xf>
    <xf numFmtId="49" fontId="5" fillId="3" borderId="11" xfId="0" applyNumberFormat="1" applyFont="1" applyFill="1" applyBorder="1" applyAlignment="1" applyProtection="1">
      <alignment horizontal="center" vertical="center" wrapText="1"/>
      <protection locked="0"/>
    </xf>
    <xf numFmtId="2" fontId="5" fillId="3" borderId="11" xfId="0" applyNumberFormat="1" applyFont="1" applyFill="1" applyBorder="1" applyAlignment="1" applyProtection="1">
      <alignment horizontal="center" vertical="center" wrapText="1"/>
      <protection locked="0"/>
    </xf>
    <xf numFmtId="164" fontId="5" fillId="3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11" xfId="0" applyFont="1" applyFill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/>
      <protection hidden="1"/>
    </xf>
    <xf numFmtId="166" fontId="6" fillId="0" borderId="11" xfId="0" applyNumberFormat="1" applyFont="1" applyBorder="1" applyAlignment="1" applyProtection="1">
      <alignment horizontal="center" vertical="center"/>
      <protection hidden="1"/>
    </xf>
    <xf numFmtId="2" fontId="6" fillId="0" borderId="11" xfId="0" applyNumberFormat="1" applyFont="1" applyBorder="1" applyAlignment="1" applyProtection="1">
      <alignment horizontal="center" vertical="center"/>
      <protection hidden="1"/>
    </xf>
    <xf numFmtId="165" fontId="4" fillId="3" borderId="1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1" xfId="0" applyBorder="1" applyAlignment="1">
      <alignment horizontal="center" vertical="center" wrapText="1"/>
    </xf>
    <xf numFmtId="0" fontId="5" fillId="3" borderId="12" xfId="0" applyFont="1" applyFill="1" applyBorder="1" applyAlignment="1" applyProtection="1">
      <alignment horizontal="center" vertical="center" wrapText="1"/>
      <protection locked="0"/>
    </xf>
    <xf numFmtId="0" fontId="0" fillId="0" borderId="13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4" fillId="3" borderId="11" xfId="0" applyNumberFormat="1" applyFont="1" applyFill="1" applyBorder="1" applyAlignment="1" applyProtection="1">
      <alignment horizontal="center" vertical="center" wrapText="1"/>
      <protection locked="0"/>
    </xf>
    <xf numFmtId="49" fontId="4" fillId="3" borderId="11" xfId="0" applyNumberFormat="1" applyFont="1" applyFill="1" applyBorder="1" applyAlignment="1" applyProtection="1">
      <alignment horizontal="center" vertical="center" wrapText="1"/>
      <protection locked="0"/>
    </xf>
    <xf numFmtId="2" fontId="4" fillId="3" borderId="11" xfId="0" applyNumberFormat="1" applyFont="1" applyFill="1" applyBorder="1" applyAlignment="1" applyProtection="1">
      <alignment horizontal="center" vertical="center" wrapText="1"/>
      <protection locked="0"/>
    </xf>
    <xf numFmtId="164" fontId="4" fillId="3" borderId="11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1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hidden="1"/>
    </xf>
    <xf numFmtId="14" fontId="0" fillId="0" borderId="0" xfId="0" applyNumberFormat="1" applyAlignment="1" applyProtection="1">
      <alignment horizontal="center" vertical="center" wrapText="1"/>
      <protection locked="0"/>
    </xf>
    <xf numFmtId="49" fontId="0" fillId="0" borderId="0" xfId="0" applyNumberFormat="1" applyAlignment="1" applyProtection="1">
      <alignment horizontal="center" vertical="center" wrapText="1"/>
      <protection locked="0"/>
    </xf>
    <xf numFmtId="2" fontId="0" fillId="0" borderId="0" xfId="0" applyNumberFormat="1" applyAlignment="1" applyProtection="1">
      <alignment horizontal="center" vertical="center" wrapText="1"/>
      <protection locked="0"/>
    </xf>
    <xf numFmtId="164" fontId="0" fillId="0" borderId="0" xfId="0" applyNumberForma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hidden="1"/>
    </xf>
    <xf numFmtId="166" fontId="1" fillId="0" borderId="0" xfId="0" applyNumberFormat="1" applyFont="1" applyAlignment="1" applyProtection="1">
      <alignment horizontal="center" vertical="center" wrapText="1"/>
      <protection hidden="1"/>
    </xf>
    <xf numFmtId="2" fontId="1" fillId="0" borderId="0" xfId="0" applyNumberFormat="1" applyFont="1" applyAlignment="1" applyProtection="1">
      <alignment horizontal="center" vertical="center" wrapText="1"/>
      <protection hidden="1"/>
    </xf>
    <xf numFmtId="165" fontId="0" fillId="0" borderId="0" xfId="0" applyNumberForma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08%20QC_Dept\QC\2026\2026%20Moisture%20&amp;%20Water%20Activity%20Testing\Q2%20-%202026%20NPIC%20Moisture%20&amp;%20Water%20Activity%20Record%20(Apr%20-%20Jun).xlsx" TargetMode="External"/><Relationship Id="rId1" Type="http://schemas.openxmlformats.org/officeDocument/2006/relationships/externalLinkPath" Target="file:///U:\08%20QC_Dept\QC\2026\2026%20Moisture%20&amp;%20Water%20Activity%20Testing\Q2%20-%202026%20NPIC%20Moisture%20&amp;%20Water%20Activity%20Record%20(Apr%20-%20Ju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C &amp; Aw Inspection Record "/>
      <sheetName val="Minties Testing &amp; Tracking"/>
      <sheetName val="JAN"/>
      <sheetName val="APR"/>
      <sheetName val="FEB"/>
      <sheetName val="MAR"/>
      <sheetName val="MAY"/>
      <sheetName val="JUN"/>
      <sheetName val="JUL"/>
      <sheetName val="AUG"/>
      <sheetName val="SEP"/>
      <sheetName val="OCT"/>
      <sheetName val="NOV"/>
      <sheetName val="DEC"/>
      <sheetName val="Product Datasheet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Item Number</v>
          </cell>
          <cell r="B1" t="str">
            <v>Item Description</v>
          </cell>
          <cell r="C1" t="str">
            <v>Size</v>
          </cell>
          <cell r="D1" t="str">
            <v>MC%  (Min)</v>
          </cell>
          <cell r="E1" t="str">
            <v>MC% (Max)</v>
          </cell>
          <cell r="F1" t="str">
            <v>Aw (Min)</v>
          </cell>
          <cell r="G1" t="str">
            <v>Aw (Max)</v>
          </cell>
        </row>
        <row r="2">
          <cell r="A2">
            <v>56001</v>
          </cell>
          <cell r="B2" t="str">
            <v>Flossta Mint Lg WIP</v>
          </cell>
          <cell r="C2" t="str">
            <v>LG</v>
          </cell>
          <cell r="D2">
            <v>10</v>
          </cell>
          <cell r="E2">
            <v>15</v>
          </cell>
          <cell r="F2">
            <v>0.45</v>
          </cell>
          <cell r="G2" t="str">
            <v>0.60</v>
          </cell>
        </row>
        <row r="3">
          <cell r="A3">
            <v>56061</v>
          </cell>
          <cell r="B3" t="str">
            <v>Flossta Beef Lg WIP</v>
          </cell>
          <cell r="C3" t="str">
            <v>LG</v>
          </cell>
          <cell r="D3">
            <v>10</v>
          </cell>
          <cell r="E3">
            <v>15</v>
          </cell>
          <cell r="F3">
            <v>0.45</v>
          </cell>
          <cell r="G3" t="str">
            <v>0.60</v>
          </cell>
        </row>
        <row r="4">
          <cell r="A4" t="str">
            <v>00214</v>
          </cell>
          <cell r="B4" t="str">
            <v>TC Interactive Treats WIP</v>
          </cell>
          <cell r="C4" t="str">
            <v>N/A</v>
          </cell>
          <cell r="D4">
            <v>14</v>
          </cell>
          <cell r="E4">
            <v>20</v>
          </cell>
          <cell r="F4">
            <v>0.5</v>
          </cell>
          <cell r="G4">
            <v>0.8</v>
          </cell>
        </row>
        <row r="5">
          <cell r="A5" t="str">
            <v>04161</v>
          </cell>
          <cell r="B5" t="str">
            <v>PetSmart DB Chicken XS WIP</v>
          </cell>
          <cell r="C5" t="str">
            <v>XS</v>
          </cell>
          <cell r="D5">
            <v>12</v>
          </cell>
          <cell r="E5">
            <v>15</v>
          </cell>
          <cell r="F5">
            <v>0.45</v>
          </cell>
          <cell r="G5">
            <v>0.6</v>
          </cell>
        </row>
        <row r="6">
          <cell r="A6" t="str">
            <v>04162</v>
          </cell>
          <cell r="B6" t="str">
            <v>PetSmart DB Chicken SM WIP</v>
          </cell>
          <cell r="C6" t="str">
            <v>SM</v>
          </cell>
          <cell r="D6">
            <v>12</v>
          </cell>
          <cell r="E6">
            <v>15</v>
          </cell>
          <cell r="F6">
            <v>0.45</v>
          </cell>
          <cell r="G6">
            <v>0.6</v>
          </cell>
        </row>
        <row r="7">
          <cell r="A7" t="str">
            <v>04163</v>
          </cell>
          <cell r="B7" t="str">
            <v>PetSmart DB Chicken MD WIP</v>
          </cell>
          <cell r="C7" t="str">
            <v>Md</v>
          </cell>
          <cell r="D7">
            <v>12</v>
          </cell>
          <cell r="E7">
            <v>15</v>
          </cell>
          <cell r="F7">
            <v>0.45</v>
          </cell>
          <cell r="G7">
            <v>0.6</v>
          </cell>
        </row>
        <row r="8">
          <cell r="A8" t="str">
            <v>04164</v>
          </cell>
          <cell r="B8" t="str">
            <v>PetSmart DB Chicken LG WIP</v>
          </cell>
          <cell r="C8" t="str">
            <v>Lg</v>
          </cell>
          <cell r="D8">
            <v>12</v>
          </cell>
          <cell r="E8">
            <v>15</v>
          </cell>
          <cell r="F8">
            <v>0.45</v>
          </cell>
          <cell r="G8">
            <v>0.6</v>
          </cell>
        </row>
        <row r="9">
          <cell r="A9" t="str">
            <v>04171</v>
          </cell>
          <cell r="B9" t="str">
            <v>PetSmart Dental Bone XS WIP</v>
          </cell>
          <cell r="C9" t="str">
            <v>N/A</v>
          </cell>
          <cell r="D9">
            <v>11</v>
          </cell>
          <cell r="E9">
            <v>15</v>
          </cell>
          <cell r="F9">
            <v>0.45</v>
          </cell>
          <cell r="G9">
            <v>0.6</v>
          </cell>
        </row>
        <row r="10">
          <cell r="A10" t="str">
            <v>04172</v>
          </cell>
          <cell r="B10" t="str">
            <v>PetSmart Dental Bone SM WIP</v>
          </cell>
          <cell r="C10" t="str">
            <v>N/A</v>
          </cell>
          <cell r="D10">
            <v>11</v>
          </cell>
          <cell r="E10">
            <v>15</v>
          </cell>
          <cell r="F10">
            <v>0.45</v>
          </cell>
          <cell r="G10">
            <v>0.6</v>
          </cell>
        </row>
        <row r="11">
          <cell r="A11" t="str">
            <v>04173</v>
          </cell>
          <cell r="B11" t="str">
            <v>PetSmart Dental Bone MD WIP</v>
          </cell>
          <cell r="C11" t="str">
            <v>N/A</v>
          </cell>
          <cell r="D11">
            <v>11</v>
          </cell>
          <cell r="E11">
            <v>15</v>
          </cell>
          <cell r="F11">
            <v>0.45</v>
          </cell>
          <cell r="G11">
            <v>0.6</v>
          </cell>
        </row>
        <row r="12">
          <cell r="A12" t="str">
            <v>04174</v>
          </cell>
          <cell r="B12" t="str">
            <v>PetSmart Dental Bone LG WIP</v>
          </cell>
          <cell r="C12" t="str">
            <v>N/A</v>
          </cell>
          <cell r="D12">
            <v>11</v>
          </cell>
          <cell r="E12">
            <v>15</v>
          </cell>
          <cell r="F12">
            <v>0.45</v>
          </cell>
          <cell r="G12">
            <v>0.6</v>
          </cell>
        </row>
        <row r="13">
          <cell r="A13" t="str">
            <v>04175</v>
          </cell>
          <cell r="B13" t="str">
            <v xml:space="preserve">Petsmart Dental Bone Bites WIP </v>
          </cell>
          <cell r="C13" t="str">
            <v>N/A</v>
          </cell>
          <cell r="D13">
            <v>11</v>
          </cell>
          <cell r="E13">
            <v>15</v>
          </cell>
          <cell r="F13">
            <v>0.45</v>
          </cell>
          <cell r="G13">
            <v>0.6</v>
          </cell>
        </row>
        <row r="14">
          <cell r="A14" t="str">
            <v>04191</v>
          </cell>
          <cell r="B14" t="str">
            <v>PetSmart Pup Dental Stick WIP</v>
          </cell>
          <cell r="C14" t="str">
            <v>N/A</v>
          </cell>
          <cell r="D14">
            <v>12</v>
          </cell>
          <cell r="E14">
            <v>15.5</v>
          </cell>
          <cell r="F14">
            <v>0.5</v>
          </cell>
          <cell r="G14">
            <v>0.62</v>
          </cell>
        </row>
        <row r="15">
          <cell r="A15" t="str">
            <v>04201</v>
          </cell>
          <cell r="B15" t="str">
            <v>PetSmart PupDentalRing XS WIP</v>
          </cell>
          <cell r="C15" t="str">
            <v>N/A</v>
          </cell>
          <cell r="D15">
            <v>12</v>
          </cell>
          <cell r="E15">
            <v>15.5</v>
          </cell>
          <cell r="F15">
            <v>0.5</v>
          </cell>
          <cell r="G15">
            <v>0.63</v>
          </cell>
        </row>
        <row r="16">
          <cell r="A16" t="str">
            <v>04203</v>
          </cell>
          <cell r="B16" t="str">
            <v>PetSmart PupDentalRing REG WIP</v>
          </cell>
          <cell r="C16" t="str">
            <v>N/A</v>
          </cell>
          <cell r="D16">
            <v>12</v>
          </cell>
          <cell r="E16">
            <v>15.5</v>
          </cell>
          <cell r="F16">
            <v>0.5</v>
          </cell>
          <cell r="G16">
            <v>0.63</v>
          </cell>
        </row>
        <row r="17">
          <cell r="A17" t="str">
            <v>04302</v>
          </cell>
          <cell r="B17" t="str">
            <v>Caitec Petmart BAM Bone WIP</v>
          </cell>
          <cell r="C17" t="str">
            <v xml:space="preserve">Sm </v>
          </cell>
          <cell r="D17">
            <v>12</v>
          </cell>
          <cell r="E17">
            <v>15.5</v>
          </cell>
          <cell r="F17">
            <v>0.45</v>
          </cell>
          <cell r="G17">
            <v>0.62</v>
          </cell>
        </row>
        <row r="18">
          <cell r="A18" t="str">
            <v>04302</v>
          </cell>
          <cell r="B18" t="str">
            <v xml:space="preserve">Caitec Petsmart BONE-AM Sm </v>
          </cell>
          <cell r="C18" t="str">
            <v>Sm</v>
          </cell>
          <cell r="D18">
            <v>12</v>
          </cell>
          <cell r="E18">
            <v>15</v>
          </cell>
          <cell r="F18">
            <v>0.35</v>
          </cell>
          <cell r="G18">
            <v>0.62</v>
          </cell>
        </row>
        <row r="19">
          <cell r="A19" t="str">
            <v>04304</v>
          </cell>
          <cell r="B19" t="str">
            <v>Caitec Petmart BAM Bone WIP</v>
          </cell>
          <cell r="C19" t="str">
            <v>Lg</v>
          </cell>
          <cell r="D19">
            <v>12</v>
          </cell>
          <cell r="E19">
            <v>15.5</v>
          </cell>
          <cell r="F19">
            <v>0.45</v>
          </cell>
          <cell r="G19">
            <v>0.62</v>
          </cell>
        </row>
        <row r="20">
          <cell r="A20" t="str">
            <v>04304</v>
          </cell>
          <cell r="B20" t="str">
            <v xml:space="preserve">Caitec Petsmart BONE-AM Lg </v>
          </cell>
          <cell r="C20" t="str">
            <v>Lg</v>
          </cell>
          <cell r="D20">
            <v>12</v>
          </cell>
          <cell r="E20">
            <v>15</v>
          </cell>
          <cell r="F20">
            <v>0.35</v>
          </cell>
          <cell r="G20">
            <v>0.62</v>
          </cell>
        </row>
        <row r="21">
          <cell r="A21" t="str">
            <v>06101</v>
          </cell>
          <cell r="B21" t="str">
            <v>Panda Alohoa DB Joint (Mn)</v>
          </cell>
          <cell r="C21" t="str">
            <v>N/A</v>
          </cell>
          <cell r="D21">
            <v>11</v>
          </cell>
          <cell r="E21">
            <v>15</v>
          </cell>
          <cell r="F21">
            <v>0.45</v>
          </cell>
          <cell r="G21">
            <v>0.6</v>
          </cell>
        </row>
        <row r="22">
          <cell r="A22" t="str">
            <v>06111</v>
          </cell>
          <cell r="B22" t="str">
            <v>Panda Alohoa DB Digestive  (Mn)</v>
          </cell>
          <cell r="C22" t="str">
            <v>N/A</v>
          </cell>
          <cell r="D22">
            <v>11</v>
          </cell>
          <cell r="E22">
            <v>15</v>
          </cell>
          <cell r="F22">
            <v>0.45</v>
          </cell>
          <cell r="G22">
            <v>0.6</v>
          </cell>
        </row>
        <row r="23">
          <cell r="A23" t="str">
            <v>06121</v>
          </cell>
          <cell r="B23" t="str">
            <v>Panda Alohoa DB Skin&amp;Coat (Mn)</v>
          </cell>
          <cell r="C23" t="str">
            <v>N/A</v>
          </cell>
          <cell r="D23">
            <v>11</v>
          </cell>
          <cell r="E23">
            <v>15</v>
          </cell>
          <cell r="F23">
            <v>0.45</v>
          </cell>
          <cell r="G23">
            <v>0.6</v>
          </cell>
        </row>
        <row r="24">
          <cell r="A24" t="str">
            <v>10211</v>
          </cell>
          <cell r="B24" t="str">
            <v>GN Premium Antioxidant Care</v>
          </cell>
          <cell r="C24" t="str">
            <v>N/A</v>
          </cell>
          <cell r="D24">
            <v>11</v>
          </cell>
          <cell r="E24">
            <v>15</v>
          </cell>
          <cell r="F24">
            <v>0.5</v>
          </cell>
          <cell r="G24">
            <v>0.6</v>
          </cell>
        </row>
        <row r="25">
          <cell r="A25" t="str">
            <v>10221</v>
          </cell>
          <cell r="B25" t="str">
            <v>GN Premium Calming Care</v>
          </cell>
          <cell r="C25" t="str">
            <v>N/A</v>
          </cell>
          <cell r="D25">
            <v>11</v>
          </cell>
          <cell r="E25">
            <v>15</v>
          </cell>
          <cell r="F25">
            <v>0.5</v>
          </cell>
          <cell r="G25">
            <v>0.6</v>
          </cell>
        </row>
        <row r="26">
          <cell r="A26" t="str">
            <v>10231</v>
          </cell>
          <cell r="B26" t="str">
            <v>GN Premium Digestive Care</v>
          </cell>
          <cell r="C26" t="str">
            <v>N/A</v>
          </cell>
          <cell r="D26">
            <v>11</v>
          </cell>
          <cell r="E26">
            <v>15</v>
          </cell>
          <cell r="F26">
            <v>0.5</v>
          </cell>
          <cell r="G26">
            <v>0.6</v>
          </cell>
        </row>
        <row r="27">
          <cell r="A27" t="str">
            <v>10241</v>
          </cell>
          <cell r="B27" t="str">
            <v>GN Premium Fitness Care</v>
          </cell>
          <cell r="C27" t="str">
            <v>N/A</v>
          </cell>
          <cell r="D27">
            <v>11</v>
          </cell>
          <cell r="E27">
            <v>15</v>
          </cell>
          <cell r="F27">
            <v>0.5</v>
          </cell>
          <cell r="G27">
            <v>0.6</v>
          </cell>
        </row>
        <row r="28">
          <cell r="A28" t="str">
            <v>10251</v>
          </cell>
          <cell r="B28" t="str">
            <v>GN Premium Puppy Care</v>
          </cell>
          <cell r="C28" t="str">
            <v>N/A</v>
          </cell>
          <cell r="D28">
            <v>11</v>
          </cell>
          <cell r="E28">
            <v>15</v>
          </cell>
          <cell r="F28">
            <v>0.5</v>
          </cell>
          <cell r="G28">
            <v>0.6</v>
          </cell>
        </row>
        <row r="29">
          <cell r="A29" t="str">
            <v>10261</v>
          </cell>
          <cell r="B29" t="str">
            <v>GN Premium Joint Care</v>
          </cell>
          <cell r="C29" t="str">
            <v>N/A</v>
          </cell>
          <cell r="D29">
            <v>11</v>
          </cell>
          <cell r="E29">
            <v>15</v>
          </cell>
          <cell r="F29">
            <v>0.5</v>
          </cell>
          <cell r="G29">
            <v>0.6</v>
          </cell>
        </row>
        <row r="30">
          <cell r="A30" t="str">
            <v>10271</v>
          </cell>
          <cell r="B30" t="str">
            <v>GN Premium Skin Coat Care</v>
          </cell>
          <cell r="C30" t="str">
            <v>N/A</v>
          </cell>
          <cell r="D30">
            <v>11</v>
          </cell>
          <cell r="E30">
            <v>15</v>
          </cell>
          <cell r="F30">
            <v>0.5</v>
          </cell>
          <cell r="G30">
            <v>0.6</v>
          </cell>
        </row>
        <row r="31">
          <cell r="A31" t="str">
            <v>10281</v>
          </cell>
          <cell r="B31" t="str">
            <v>GN Premium Senior Care</v>
          </cell>
          <cell r="C31" t="str">
            <v>N/A</v>
          </cell>
          <cell r="D31">
            <v>11</v>
          </cell>
          <cell r="E31">
            <v>15</v>
          </cell>
          <cell r="F31">
            <v>0.5</v>
          </cell>
          <cell r="G31">
            <v>0.6</v>
          </cell>
        </row>
        <row r="32">
          <cell r="A32" t="str">
            <v>11203</v>
          </cell>
          <cell r="B32" t="str">
            <v>N-Bone Pupper Nutter Lg WIP</v>
          </cell>
          <cell r="C32" t="str">
            <v>Lg</v>
          </cell>
          <cell r="D32">
            <v>11</v>
          </cell>
          <cell r="E32">
            <v>14</v>
          </cell>
          <cell r="F32">
            <v>0.35</v>
          </cell>
          <cell r="G32">
            <v>0.6</v>
          </cell>
        </row>
        <row r="33">
          <cell r="A33" t="str">
            <v>11207</v>
          </cell>
          <cell r="B33" t="str">
            <v>N-Bone Pupper Nutter Sm WIP</v>
          </cell>
          <cell r="C33" t="str">
            <v>Sm</v>
          </cell>
          <cell r="D33">
            <v>11</v>
          </cell>
          <cell r="E33">
            <v>14</v>
          </cell>
          <cell r="F33">
            <v>0.35</v>
          </cell>
          <cell r="G33">
            <v>0.6</v>
          </cell>
        </row>
        <row r="34">
          <cell r="A34" t="str">
            <v>11303</v>
          </cell>
          <cell r="B34" t="str">
            <v xml:space="preserve">N-Bone Barbeque Lg WIP </v>
          </cell>
          <cell r="C34" t="str">
            <v>Lg</v>
          </cell>
          <cell r="D34">
            <v>11</v>
          </cell>
          <cell r="E34">
            <v>14</v>
          </cell>
          <cell r="F34">
            <v>0.35</v>
          </cell>
          <cell r="G34">
            <v>0.6</v>
          </cell>
        </row>
        <row r="35">
          <cell r="A35" t="str">
            <v>11401</v>
          </cell>
          <cell r="B35" t="str">
            <v>NB Bacon Bone</v>
          </cell>
          <cell r="C35" t="str">
            <v>Lg</v>
          </cell>
          <cell r="D35">
            <v>11</v>
          </cell>
          <cell r="E35">
            <v>14</v>
          </cell>
          <cell r="F35">
            <v>0.35</v>
          </cell>
          <cell r="G35">
            <v>0.6</v>
          </cell>
        </row>
        <row r="36">
          <cell r="A36" t="str">
            <v>11500</v>
          </cell>
          <cell r="B36" t="str">
            <v>Puppy Teething Treat WIP</v>
          </cell>
          <cell r="C36" t="str">
            <v>N/A</v>
          </cell>
          <cell r="D36">
            <v>12</v>
          </cell>
          <cell r="E36">
            <v>15.5</v>
          </cell>
          <cell r="F36">
            <v>0.5</v>
          </cell>
          <cell r="G36">
            <v>0.62</v>
          </cell>
        </row>
        <row r="37">
          <cell r="A37" t="str">
            <v>11500N</v>
          </cell>
          <cell r="B37" t="str">
            <v>Puppy Teething Treat WIP</v>
          </cell>
          <cell r="C37" t="str">
            <v>N/A</v>
          </cell>
          <cell r="D37">
            <v>12</v>
          </cell>
          <cell r="E37">
            <v>15.5</v>
          </cell>
          <cell r="F37">
            <v>0.5</v>
          </cell>
          <cell r="G37">
            <v>0.62</v>
          </cell>
        </row>
        <row r="38">
          <cell r="A38" t="str">
            <v>11600</v>
          </cell>
          <cell r="B38" t="str">
            <v>Jumbo PTS Chicken WIP</v>
          </cell>
          <cell r="C38" t="str">
            <v>Jumbo</v>
          </cell>
          <cell r="D38">
            <v>12</v>
          </cell>
          <cell r="E38">
            <v>15.5</v>
          </cell>
          <cell r="F38">
            <v>0.5</v>
          </cell>
          <cell r="G38">
            <v>0.62</v>
          </cell>
        </row>
        <row r="39">
          <cell r="A39" t="str">
            <v>11980</v>
          </cell>
          <cell r="B39" t="str">
            <v>Cat Chew Treat WIP</v>
          </cell>
          <cell r="C39" t="str">
            <v>N/A</v>
          </cell>
          <cell r="D39">
            <v>12</v>
          </cell>
          <cell r="E39">
            <v>15.5</v>
          </cell>
          <cell r="F39">
            <v>0.5</v>
          </cell>
          <cell r="G39">
            <v>0.62</v>
          </cell>
        </row>
        <row r="40">
          <cell r="A40" t="str">
            <v>12280</v>
          </cell>
          <cell r="B40" t="str">
            <v>Ferret Chew Treat WIP</v>
          </cell>
          <cell r="C40" t="str">
            <v>N/A</v>
          </cell>
          <cell r="D40">
            <v>12</v>
          </cell>
          <cell r="E40">
            <v>15.5</v>
          </cell>
          <cell r="F40">
            <v>0.5</v>
          </cell>
          <cell r="G40">
            <v>0.62</v>
          </cell>
        </row>
        <row r="41">
          <cell r="A41" t="str">
            <v>15001</v>
          </cell>
          <cell r="B41" t="str">
            <v xml:space="preserve">Grain-Free Puppy Teething Ring </v>
          </cell>
          <cell r="C41" t="str">
            <v>N/A</v>
          </cell>
          <cell r="D41">
            <v>12</v>
          </cell>
          <cell r="E41">
            <v>15.5</v>
          </cell>
          <cell r="F41">
            <v>0.5</v>
          </cell>
          <cell r="G41">
            <v>0.63</v>
          </cell>
        </row>
        <row r="42">
          <cell r="A42" t="str">
            <v>15100</v>
          </cell>
          <cell r="B42" t="str">
            <v>PTR Peanut&amp;Pumpkin</v>
          </cell>
          <cell r="C42" t="str">
            <v>N/A</v>
          </cell>
          <cell r="D42">
            <v>12</v>
          </cell>
          <cell r="E42">
            <v>15.5</v>
          </cell>
          <cell r="F42">
            <v>0.45</v>
          </cell>
          <cell r="G42" t="str">
            <v>0.63</v>
          </cell>
        </row>
        <row r="43">
          <cell r="A43" t="str">
            <v>17500</v>
          </cell>
          <cell r="B43" t="str">
            <v>Holiday Xmas Tree WIP</v>
          </cell>
          <cell r="C43" t="str">
            <v>Lg</v>
          </cell>
          <cell r="D43" t="str">
            <v>11</v>
          </cell>
          <cell r="E43">
            <v>15</v>
          </cell>
          <cell r="F43">
            <v>0.45</v>
          </cell>
          <cell r="G43">
            <v>0.6</v>
          </cell>
        </row>
        <row r="44">
          <cell r="A44" t="str">
            <v>17600</v>
          </cell>
          <cell r="B44" t="str">
            <v>Holiday Gingersnaps WIP</v>
          </cell>
          <cell r="C44" t="str">
            <v>Lg</v>
          </cell>
          <cell r="D44" t="str">
            <v>11</v>
          </cell>
          <cell r="E44">
            <v>15</v>
          </cell>
          <cell r="F44">
            <v>0.45</v>
          </cell>
          <cell r="G44">
            <v>0.6</v>
          </cell>
        </row>
        <row r="45">
          <cell r="A45" t="str">
            <v>17700</v>
          </cell>
          <cell r="B45" t="str">
            <v>Holiday Chime WIP</v>
          </cell>
          <cell r="C45" t="str">
            <v>Lg</v>
          </cell>
          <cell r="D45" t="str">
            <v>11</v>
          </cell>
          <cell r="E45">
            <v>15</v>
          </cell>
          <cell r="F45">
            <v>0.45</v>
          </cell>
          <cell r="G45">
            <v>0.6</v>
          </cell>
        </row>
        <row r="46">
          <cell r="A46" t="str">
            <v>17800</v>
          </cell>
          <cell r="B46" t="str">
            <v>Holiday Santa Hat WIP</v>
          </cell>
          <cell r="C46" t="str">
            <v>Lg</v>
          </cell>
          <cell r="D46" t="str">
            <v>11</v>
          </cell>
          <cell r="E46">
            <v>15</v>
          </cell>
          <cell r="F46">
            <v>0.45</v>
          </cell>
          <cell r="G46">
            <v>0.6</v>
          </cell>
        </row>
        <row r="47">
          <cell r="A47" t="str">
            <v>20011</v>
          </cell>
          <cell r="B47" t="str">
            <v>Bonies Fresh Breath Mini WIP</v>
          </cell>
          <cell r="C47" t="str">
            <v>Mini</v>
          </cell>
          <cell r="D47">
            <v>12</v>
          </cell>
          <cell r="E47">
            <v>15.5</v>
          </cell>
          <cell r="F47">
            <v>0.45</v>
          </cell>
          <cell r="G47">
            <v>0.62</v>
          </cell>
        </row>
        <row r="48">
          <cell r="A48" t="str">
            <v>20012</v>
          </cell>
          <cell r="B48" t="str">
            <v>Bonies Fresh Breath Sm WIP</v>
          </cell>
          <cell r="C48" t="str">
            <v>Sm</v>
          </cell>
          <cell r="D48">
            <v>12</v>
          </cell>
          <cell r="E48">
            <v>15.5</v>
          </cell>
          <cell r="F48">
            <v>0.45</v>
          </cell>
          <cell r="G48">
            <v>0.62</v>
          </cell>
        </row>
        <row r="49">
          <cell r="A49" t="str">
            <v>20013</v>
          </cell>
          <cell r="B49" t="str">
            <v>Bonies Fresh Breath Med WIP</v>
          </cell>
          <cell r="C49" t="str">
            <v>Med</v>
          </cell>
          <cell r="D49">
            <v>12</v>
          </cell>
          <cell r="E49">
            <v>15.5</v>
          </cell>
          <cell r="F49">
            <v>0.45</v>
          </cell>
          <cell r="G49">
            <v>0.62</v>
          </cell>
        </row>
        <row r="50">
          <cell r="A50" t="str">
            <v>20014</v>
          </cell>
          <cell r="B50" t="str">
            <v>Bonies Fresh Breath Lg WIP</v>
          </cell>
          <cell r="C50" t="str">
            <v>Lg</v>
          </cell>
          <cell r="D50">
            <v>12</v>
          </cell>
          <cell r="E50">
            <v>15.5</v>
          </cell>
          <cell r="F50">
            <v>0.45</v>
          </cell>
          <cell r="G50">
            <v>0.62</v>
          </cell>
        </row>
        <row r="51">
          <cell r="A51" t="str">
            <v>20021</v>
          </cell>
          <cell r="B51" t="str">
            <v>Bonies Hip&amp;Joint Mini WIP</v>
          </cell>
          <cell r="C51" t="str">
            <v>Mini</v>
          </cell>
          <cell r="D51">
            <v>12</v>
          </cell>
          <cell r="E51">
            <v>15.5</v>
          </cell>
          <cell r="F51">
            <v>0.45</v>
          </cell>
          <cell r="G51">
            <v>0.62</v>
          </cell>
        </row>
        <row r="52">
          <cell r="A52" t="str">
            <v>20022</v>
          </cell>
          <cell r="B52" t="str">
            <v>Bonies Hip&amp;Joint Sm WIP</v>
          </cell>
          <cell r="C52" t="str">
            <v>Sm</v>
          </cell>
          <cell r="D52">
            <v>12</v>
          </cell>
          <cell r="E52">
            <v>15.5</v>
          </cell>
          <cell r="F52">
            <v>0.45</v>
          </cell>
          <cell r="G52">
            <v>0.62</v>
          </cell>
        </row>
        <row r="53">
          <cell r="A53" t="str">
            <v>20023</v>
          </cell>
          <cell r="B53" t="str">
            <v>Bonies Hip&amp;Joint Med WIP</v>
          </cell>
          <cell r="C53" t="str">
            <v>Med</v>
          </cell>
          <cell r="D53">
            <v>12</v>
          </cell>
          <cell r="E53">
            <v>15.5</v>
          </cell>
          <cell r="F53">
            <v>0.45</v>
          </cell>
          <cell r="G53">
            <v>0.62</v>
          </cell>
        </row>
        <row r="54">
          <cell r="A54" t="str">
            <v>20024</v>
          </cell>
          <cell r="B54" t="str">
            <v>Bonies Hip&amp;Joint Lg WIP</v>
          </cell>
          <cell r="C54" t="str">
            <v>Lg</v>
          </cell>
          <cell r="D54">
            <v>12</v>
          </cell>
          <cell r="E54">
            <v>15.5</v>
          </cell>
          <cell r="F54">
            <v>0.45</v>
          </cell>
          <cell r="G54">
            <v>0.62</v>
          </cell>
        </row>
        <row r="55">
          <cell r="A55" t="str">
            <v>20031</v>
          </cell>
          <cell r="B55" t="str">
            <v>Bonies B-Calm Mini WIP</v>
          </cell>
          <cell r="C55" t="str">
            <v>Mini</v>
          </cell>
          <cell r="D55">
            <v>12</v>
          </cell>
          <cell r="E55">
            <v>15.5</v>
          </cell>
          <cell r="F55">
            <v>0.45</v>
          </cell>
          <cell r="G55">
            <v>0.62</v>
          </cell>
        </row>
        <row r="56">
          <cell r="A56" t="str">
            <v>20032</v>
          </cell>
          <cell r="B56" t="str">
            <v>Bonies B-Calm Sm WIP</v>
          </cell>
          <cell r="C56" t="str">
            <v>Sm</v>
          </cell>
          <cell r="D56">
            <v>12</v>
          </cell>
          <cell r="E56">
            <v>15.5</v>
          </cell>
          <cell r="F56">
            <v>0.45</v>
          </cell>
          <cell r="G56">
            <v>0.62</v>
          </cell>
        </row>
        <row r="57">
          <cell r="A57" t="str">
            <v>20033</v>
          </cell>
          <cell r="B57" t="str">
            <v>Bonies B-Calm Med WIP</v>
          </cell>
          <cell r="C57" t="str">
            <v>Med</v>
          </cell>
          <cell r="D57">
            <v>12</v>
          </cell>
          <cell r="E57">
            <v>15.5</v>
          </cell>
          <cell r="F57">
            <v>0.45</v>
          </cell>
          <cell r="G57">
            <v>0.62</v>
          </cell>
        </row>
        <row r="58">
          <cell r="A58" t="str">
            <v>20034</v>
          </cell>
          <cell r="B58" t="str">
            <v>Bonies B-Calm Lg WIP</v>
          </cell>
          <cell r="C58" t="str">
            <v>Lg</v>
          </cell>
          <cell r="D58">
            <v>12</v>
          </cell>
          <cell r="E58">
            <v>15.5</v>
          </cell>
          <cell r="F58">
            <v>0.45</v>
          </cell>
          <cell r="G58">
            <v>0.62</v>
          </cell>
        </row>
        <row r="59">
          <cell r="A59" t="str">
            <v>20041</v>
          </cell>
          <cell r="B59" t="str">
            <v>Bonies Skin &amp; Coat Mini WIP</v>
          </cell>
          <cell r="C59" t="str">
            <v>Mini</v>
          </cell>
          <cell r="D59">
            <v>12</v>
          </cell>
          <cell r="E59">
            <v>15.5</v>
          </cell>
          <cell r="F59">
            <v>0.45</v>
          </cell>
          <cell r="G59">
            <v>0.62</v>
          </cell>
        </row>
        <row r="60">
          <cell r="A60" t="str">
            <v>20042</v>
          </cell>
          <cell r="B60" t="str">
            <v>Bonies Skin &amp; Coat Sm WIP</v>
          </cell>
          <cell r="C60" t="str">
            <v>Sm</v>
          </cell>
          <cell r="D60">
            <v>12</v>
          </cell>
          <cell r="E60">
            <v>15.5</v>
          </cell>
          <cell r="F60">
            <v>0.45</v>
          </cell>
          <cell r="G60">
            <v>0.62</v>
          </cell>
        </row>
        <row r="61">
          <cell r="A61" t="str">
            <v>20043</v>
          </cell>
          <cell r="B61" t="str">
            <v>Bonies Skin &amp; Coat Med WIP</v>
          </cell>
          <cell r="C61" t="str">
            <v>Med</v>
          </cell>
          <cell r="D61">
            <v>12</v>
          </cell>
          <cell r="E61">
            <v>15.5</v>
          </cell>
          <cell r="F61">
            <v>0.45</v>
          </cell>
          <cell r="G61">
            <v>0.62</v>
          </cell>
        </row>
        <row r="62">
          <cell r="A62" t="str">
            <v>20044</v>
          </cell>
          <cell r="B62" t="str">
            <v>Bonies Skin &amp; Coat Lg WIP</v>
          </cell>
          <cell r="C62" t="str">
            <v>Lg</v>
          </cell>
          <cell r="D62">
            <v>12</v>
          </cell>
          <cell r="E62">
            <v>15.5</v>
          </cell>
          <cell r="F62">
            <v>0.45</v>
          </cell>
          <cell r="G62">
            <v>0.62</v>
          </cell>
        </row>
        <row r="63">
          <cell r="A63" t="str">
            <v>23061</v>
          </cell>
          <cell r="B63" t="str">
            <v>PTR GF Chicken</v>
          </cell>
          <cell r="C63" t="str">
            <v>N/A</v>
          </cell>
          <cell r="D63">
            <v>12</v>
          </cell>
          <cell r="E63">
            <v>15.5</v>
          </cell>
          <cell r="F63">
            <v>0.5</v>
          </cell>
          <cell r="G63">
            <v>0.63</v>
          </cell>
        </row>
        <row r="64">
          <cell r="A64" t="str">
            <v>24011</v>
          </cell>
          <cell r="B64" t="str">
            <v>PuppyTeething Ring Pmk WIP New</v>
          </cell>
          <cell r="C64" t="str">
            <v>N/A</v>
          </cell>
          <cell r="D64">
            <v>12</v>
          </cell>
          <cell r="E64">
            <v>15.5</v>
          </cell>
          <cell r="F64">
            <v>0.5</v>
          </cell>
          <cell r="G64">
            <v>0.63</v>
          </cell>
        </row>
        <row r="65">
          <cell r="A65" t="str">
            <v>24013</v>
          </cell>
          <cell r="B65" t="str">
            <v>PTR Teeny Pumpkin</v>
          </cell>
          <cell r="C65" t="str">
            <v>N/A</v>
          </cell>
          <cell r="D65">
            <v>11</v>
          </cell>
          <cell r="E65">
            <v>15</v>
          </cell>
          <cell r="F65">
            <v>0.5</v>
          </cell>
          <cell r="G65">
            <v>0.63</v>
          </cell>
        </row>
        <row r="66">
          <cell r="A66" t="str">
            <v>24031</v>
          </cell>
          <cell r="B66" t="str">
            <v>PuppyTeethingRing Ckn WIP New</v>
          </cell>
          <cell r="C66" t="str">
            <v>N/A</v>
          </cell>
          <cell r="D66">
            <v>12</v>
          </cell>
          <cell r="E66">
            <v>15.5</v>
          </cell>
          <cell r="F66">
            <v>0.5</v>
          </cell>
          <cell r="G66">
            <v>0.63</v>
          </cell>
        </row>
        <row r="67">
          <cell r="A67" t="str">
            <v>24041</v>
          </cell>
          <cell r="B67" t="str">
            <v>Teeny Puppy Teething Ring Chk</v>
          </cell>
          <cell r="C67" t="str">
            <v>N/A</v>
          </cell>
          <cell r="D67">
            <v>11</v>
          </cell>
          <cell r="E67">
            <v>15</v>
          </cell>
          <cell r="F67">
            <v>0.5</v>
          </cell>
          <cell r="G67">
            <v>0.63</v>
          </cell>
        </row>
        <row r="68">
          <cell r="A68" t="str">
            <v>24051</v>
          </cell>
          <cell r="B68" t="str">
            <v>GF PTR Blueberry/BBQ WIP</v>
          </cell>
          <cell r="C68" t="str">
            <v>N/A</v>
          </cell>
          <cell r="D68">
            <v>12</v>
          </cell>
          <cell r="E68">
            <v>15.5</v>
          </cell>
          <cell r="F68">
            <v>0.5</v>
          </cell>
          <cell r="G68">
            <v>0.63</v>
          </cell>
        </row>
        <row r="69">
          <cell r="A69" t="str">
            <v>24091</v>
          </cell>
          <cell r="B69" t="str">
            <v xml:space="preserve">PTR Peanut Butter WIP </v>
          </cell>
          <cell r="C69" t="str">
            <v>N/A</v>
          </cell>
          <cell r="D69">
            <v>12</v>
          </cell>
          <cell r="E69">
            <v>15.5</v>
          </cell>
          <cell r="F69">
            <v>0.5</v>
          </cell>
          <cell r="G69">
            <v>0.63</v>
          </cell>
        </row>
        <row r="70">
          <cell r="A70" t="str">
            <v>24093</v>
          </cell>
          <cell r="B70" t="str">
            <v>PTR Teeny PeanutButter</v>
          </cell>
          <cell r="C70" t="str">
            <v>N/A</v>
          </cell>
          <cell r="D70">
            <v>11</v>
          </cell>
          <cell r="E70">
            <v>15</v>
          </cell>
          <cell r="F70">
            <v>0.5</v>
          </cell>
          <cell r="G70">
            <v>0.63</v>
          </cell>
        </row>
        <row r="71">
          <cell r="A71" t="str">
            <v>24111</v>
          </cell>
          <cell r="B71" t="str">
            <v>PTR Salmon</v>
          </cell>
          <cell r="C71" t="str">
            <v>N/A</v>
          </cell>
          <cell r="D71">
            <v>11</v>
          </cell>
          <cell r="E71">
            <v>15.5</v>
          </cell>
          <cell r="F71">
            <v>0.5</v>
          </cell>
          <cell r="G71">
            <v>0.63</v>
          </cell>
        </row>
        <row r="72">
          <cell r="A72" t="str">
            <v>24113</v>
          </cell>
          <cell r="B72" t="str">
            <v>PTR Teeny Salmon</v>
          </cell>
          <cell r="C72" t="str">
            <v>N/A</v>
          </cell>
          <cell r="D72">
            <v>11</v>
          </cell>
          <cell r="E72">
            <v>15</v>
          </cell>
          <cell r="F72">
            <v>0.5</v>
          </cell>
          <cell r="G72">
            <v>0.63</v>
          </cell>
        </row>
        <row r="73">
          <cell r="A73" t="str">
            <v>24401</v>
          </cell>
          <cell r="B73" t="str">
            <v>PTR Plus</v>
          </cell>
          <cell r="C73" t="str">
            <v>N/A</v>
          </cell>
          <cell r="D73">
            <v>11</v>
          </cell>
          <cell r="E73" t="str">
            <v>15.5</v>
          </cell>
          <cell r="F73">
            <v>0.45</v>
          </cell>
          <cell r="G73" t="str">
            <v>0.63</v>
          </cell>
        </row>
        <row r="74">
          <cell r="A74" t="str">
            <v>24701</v>
          </cell>
          <cell r="B74" t="str">
            <v>Adult Dental Ring WIP</v>
          </cell>
          <cell r="C74" t="str">
            <v>N/A</v>
          </cell>
          <cell r="D74">
            <v>12</v>
          </cell>
          <cell r="E74">
            <v>15.5</v>
          </cell>
          <cell r="F74">
            <v>0.5</v>
          </cell>
          <cell r="G74">
            <v>0.63</v>
          </cell>
        </row>
        <row r="75">
          <cell r="A75" t="str">
            <v>24801</v>
          </cell>
          <cell r="B75" t="str">
            <v>PTR Con Queso Carne WIP</v>
          </cell>
          <cell r="C75" t="str">
            <v>N/A</v>
          </cell>
          <cell r="D75">
            <v>12</v>
          </cell>
          <cell r="E75">
            <v>15.5</v>
          </cell>
          <cell r="F75">
            <v>0.5</v>
          </cell>
          <cell r="G75">
            <v>0.63</v>
          </cell>
        </row>
        <row r="76">
          <cell r="A76" t="str">
            <v>24821</v>
          </cell>
          <cell r="B76" t="str">
            <v>PTR Burnt Ends WIP</v>
          </cell>
          <cell r="C76" t="str">
            <v>N/A</v>
          </cell>
          <cell r="D76">
            <v>12</v>
          </cell>
          <cell r="E76">
            <v>15.5</v>
          </cell>
          <cell r="F76">
            <v>0.5</v>
          </cell>
          <cell r="G76">
            <v>0.63</v>
          </cell>
        </row>
        <row r="77">
          <cell r="A77" t="str">
            <v>24841</v>
          </cell>
          <cell r="B77" t="str">
            <v>PTR Chicken Fajitas WIP</v>
          </cell>
          <cell r="C77" t="str">
            <v>N/A</v>
          </cell>
          <cell r="D77">
            <v>12</v>
          </cell>
          <cell r="E77">
            <v>15.5</v>
          </cell>
          <cell r="F77">
            <v>0.5</v>
          </cell>
          <cell r="G77">
            <v>0.63</v>
          </cell>
        </row>
        <row r="78">
          <cell r="A78" t="str">
            <v>24851</v>
          </cell>
          <cell r="B78" t="str">
            <v>PTR Pulled Pork WIP</v>
          </cell>
          <cell r="C78" t="str">
            <v>N/A</v>
          </cell>
          <cell r="D78">
            <v>12</v>
          </cell>
          <cell r="E78">
            <v>15.5</v>
          </cell>
          <cell r="F78">
            <v>0.5</v>
          </cell>
          <cell r="G78">
            <v>0.63</v>
          </cell>
        </row>
        <row r="79">
          <cell r="A79" t="str">
            <v>24861</v>
          </cell>
          <cell r="B79" t="str">
            <v>PTR Pulled Pork WIP</v>
          </cell>
          <cell r="C79" t="str">
            <v>N/A</v>
          </cell>
          <cell r="D79">
            <v>12</v>
          </cell>
          <cell r="E79">
            <v>15.5</v>
          </cell>
          <cell r="F79">
            <v>0.5</v>
          </cell>
          <cell r="G79">
            <v>0.63</v>
          </cell>
        </row>
        <row r="80">
          <cell r="A80" t="str">
            <v>250036</v>
          </cell>
          <cell r="B80" t="str">
            <v>N-Bone Original Sm WIP</v>
          </cell>
          <cell r="C80" t="str">
            <v>Sm</v>
          </cell>
          <cell r="D80">
            <v>11</v>
          </cell>
          <cell r="E80">
            <v>14</v>
          </cell>
          <cell r="F80">
            <v>0.35</v>
          </cell>
          <cell r="G80">
            <v>0.62</v>
          </cell>
        </row>
        <row r="81">
          <cell r="A81" t="str">
            <v>250043</v>
          </cell>
          <cell r="B81" t="str">
            <v>N-Bone Original Lg WIP</v>
          </cell>
          <cell r="C81" t="str">
            <v>Lg</v>
          </cell>
          <cell r="D81">
            <v>11</v>
          </cell>
          <cell r="E81">
            <v>14</v>
          </cell>
          <cell r="F81">
            <v>0.35</v>
          </cell>
          <cell r="G81">
            <v>0.62</v>
          </cell>
        </row>
        <row r="82">
          <cell r="A82" t="str">
            <v>250248TJ</v>
          </cell>
          <cell r="B82" t="str">
            <v>Mint-A-Breath Bone Md TJ WIP</v>
          </cell>
          <cell r="C82" t="str">
            <v>Med</v>
          </cell>
          <cell r="D82">
            <v>12</v>
          </cell>
          <cell r="E82">
            <v>15.5</v>
          </cell>
          <cell r="F82">
            <v>0.45</v>
          </cell>
          <cell r="G82">
            <v>0.62</v>
          </cell>
        </row>
        <row r="83">
          <cell r="A83" t="str">
            <v>250300</v>
          </cell>
          <cell r="B83" t="str">
            <v xml:space="preserve">N-Bone Pearly Whites Sm WIP </v>
          </cell>
          <cell r="C83" t="str">
            <v>Sm</v>
          </cell>
          <cell r="D83">
            <v>11</v>
          </cell>
          <cell r="E83">
            <v>14</v>
          </cell>
          <cell r="F83">
            <v>0.35</v>
          </cell>
          <cell r="G83">
            <v>0.6</v>
          </cell>
        </row>
        <row r="84">
          <cell r="A84" t="str">
            <v>250301</v>
          </cell>
          <cell r="B84" t="str">
            <v xml:space="preserve">N-Bone Pearly Whites Lg WIP </v>
          </cell>
          <cell r="C84" t="str">
            <v>Lg</v>
          </cell>
          <cell r="D84">
            <v>11</v>
          </cell>
          <cell r="E84">
            <v>14</v>
          </cell>
          <cell r="F84">
            <v>0.35</v>
          </cell>
          <cell r="G84">
            <v>0.6</v>
          </cell>
        </row>
        <row r="85">
          <cell r="A85" t="str">
            <v>250400</v>
          </cell>
          <cell r="B85" t="str">
            <v>Bone-A-Mints DB Lg WIP 200P</v>
          </cell>
          <cell r="C85" t="str">
            <v>Lg</v>
          </cell>
          <cell r="D85">
            <v>12</v>
          </cell>
          <cell r="E85">
            <v>15.5</v>
          </cell>
          <cell r="F85">
            <v>0.45</v>
          </cell>
          <cell r="G85">
            <v>0.62</v>
          </cell>
        </row>
        <row r="86">
          <cell r="A86" t="str">
            <v>250405</v>
          </cell>
          <cell r="B86" t="str">
            <v>Bone-A-Mints DB Md WIP</v>
          </cell>
          <cell r="C86" t="str">
            <v>Med</v>
          </cell>
          <cell r="D86">
            <v>12</v>
          </cell>
          <cell r="E86">
            <v>15.5</v>
          </cell>
          <cell r="F86">
            <v>0.45</v>
          </cell>
          <cell r="G86">
            <v>0.62</v>
          </cell>
        </row>
        <row r="87">
          <cell r="A87" t="str">
            <v>250410</v>
          </cell>
          <cell r="B87" t="str">
            <v>Bone-A-Mints Sm WIP Stage2</v>
          </cell>
          <cell r="C87" t="str">
            <v>Sm</v>
          </cell>
          <cell r="D87">
            <v>12</v>
          </cell>
          <cell r="E87">
            <v>15.5</v>
          </cell>
          <cell r="F87">
            <v>0.45</v>
          </cell>
          <cell r="G87">
            <v>0.62</v>
          </cell>
        </row>
        <row r="88">
          <cell r="A88" t="str">
            <v>250415</v>
          </cell>
          <cell r="B88" t="str">
            <v>Bone-A-Mints DB Mini WIP</v>
          </cell>
          <cell r="C88" t="str">
            <v>Mini</v>
          </cell>
          <cell r="D88">
            <v>12</v>
          </cell>
          <cell r="E88">
            <v>15.5</v>
          </cell>
          <cell r="F88">
            <v>0.45</v>
          </cell>
          <cell r="G88">
            <v>0.62</v>
          </cell>
        </row>
        <row r="89">
          <cell r="A89" t="str">
            <v>25350</v>
          </cell>
          <cell r="B89" t="str">
            <v>Ferret Chew Treats WIP Bacon F</v>
          </cell>
          <cell r="C89" t="str">
            <v>N/A</v>
          </cell>
          <cell r="D89">
            <v>12</v>
          </cell>
          <cell r="E89">
            <v>15.5</v>
          </cell>
          <cell r="F89">
            <v>0.5</v>
          </cell>
          <cell r="G89">
            <v>0.62</v>
          </cell>
        </row>
        <row r="90">
          <cell r="A90" t="str">
            <v>25421</v>
          </cell>
          <cell r="B90" t="str">
            <v>Ferret Chew Treats Salmon WIP</v>
          </cell>
          <cell r="C90" t="str">
            <v>N/A</v>
          </cell>
          <cell r="D90">
            <v>12</v>
          </cell>
          <cell r="E90">
            <v>15.5</v>
          </cell>
          <cell r="F90">
            <v>0.5</v>
          </cell>
          <cell r="G90">
            <v>0.62</v>
          </cell>
        </row>
        <row r="91">
          <cell r="A91" t="str">
            <v>25431</v>
          </cell>
          <cell r="B91" t="str">
            <v>Ferret Chew Sticks Chicken Ne</v>
          </cell>
          <cell r="C91" t="str">
            <v>N/A</v>
          </cell>
          <cell r="D91">
            <v>12</v>
          </cell>
          <cell r="E91">
            <v>15.5</v>
          </cell>
          <cell r="F91">
            <v>0.5</v>
          </cell>
          <cell r="G91">
            <v>0.62</v>
          </cell>
        </row>
        <row r="92">
          <cell r="A92" t="str">
            <v>25441</v>
          </cell>
          <cell r="B92" t="str">
            <v>Ferret Chew Sticks Bacon Ne</v>
          </cell>
          <cell r="C92" t="str">
            <v>N/A</v>
          </cell>
          <cell r="D92">
            <v>12</v>
          </cell>
          <cell r="E92">
            <v>15.5</v>
          </cell>
          <cell r="F92">
            <v>0.5</v>
          </cell>
          <cell r="G92">
            <v>0.62</v>
          </cell>
        </row>
        <row r="93">
          <cell r="A93" t="str">
            <v>25451</v>
          </cell>
          <cell r="B93" t="str">
            <v>Ferret Chew Sticks Salmon Ne</v>
          </cell>
          <cell r="C93" t="str">
            <v>N/A</v>
          </cell>
          <cell r="D93">
            <v>12</v>
          </cell>
          <cell r="E93">
            <v>15.5</v>
          </cell>
          <cell r="F93">
            <v>0.5</v>
          </cell>
          <cell r="G93">
            <v>0.62</v>
          </cell>
        </row>
        <row r="94">
          <cell r="A94" t="str">
            <v>25501</v>
          </cell>
          <cell r="B94" t="str">
            <v>PTR Turkey Cranberry W/P</v>
          </cell>
          <cell r="C94" t="str">
            <v>N/A</v>
          </cell>
          <cell r="D94">
            <v>11</v>
          </cell>
          <cell r="E94">
            <v>15.5</v>
          </cell>
          <cell r="F94">
            <v>0.5</v>
          </cell>
          <cell r="G94">
            <v>0.63</v>
          </cell>
        </row>
        <row r="95">
          <cell r="A95" t="str">
            <v>32341</v>
          </cell>
          <cell r="B95" t="str">
            <v>Quado Mint Flavor SM WIP</v>
          </cell>
          <cell r="C95" t="str">
            <v>Sm</v>
          </cell>
          <cell r="D95">
            <v>11</v>
          </cell>
          <cell r="E95">
            <v>16</v>
          </cell>
          <cell r="F95">
            <v>0.45</v>
          </cell>
          <cell r="G95">
            <v>0.62</v>
          </cell>
        </row>
        <row r="96">
          <cell r="A96" t="str">
            <v>32342</v>
          </cell>
          <cell r="B96" t="str">
            <v>Quado Mint Flavr Md WIP</v>
          </cell>
          <cell r="C96" t="str">
            <v>Med</v>
          </cell>
          <cell r="D96">
            <v>11</v>
          </cell>
          <cell r="E96">
            <v>16</v>
          </cell>
          <cell r="F96">
            <v>0.45</v>
          </cell>
          <cell r="G96">
            <v>0.62</v>
          </cell>
        </row>
        <row r="97">
          <cell r="A97" t="str">
            <v>32343</v>
          </cell>
          <cell r="B97" t="str">
            <v>Quado Mint Flavr Lg WIP</v>
          </cell>
          <cell r="C97" t="str">
            <v>Lg</v>
          </cell>
          <cell r="D97">
            <v>11</v>
          </cell>
          <cell r="E97">
            <v>16</v>
          </cell>
          <cell r="F97">
            <v>0.45</v>
          </cell>
          <cell r="G97">
            <v>0.62</v>
          </cell>
        </row>
        <row r="98">
          <cell r="A98" t="str">
            <v>32351</v>
          </cell>
          <cell r="B98" t="str">
            <v>Quado Pumpkin Flavor SM WIP</v>
          </cell>
          <cell r="C98" t="str">
            <v>Sm</v>
          </cell>
          <cell r="D98">
            <v>11</v>
          </cell>
          <cell r="E98">
            <v>16</v>
          </cell>
          <cell r="F98">
            <v>0.45</v>
          </cell>
          <cell r="G98">
            <v>0.62</v>
          </cell>
        </row>
        <row r="99">
          <cell r="A99" t="str">
            <v>32352</v>
          </cell>
          <cell r="B99" t="str">
            <v>Quado Pumpkin Flavr Md WIP</v>
          </cell>
          <cell r="C99" t="str">
            <v>Med</v>
          </cell>
          <cell r="D99">
            <v>11</v>
          </cell>
          <cell r="E99">
            <v>16</v>
          </cell>
          <cell r="F99">
            <v>0.45</v>
          </cell>
          <cell r="G99">
            <v>0.62</v>
          </cell>
        </row>
        <row r="100">
          <cell r="A100" t="str">
            <v>32353</v>
          </cell>
          <cell r="B100" t="str">
            <v>Quado Pumpkin Flavr Lg WIP</v>
          </cell>
          <cell r="C100" t="str">
            <v>Lg</v>
          </cell>
          <cell r="D100">
            <v>11</v>
          </cell>
          <cell r="E100">
            <v>16</v>
          </cell>
          <cell r="F100">
            <v>0.45</v>
          </cell>
          <cell r="G100">
            <v>0.62</v>
          </cell>
        </row>
        <row r="101">
          <cell r="A101" t="str">
            <v>32361</v>
          </cell>
          <cell r="B101" t="str">
            <v>Quado Peanut Flavor SM WIP</v>
          </cell>
          <cell r="C101" t="str">
            <v>Sm</v>
          </cell>
          <cell r="D101">
            <v>11</v>
          </cell>
          <cell r="E101">
            <v>16</v>
          </cell>
          <cell r="F101">
            <v>0.45</v>
          </cell>
          <cell r="G101">
            <v>0.62</v>
          </cell>
        </row>
        <row r="102">
          <cell r="A102" t="str">
            <v>32362</v>
          </cell>
          <cell r="B102" t="str">
            <v>Quado Peanut Flavor Md WIP</v>
          </cell>
          <cell r="C102" t="str">
            <v>Med</v>
          </cell>
          <cell r="D102">
            <v>11</v>
          </cell>
          <cell r="E102">
            <v>16</v>
          </cell>
          <cell r="F102">
            <v>0.45</v>
          </cell>
          <cell r="G102">
            <v>0.62</v>
          </cell>
        </row>
        <row r="103">
          <cell r="A103" t="str">
            <v>32363</v>
          </cell>
          <cell r="B103" t="str">
            <v>Quado Peanut Flavor Lg WIP</v>
          </cell>
          <cell r="C103" t="str">
            <v>Lg</v>
          </cell>
          <cell r="D103">
            <v>11</v>
          </cell>
          <cell r="E103">
            <v>16</v>
          </cell>
          <cell r="F103">
            <v>0.45</v>
          </cell>
          <cell r="G103">
            <v>0.62</v>
          </cell>
        </row>
        <row r="104">
          <cell r="A104" t="str">
            <v>32371</v>
          </cell>
          <cell r="B104" t="str">
            <v>Quado Barbeque Sm WIP 1KP</v>
          </cell>
          <cell r="C104" t="str">
            <v>Sm</v>
          </cell>
          <cell r="D104">
            <v>11</v>
          </cell>
          <cell r="E104">
            <v>16</v>
          </cell>
          <cell r="F104">
            <v>0.45</v>
          </cell>
          <cell r="G104">
            <v>0.62</v>
          </cell>
        </row>
        <row r="105">
          <cell r="A105" t="str">
            <v>32372</v>
          </cell>
          <cell r="B105" t="str">
            <v>Quado Barbeque Md WIP</v>
          </cell>
          <cell r="C105" t="str">
            <v>Md</v>
          </cell>
          <cell r="D105">
            <v>11</v>
          </cell>
          <cell r="E105">
            <v>16</v>
          </cell>
          <cell r="F105">
            <v>0.45</v>
          </cell>
          <cell r="G105">
            <v>0.62</v>
          </cell>
        </row>
        <row r="106">
          <cell r="A106" t="str">
            <v>32373</v>
          </cell>
          <cell r="B106" t="str">
            <v>Quado Barbeque Lg WIP</v>
          </cell>
          <cell r="C106" t="str">
            <v>Lg</v>
          </cell>
          <cell r="D106">
            <v>11</v>
          </cell>
          <cell r="E106">
            <v>16</v>
          </cell>
          <cell r="F106">
            <v>0.45</v>
          </cell>
          <cell r="G106">
            <v>0.62</v>
          </cell>
        </row>
        <row r="107">
          <cell r="A107" t="str">
            <v>32381</v>
          </cell>
          <cell r="B107" t="str">
            <v>Quado Bacon Sm WIP 1KP</v>
          </cell>
          <cell r="C107" t="str">
            <v>Sm</v>
          </cell>
          <cell r="D107">
            <v>11</v>
          </cell>
          <cell r="E107">
            <v>16</v>
          </cell>
          <cell r="F107">
            <v>0.45</v>
          </cell>
          <cell r="G107">
            <v>0.62</v>
          </cell>
        </row>
        <row r="108">
          <cell r="A108" t="str">
            <v>32382</v>
          </cell>
          <cell r="B108" t="str">
            <v>Quado Bacon Md WIP</v>
          </cell>
          <cell r="C108" t="str">
            <v>Med</v>
          </cell>
          <cell r="D108">
            <v>11</v>
          </cell>
          <cell r="E108">
            <v>16</v>
          </cell>
          <cell r="F108">
            <v>0.45</v>
          </cell>
          <cell r="G108">
            <v>0.62</v>
          </cell>
        </row>
        <row r="109">
          <cell r="A109" t="str">
            <v>32383</v>
          </cell>
          <cell r="B109" t="str">
            <v>Quado Bacon Lg WIP</v>
          </cell>
          <cell r="C109" t="str">
            <v>Lg</v>
          </cell>
          <cell r="D109">
            <v>11</v>
          </cell>
          <cell r="E109">
            <v>16</v>
          </cell>
          <cell r="F109">
            <v>0.45</v>
          </cell>
          <cell r="G109">
            <v>0.62</v>
          </cell>
        </row>
        <row r="110">
          <cell r="A110" t="str">
            <v>32502</v>
          </cell>
          <cell r="B110" t="str">
            <v>Quado Pumpkin&amp;Peanut Md WIP</v>
          </cell>
          <cell r="C110" t="str">
            <v>Md</v>
          </cell>
          <cell r="D110">
            <v>12</v>
          </cell>
          <cell r="E110">
            <v>15.5</v>
          </cell>
          <cell r="F110">
            <v>0.45</v>
          </cell>
          <cell r="G110">
            <v>0.62</v>
          </cell>
        </row>
        <row r="111">
          <cell r="A111" t="str">
            <v>32512</v>
          </cell>
          <cell r="B111" t="str">
            <v xml:space="preserve">Quado Birthday Yogurt&amp; Banana </v>
          </cell>
          <cell r="C111" t="str">
            <v>Md</v>
          </cell>
          <cell r="D111">
            <v>12</v>
          </cell>
          <cell r="E111">
            <v>15</v>
          </cell>
          <cell r="F111">
            <v>0.5</v>
          </cell>
          <cell r="G111">
            <v>0.62</v>
          </cell>
        </row>
        <row r="112">
          <cell r="A112" t="str">
            <v>32521</v>
          </cell>
          <cell r="B112" t="str">
            <v>Quado Birthday</v>
          </cell>
          <cell r="C112" t="str">
            <v>Sm</v>
          </cell>
          <cell r="D112">
            <v>11</v>
          </cell>
          <cell r="E112">
            <v>16</v>
          </cell>
          <cell r="F112">
            <v>0.45</v>
          </cell>
          <cell r="G112">
            <v>0.62</v>
          </cell>
        </row>
        <row r="113">
          <cell r="A113" t="str">
            <v>34346</v>
          </cell>
          <cell r="B113" t="str">
            <v>V-Dog Pumpkin Flavor Mn(s) WIP</v>
          </cell>
          <cell r="C113" t="str">
            <v>Mn(S)</v>
          </cell>
          <cell r="D113">
            <v>12</v>
          </cell>
          <cell r="E113">
            <v>15.5</v>
          </cell>
          <cell r="F113">
            <v>0.45</v>
          </cell>
          <cell r="G113">
            <v>0.62</v>
          </cell>
        </row>
        <row r="114">
          <cell r="A114" t="str">
            <v>34347</v>
          </cell>
          <cell r="B114" t="str">
            <v>V-Dog Pumpkin Flavor Lg(m) WIP</v>
          </cell>
          <cell r="C114" t="str">
            <v>Lg(M)</v>
          </cell>
          <cell r="D114">
            <v>12</v>
          </cell>
          <cell r="E114">
            <v>15.5</v>
          </cell>
          <cell r="F114">
            <v>0.45</v>
          </cell>
          <cell r="G114">
            <v>0.62</v>
          </cell>
        </row>
        <row r="115">
          <cell r="A115" t="str">
            <v>35011</v>
          </cell>
          <cell r="B115" t="str">
            <v>GN GF Stick Digestive Health Sm WIP</v>
          </cell>
          <cell r="C115" t="str">
            <v>Sm</v>
          </cell>
          <cell r="D115">
            <v>12</v>
          </cell>
          <cell r="E115">
            <v>15.5</v>
          </cell>
          <cell r="F115">
            <v>0.45</v>
          </cell>
          <cell r="G115">
            <v>0.6</v>
          </cell>
        </row>
        <row r="116">
          <cell r="A116" t="str">
            <v>35012</v>
          </cell>
          <cell r="B116" t="str">
            <v>GN Stick Digestive Health Lg WIP</v>
          </cell>
          <cell r="C116" t="str">
            <v>Lg</v>
          </cell>
          <cell r="D116">
            <v>12</v>
          </cell>
          <cell r="E116">
            <v>15.5</v>
          </cell>
          <cell r="F116">
            <v>0.45</v>
          </cell>
          <cell r="G116">
            <v>0.6</v>
          </cell>
        </row>
        <row r="117">
          <cell r="A117" t="str">
            <v>35021</v>
          </cell>
          <cell r="B117" t="str">
            <v>GN GF Stick Joint Health Sm</v>
          </cell>
          <cell r="C117" t="str">
            <v>Sm</v>
          </cell>
          <cell r="D117">
            <v>12</v>
          </cell>
          <cell r="E117">
            <v>15.5</v>
          </cell>
          <cell r="F117">
            <v>0.45</v>
          </cell>
          <cell r="G117">
            <v>0.6</v>
          </cell>
        </row>
        <row r="118">
          <cell r="A118" t="str">
            <v>35022</v>
          </cell>
          <cell r="B118" t="str">
            <v xml:space="preserve">GN GF Stick Joint Health Lg WIP </v>
          </cell>
          <cell r="C118" t="str">
            <v>LG</v>
          </cell>
          <cell r="D118">
            <v>12</v>
          </cell>
          <cell r="E118">
            <v>15.5</v>
          </cell>
          <cell r="F118">
            <v>0.45</v>
          </cell>
          <cell r="G118">
            <v>0.6</v>
          </cell>
        </row>
        <row r="119">
          <cell r="A119" t="str">
            <v>35031</v>
          </cell>
          <cell r="B119" t="str">
            <v>GN Stick Weight Mngt Sm WIP</v>
          </cell>
          <cell r="C119" t="str">
            <v>Sm</v>
          </cell>
          <cell r="D119">
            <v>12</v>
          </cell>
          <cell r="E119">
            <v>15.5</v>
          </cell>
          <cell r="F119">
            <v>0.45</v>
          </cell>
          <cell r="G119">
            <v>0.6</v>
          </cell>
        </row>
        <row r="120">
          <cell r="A120" t="str">
            <v>35032</v>
          </cell>
          <cell r="B120" t="str">
            <v>GN Stick Weight Mngt Lg</v>
          </cell>
          <cell r="C120" t="str">
            <v>Lg</v>
          </cell>
          <cell r="D120">
            <v>12</v>
          </cell>
          <cell r="E120">
            <v>15.5</v>
          </cell>
          <cell r="F120">
            <v>0.45</v>
          </cell>
          <cell r="G120">
            <v>0.6</v>
          </cell>
        </row>
        <row r="121">
          <cell r="A121" t="str">
            <v>35041</v>
          </cell>
          <cell r="B121" t="str">
            <v>GN GF  Stick Puppy Sm WIP 200P</v>
          </cell>
          <cell r="C121" t="str">
            <v>Sm</v>
          </cell>
          <cell r="D121">
            <v>12</v>
          </cell>
          <cell r="E121">
            <v>15.5</v>
          </cell>
          <cell r="F121">
            <v>0.45</v>
          </cell>
          <cell r="G121">
            <v>0.6</v>
          </cell>
        </row>
        <row r="122">
          <cell r="A122" t="str">
            <v>35051</v>
          </cell>
          <cell r="B122" t="str">
            <v>GN Stick Antioxidant Sm WIP</v>
          </cell>
          <cell r="C122" t="str">
            <v>N/A</v>
          </cell>
          <cell r="D122">
            <v>12</v>
          </cell>
          <cell r="E122">
            <v>15.5</v>
          </cell>
          <cell r="F122">
            <v>0.45</v>
          </cell>
          <cell r="G122">
            <v>0.6</v>
          </cell>
        </row>
        <row r="123">
          <cell r="A123" t="str">
            <v>35052</v>
          </cell>
          <cell r="B123" t="str">
            <v>GN Stick Antioxidant Lg</v>
          </cell>
          <cell r="C123" t="str">
            <v>N/A</v>
          </cell>
          <cell r="D123">
            <v>12</v>
          </cell>
          <cell r="E123">
            <v>15.5</v>
          </cell>
          <cell r="F123">
            <v>0.45</v>
          </cell>
          <cell r="G123">
            <v>0.6</v>
          </cell>
        </row>
        <row r="124">
          <cell r="A124" t="str">
            <v>35061</v>
          </cell>
          <cell r="B124" t="str">
            <v>GN  Sticks skin&amp; coat minin  WIP</v>
          </cell>
          <cell r="C124" t="str">
            <v>N/A</v>
          </cell>
          <cell r="D124">
            <v>12</v>
          </cell>
          <cell r="E124">
            <v>15.5</v>
          </cell>
          <cell r="F124">
            <v>0.45</v>
          </cell>
          <cell r="G124">
            <v>0.6</v>
          </cell>
        </row>
        <row r="125">
          <cell r="A125" t="str">
            <v>35061N</v>
          </cell>
          <cell r="B125" t="str">
            <v>GN GF Stick Skin &amp; Coat Sm WIP 200P</v>
          </cell>
          <cell r="C125" t="str">
            <v>N/A</v>
          </cell>
          <cell r="D125">
            <v>12</v>
          </cell>
          <cell r="E125">
            <v>15.5</v>
          </cell>
          <cell r="F125">
            <v>0.45</v>
          </cell>
          <cell r="G125">
            <v>0.6</v>
          </cell>
        </row>
        <row r="126">
          <cell r="A126" t="str">
            <v>35062</v>
          </cell>
          <cell r="B126" t="str">
            <v>GN  Sticks skin&amp; coat Health LG</v>
          </cell>
          <cell r="C126" t="str">
            <v>N/A</v>
          </cell>
          <cell r="D126">
            <v>12</v>
          </cell>
          <cell r="E126">
            <v>15.5</v>
          </cell>
          <cell r="F126">
            <v>0.45</v>
          </cell>
          <cell r="G126">
            <v>0.6</v>
          </cell>
        </row>
        <row r="127">
          <cell r="A127" t="str">
            <v>35062N</v>
          </cell>
          <cell r="B127" t="str">
            <v>GN GF Stick Skin&amp;Coat Lg WIP 200P</v>
          </cell>
          <cell r="C127" t="str">
            <v>N/A</v>
          </cell>
          <cell r="D127">
            <v>12</v>
          </cell>
          <cell r="E127">
            <v>15.5</v>
          </cell>
          <cell r="F127">
            <v>0.45</v>
          </cell>
          <cell r="G127">
            <v>0.6</v>
          </cell>
        </row>
        <row r="128">
          <cell r="A128" t="str">
            <v>35063</v>
          </cell>
          <cell r="B128" t="str">
            <v>GN  Sticks skin&amp; coat Health LG</v>
          </cell>
          <cell r="C128" t="str">
            <v>N/A</v>
          </cell>
          <cell r="D128">
            <v>12</v>
          </cell>
          <cell r="E128">
            <v>15.5</v>
          </cell>
          <cell r="F128">
            <v>0.45</v>
          </cell>
          <cell r="G128">
            <v>0.6</v>
          </cell>
        </row>
        <row r="129">
          <cell r="A129" t="str">
            <v>35064</v>
          </cell>
          <cell r="B129" t="str">
            <v>GN  Sticks skin&amp; coat Health LG</v>
          </cell>
          <cell r="C129" t="str">
            <v>N/A</v>
          </cell>
          <cell r="D129">
            <v>12</v>
          </cell>
          <cell r="E129">
            <v>15.5</v>
          </cell>
          <cell r="F129">
            <v>0.45</v>
          </cell>
          <cell r="G129">
            <v>0.6</v>
          </cell>
        </row>
        <row r="130">
          <cell r="A130" t="str">
            <v>35091</v>
          </cell>
          <cell r="B130" t="str">
            <v>GN Stick Calming Sm</v>
          </cell>
          <cell r="C130" t="str">
            <v>Sm</v>
          </cell>
          <cell r="D130">
            <v>12</v>
          </cell>
          <cell r="E130">
            <v>15.5</v>
          </cell>
          <cell r="F130">
            <v>0.45</v>
          </cell>
          <cell r="G130">
            <v>0.6</v>
          </cell>
        </row>
        <row r="131">
          <cell r="A131" t="str">
            <v>35092</v>
          </cell>
          <cell r="B131" t="str">
            <v>GN Stick Calming Lg</v>
          </cell>
          <cell r="C131" t="str">
            <v>Lg</v>
          </cell>
          <cell r="D131">
            <v>12</v>
          </cell>
          <cell r="E131">
            <v>15.5</v>
          </cell>
          <cell r="F131">
            <v>0.45</v>
          </cell>
          <cell r="G131">
            <v>0.6</v>
          </cell>
        </row>
        <row r="132">
          <cell r="A132" t="str">
            <v>35101</v>
          </cell>
          <cell r="B132" t="str">
            <v>GN Stick Senior Sm</v>
          </cell>
          <cell r="C132" t="str">
            <v>Sm</v>
          </cell>
          <cell r="D132">
            <v>12</v>
          </cell>
          <cell r="E132">
            <v>15.5</v>
          </cell>
          <cell r="F132">
            <v>0.45</v>
          </cell>
          <cell r="G132">
            <v>0.6</v>
          </cell>
        </row>
        <row r="133">
          <cell r="A133" t="str">
            <v>35102</v>
          </cell>
          <cell r="B133" t="str">
            <v>GN Stick Senior  Lg</v>
          </cell>
          <cell r="C133" t="str">
            <v>Lg</v>
          </cell>
          <cell r="D133">
            <v>12</v>
          </cell>
          <cell r="E133">
            <v>15.5</v>
          </cell>
          <cell r="F133">
            <v>0.45</v>
          </cell>
          <cell r="G133">
            <v>0.6</v>
          </cell>
        </row>
        <row r="134">
          <cell r="A134" t="str">
            <v>37001</v>
          </cell>
          <cell r="B134" t="str">
            <v xml:space="preserve">Get Naked Dental Health Sm Bone </v>
          </cell>
          <cell r="C134" t="str">
            <v>N/A</v>
          </cell>
          <cell r="D134">
            <v>11</v>
          </cell>
          <cell r="E134">
            <v>15</v>
          </cell>
          <cell r="F134">
            <v>0.45</v>
          </cell>
          <cell r="G134">
            <v>0.6</v>
          </cell>
        </row>
        <row r="135">
          <cell r="A135" t="str">
            <v>37002</v>
          </cell>
          <cell r="B135" t="str">
            <v xml:space="preserve">Get Naked Dental Health Med Bone </v>
          </cell>
          <cell r="C135" t="str">
            <v>N/A</v>
          </cell>
          <cell r="D135">
            <v>11</v>
          </cell>
          <cell r="E135">
            <v>15</v>
          </cell>
          <cell r="F135">
            <v>0.45</v>
          </cell>
          <cell r="G135">
            <v>0.6</v>
          </cell>
        </row>
        <row r="136">
          <cell r="A136" t="str">
            <v>37003</v>
          </cell>
          <cell r="B136" t="str">
            <v xml:space="preserve">Get Naked Dental Health Lg Bone </v>
          </cell>
          <cell r="C136" t="str">
            <v>N/A</v>
          </cell>
          <cell r="D136">
            <v>11</v>
          </cell>
          <cell r="E136">
            <v>15</v>
          </cell>
          <cell r="F136">
            <v>0.45</v>
          </cell>
          <cell r="G136">
            <v>0.6</v>
          </cell>
        </row>
        <row r="137">
          <cell r="A137" t="str">
            <v>37022</v>
          </cell>
          <cell r="B137" t="str">
            <v>GN DentalBone Chicken Md WIP</v>
          </cell>
          <cell r="C137" t="str">
            <v>Md</v>
          </cell>
          <cell r="D137">
            <v>12.5</v>
          </cell>
          <cell r="E137">
            <v>15</v>
          </cell>
          <cell r="F137">
            <v>0.45</v>
          </cell>
          <cell r="G137">
            <v>0.6</v>
          </cell>
        </row>
        <row r="138">
          <cell r="A138" t="str">
            <v>37100</v>
          </cell>
          <cell r="B138" t="str">
            <v>Mega Bone Cheeseburger</v>
          </cell>
          <cell r="C138" t="str">
            <v>N/A</v>
          </cell>
          <cell r="D138">
            <v>12</v>
          </cell>
          <cell r="E138">
            <v>15</v>
          </cell>
          <cell r="F138">
            <v>0.45</v>
          </cell>
          <cell r="G138">
            <v>0.62</v>
          </cell>
        </row>
        <row r="139">
          <cell r="A139" t="str">
            <v>37200</v>
          </cell>
          <cell r="B139" t="str">
            <v>Mega Bone Mac n' Cheese</v>
          </cell>
          <cell r="C139" t="str">
            <v>N/A</v>
          </cell>
          <cell r="D139">
            <v>12</v>
          </cell>
          <cell r="E139">
            <v>15</v>
          </cell>
          <cell r="F139">
            <v>0.45</v>
          </cell>
          <cell r="G139">
            <v>0.62</v>
          </cell>
        </row>
        <row r="140">
          <cell r="A140" t="str">
            <v>37300</v>
          </cell>
          <cell r="B140" t="str">
            <v>Mega Bone PBJ WIP</v>
          </cell>
          <cell r="C140" t="str">
            <v>Mega</v>
          </cell>
          <cell r="D140">
            <v>12</v>
          </cell>
          <cell r="E140">
            <v>15</v>
          </cell>
          <cell r="F140">
            <v>0.45</v>
          </cell>
          <cell r="G140">
            <v>0.62</v>
          </cell>
        </row>
        <row r="141">
          <cell r="A141" t="str">
            <v>37400</v>
          </cell>
          <cell r="B141" t="str">
            <v>Mega Bone Blueberry &amp; Pumpkin</v>
          </cell>
          <cell r="C141" t="str">
            <v>N/A</v>
          </cell>
          <cell r="D141">
            <v>12</v>
          </cell>
          <cell r="E141">
            <v>15</v>
          </cell>
          <cell r="F141">
            <v>0.45</v>
          </cell>
          <cell r="G141">
            <v>0.62</v>
          </cell>
        </row>
        <row r="142">
          <cell r="A142" t="str">
            <v>05601</v>
          </cell>
          <cell r="B142" t="str">
            <v>H-E-B Tough Stuffed Pumpkin Pie</v>
          </cell>
          <cell r="C142" t="str">
            <v>N/A</v>
          </cell>
          <cell r="D142">
            <v>12</v>
          </cell>
          <cell r="E142">
            <v>15</v>
          </cell>
          <cell r="F142">
            <v>0.45</v>
          </cell>
          <cell r="G142">
            <v>0.62</v>
          </cell>
        </row>
        <row r="143">
          <cell r="A143" t="str">
            <v>38000</v>
          </cell>
          <cell r="B143" t="str">
            <v>N-Bone Vegan BBQ Lg WIP</v>
          </cell>
          <cell r="C143" t="str">
            <v>Lg</v>
          </cell>
          <cell r="D143">
            <v>11</v>
          </cell>
          <cell r="E143">
            <v>14</v>
          </cell>
          <cell r="F143">
            <v>0.35</v>
          </cell>
          <cell r="G143">
            <v>0.62</v>
          </cell>
        </row>
        <row r="144">
          <cell r="A144" t="str">
            <v>38001</v>
          </cell>
          <cell r="B144" t="str">
            <v>N-Bone Barbeque Sm WIP</v>
          </cell>
          <cell r="C144" t="str">
            <v>Sm</v>
          </cell>
          <cell r="D144">
            <v>11</v>
          </cell>
          <cell r="E144">
            <v>14</v>
          </cell>
          <cell r="F144">
            <v>0.35</v>
          </cell>
          <cell r="G144">
            <v>0.62</v>
          </cell>
        </row>
        <row r="145">
          <cell r="A145" t="str">
            <v>38100</v>
          </cell>
          <cell r="B145" t="str">
            <v>N-Bone Vegan Peanut Butter Lg WIP</v>
          </cell>
          <cell r="C145" t="str">
            <v>Lg</v>
          </cell>
          <cell r="D145">
            <v>11</v>
          </cell>
          <cell r="E145">
            <v>14</v>
          </cell>
          <cell r="F145">
            <v>0.35</v>
          </cell>
          <cell r="G145">
            <v>0.62</v>
          </cell>
        </row>
        <row r="146">
          <cell r="A146" t="str">
            <v>38101</v>
          </cell>
          <cell r="B146" t="str">
            <v>N-Bone Pumpkin Sm WIP</v>
          </cell>
          <cell r="C146" t="str">
            <v>Sm</v>
          </cell>
          <cell r="D146">
            <v>11</v>
          </cell>
          <cell r="E146">
            <v>14</v>
          </cell>
          <cell r="F146">
            <v>0.35</v>
          </cell>
          <cell r="G146">
            <v>0.62</v>
          </cell>
        </row>
        <row r="147">
          <cell r="A147" t="str">
            <v>38200</v>
          </cell>
          <cell r="B147" t="str">
            <v>N-Bone Vegan Pumpkin WIP</v>
          </cell>
          <cell r="C147" t="str">
            <v>Lg</v>
          </cell>
          <cell r="D147">
            <v>11</v>
          </cell>
          <cell r="E147">
            <v>14</v>
          </cell>
          <cell r="F147">
            <v>0.35</v>
          </cell>
          <cell r="G147">
            <v>0.62</v>
          </cell>
        </row>
        <row r="148">
          <cell r="A148" t="str">
            <v>38201</v>
          </cell>
          <cell r="B148" t="str">
            <v>N-Bone Peanut Butter Sm WIP</v>
          </cell>
          <cell r="C148" t="str">
            <v>Sm</v>
          </cell>
          <cell r="D148">
            <v>11</v>
          </cell>
          <cell r="E148">
            <v>14</v>
          </cell>
          <cell r="F148">
            <v>0.35</v>
          </cell>
          <cell r="G148">
            <v>0.62</v>
          </cell>
        </row>
        <row r="149">
          <cell r="A149" t="str">
            <v>39210</v>
          </cell>
          <cell r="B149" t="str">
            <v>SWD Dental Bone WIP Veg Fusion</v>
          </cell>
          <cell r="C149" t="str">
            <v>N/A</v>
          </cell>
          <cell r="D149">
            <v>11</v>
          </cell>
          <cell r="E149">
            <v>15</v>
          </cell>
          <cell r="F149">
            <v>0.45</v>
          </cell>
          <cell r="G149">
            <v>0.6</v>
          </cell>
        </row>
        <row r="150">
          <cell r="A150" t="str">
            <v>39211</v>
          </cell>
          <cell r="B150" t="str">
            <v>SWD Dental Bone WIP Veg Fusion US</v>
          </cell>
          <cell r="C150" t="str">
            <v>N/A</v>
          </cell>
          <cell r="D150">
            <v>11</v>
          </cell>
          <cell r="E150">
            <v>16</v>
          </cell>
          <cell r="F150">
            <v>0.45</v>
          </cell>
          <cell r="G150">
            <v>0.6</v>
          </cell>
        </row>
        <row r="151">
          <cell r="A151" t="str">
            <v>39220</v>
          </cell>
          <cell r="B151" t="str">
            <v>SWD Dental Bone WIP Veg Fusion EU</v>
          </cell>
          <cell r="C151" t="str">
            <v>N/A</v>
          </cell>
          <cell r="D151">
            <v>11</v>
          </cell>
          <cell r="E151">
            <v>15</v>
          </cell>
          <cell r="F151">
            <v>0.45</v>
          </cell>
          <cell r="G151">
            <v>0.6</v>
          </cell>
        </row>
        <row r="152">
          <cell r="A152" t="str">
            <v>39221</v>
          </cell>
          <cell r="B152" t="str">
            <v>SWD Dental Bone WIP Veg New</v>
          </cell>
          <cell r="C152" t="str">
            <v>Mini</v>
          </cell>
          <cell r="D152">
            <v>11</v>
          </cell>
          <cell r="E152">
            <v>16</v>
          </cell>
          <cell r="F152">
            <v>0.45</v>
          </cell>
          <cell r="G152">
            <v>0.6</v>
          </cell>
        </row>
        <row r="153">
          <cell r="A153" t="str">
            <v>39319</v>
          </cell>
          <cell r="B153" t="str">
            <v>SWD Dental Bone WIP Turkey Fla</v>
          </cell>
          <cell r="C153" t="str">
            <v>N/A</v>
          </cell>
          <cell r="D153">
            <v>11</v>
          </cell>
          <cell r="E153">
            <v>15</v>
          </cell>
          <cell r="F153">
            <v>0.45</v>
          </cell>
          <cell r="G153">
            <v>0.6</v>
          </cell>
        </row>
        <row r="154">
          <cell r="A154" t="str">
            <v>39321</v>
          </cell>
          <cell r="B154" t="str">
            <v>SWD Dental Bone WIP Turkey Fla</v>
          </cell>
          <cell r="C154" t="str">
            <v>Reg</v>
          </cell>
          <cell r="D154">
            <v>11</v>
          </cell>
          <cell r="E154">
            <v>15</v>
          </cell>
          <cell r="F154">
            <v>0.45</v>
          </cell>
          <cell r="G154">
            <v>0.6</v>
          </cell>
        </row>
        <row r="155">
          <cell r="A155" t="str">
            <v>39418</v>
          </cell>
          <cell r="B155" t="str">
            <v>SWD Dental Bone WIP Chikn Flvr</v>
          </cell>
          <cell r="C155" t="str">
            <v>N/A</v>
          </cell>
          <cell r="D155">
            <v>11</v>
          </cell>
          <cell r="E155">
            <v>15</v>
          </cell>
          <cell r="F155">
            <v>0.45</v>
          </cell>
          <cell r="G155">
            <v>0.6</v>
          </cell>
        </row>
        <row r="156">
          <cell r="A156" t="str">
            <v>39421</v>
          </cell>
          <cell r="B156" t="str">
            <v>SWD Dental Bone WIP Chikn Flvr</v>
          </cell>
          <cell r="C156" t="str">
            <v>Reg</v>
          </cell>
          <cell r="D156">
            <v>11</v>
          </cell>
          <cell r="E156">
            <v>15</v>
          </cell>
          <cell r="F156">
            <v>0.45</v>
          </cell>
          <cell r="G156">
            <v>0.6</v>
          </cell>
        </row>
        <row r="157">
          <cell r="A157" t="str">
            <v>39517</v>
          </cell>
          <cell r="B157" t="str">
            <v>SWD Dental Bone WIP Bacon Flvr</v>
          </cell>
          <cell r="C157" t="str">
            <v>N/A</v>
          </cell>
          <cell r="D157">
            <v>11</v>
          </cell>
          <cell r="E157">
            <v>15</v>
          </cell>
          <cell r="F157">
            <v>0.45</v>
          </cell>
          <cell r="G157">
            <v>0.6</v>
          </cell>
        </row>
        <row r="158">
          <cell r="A158" t="str">
            <v>39521</v>
          </cell>
          <cell r="B158" t="str">
            <v>SWD DB Bacon Flavor Reg</v>
          </cell>
          <cell r="C158" t="str">
            <v>N/A</v>
          </cell>
          <cell r="D158">
            <v>11</v>
          </cell>
          <cell r="E158">
            <v>15</v>
          </cell>
          <cell r="F158">
            <v>0.5</v>
          </cell>
          <cell r="G158">
            <v>0.6</v>
          </cell>
        </row>
        <row r="159">
          <cell r="A159" t="str">
            <v>39611</v>
          </cell>
          <cell r="B159" t="str">
            <v>SWD Dental Bone WIP Bison Flav</v>
          </cell>
          <cell r="C159" t="str">
            <v>N/A</v>
          </cell>
          <cell r="D159">
            <v>11</v>
          </cell>
          <cell r="E159">
            <v>15</v>
          </cell>
          <cell r="F159">
            <v>0.45</v>
          </cell>
          <cell r="G159">
            <v>0.6</v>
          </cell>
        </row>
        <row r="160">
          <cell r="A160" t="str">
            <v>39711</v>
          </cell>
          <cell r="B160" t="str">
            <v>SWD Dental Bone WIP Veg&amp;Blueberry</v>
          </cell>
          <cell r="C160" t="str">
            <v>Mini</v>
          </cell>
          <cell r="D160">
            <v>11</v>
          </cell>
          <cell r="E160">
            <v>16</v>
          </cell>
          <cell r="F160">
            <v>0.45</v>
          </cell>
          <cell r="G160">
            <v>0.6</v>
          </cell>
        </row>
        <row r="161">
          <cell r="A161" t="str">
            <v>39721</v>
          </cell>
          <cell r="B161" t="str">
            <v>SWD DB Peanut Butter&amp;Banana Mn</v>
          </cell>
          <cell r="C161" t="str">
            <v>Mini</v>
          </cell>
          <cell r="D161">
            <v>11</v>
          </cell>
          <cell r="E161">
            <v>15</v>
          </cell>
          <cell r="F161">
            <v>0.5</v>
          </cell>
          <cell r="G161">
            <v>0.6</v>
          </cell>
        </row>
        <row r="162">
          <cell r="A162" t="str">
            <v>39821</v>
          </cell>
          <cell r="B162" t="str">
            <v>SWD DB Veggie &amp;Blueberry Mn</v>
          </cell>
          <cell r="C162" t="str">
            <v>Mini</v>
          </cell>
          <cell r="D162">
            <v>11</v>
          </cell>
          <cell r="E162">
            <v>15</v>
          </cell>
          <cell r="F162">
            <v>0.45</v>
          </cell>
          <cell r="G162">
            <v>0.6</v>
          </cell>
        </row>
        <row r="163">
          <cell r="A163" t="str">
            <v>46062</v>
          </cell>
          <cell r="B163" t="str">
            <v>SWD DB Peanut Butter &amp; Bacon Mn</v>
          </cell>
          <cell r="C163" t="str">
            <v>Mini</v>
          </cell>
          <cell r="D163">
            <v>11</v>
          </cell>
          <cell r="E163">
            <v>15</v>
          </cell>
          <cell r="F163">
            <v>0.5</v>
          </cell>
          <cell r="G163">
            <v>0.6</v>
          </cell>
        </row>
        <row r="164">
          <cell r="A164" t="str">
            <v>40011</v>
          </cell>
          <cell r="B164" t="str">
            <v>Kane Dental Sticks Sm WIP</v>
          </cell>
          <cell r="C164" t="str">
            <v>Sm</v>
          </cell>
          <cell r="D164">
            <v>12</v>
          </cell>
          <cell r="E164">
            <v>15</v>
          </cell>
          <cell r="F164">
            <v>0.45</v>
          </cell>
          <cell r="G164">
            <v>0.6</v>
          </cell>
        </row>
        <row r="165">
          <cell r="A165" t="str">
            <v>40013</v>
          </cell>
          <cell r="B165" t="str">
            <v>Kane Dental Sticks Med WIP</v>
          </cell>
          <cell r="C165" t="str">
            <v>Md</v>
          </cell>
          <cell r="D165">
            <v>12</v>
          </cell>
          <cell r="E165">
            <v>15</v>
          </cell>
          <cell r="F165">
            <v>0.45</v>
          </cell>
          <cell r="G165">
            <v>0.6</v>
          </cell>
        </row>
        <row r="166">
          <cell r="A166" t="str">
            <v>42021</v>
          </cell>
          <cell r="B166" t="str">
            <v>Stashio DS Hip &amp; Joint</v>
          </cell>
          <cell r="C166" t="str">
            <v>N/A</v>
          </cell>
          <cell r="D166">
            <v>11</v>
          </cell>
          <cell r="E166">
            <v>15</v>
          </cell>
          <cell r="F166">
            <v>0.5</v>
          </cell>
          <cell r="G166">
            <v>0.6</v>
          </cell>
        </row>
        <row r="167">
          <cell r="A167" t="str">
            <v>42031</v>
          </cell>
          <cell r="B167" t="str">
            <v>Stashio DS Skin Coat</v>
          </cell>
          <cell r="C167" t="str">
            <v>N/A</v>
          </cell>
          <cell r="D167">
            <v>11</v>
          </cell>
          <cell r="E167">
            <v>15</v>
          </cell>
          <cell r="F167">
            <v>0.5</v>
          </cell>
          <cell r="G167">
            <v>0.6</v>
          </cell>
        </row>
        <row r="168">
          <cell r="A168" t="str">
            <v>43511</v>
          </cell>
          <cell r="B168" t="str">
            <v>Target Twist WIP</v>
          </cell>
          <cell r="C168" t="str">
            <v>NA</v>
          </cell>
          <cell r="D168">
            <v>10</v>
          </cell>
          <cell r="E168">
            <v>15</v>
          </cell>
          <cell r="F168">
            <v>0.45</v>
          </cell>
          <cell r="G168" t="str">
            <v>0.60</v>
          </cell>
        </row>
        <row r="169">
          <cell r="A169" t="str">
            <v>45011</v>
          </cell>
          <cell r="B169" t="str">
            <v>Nerf chicken</v>
          </cell>
          <cell r="C169" t="str">
            <v>N/A</v>
          </cell>
          <cell r="D169">
            <v>11</v>
          </cell>
          <cell r="E169">
            <v>15</v>
          </cell>
          <cell r="F169">
            <v>0.45</v>
          </cell>
          <cell r="G169">
            <v>0.6</v>
          </cell>
        </row>
        <row r="170">
          <cell r="A170" t="str">
            <v>45021</v>
          </cell>
          <cell r="B170" t="str">
            <v>Nerf  Bacon</v>
          </cell>
          <cell r="C170" t="str">
            <v>N/A</v>
          </cell>
          <cell r="D170">
            <v>11</v>
          </cell>
          <cell r="E170">
            <v>15</v>
          </cell>
          <cell r="F170">
            <v>0.45</v>
          </cell>
          <cell r="G170">
            <v>0.6</v>
          </cell>
        </row>
        <row r="171">
          <cell r="A171" t="str">
            <v>46021</v>
          </cell>
          <cell r="B171" t="str">
            <v>SWD Dog Digestive</v>
          </cell>
          <cell r="C171" t="str">
            <v>N/A</v>
          </cell>
          <cell r="D171">
            <v>14</v>
          </cell>
          <cell r="E171">
            <v>22</v>
          </cell>
          <cell r="F171">
            <v>0.4</v>
          </cell>
          <cell r="G171">
            <v>0.6</v>
          </cell>
        </row>
        <row r="172">
          <cell r="A172" t="str">
            <v>46031</v>
          </cell>
          <cell r="B172" t="str">
            <v>SWD Dog Hip Joint</v>
          </cell>
          <cell r="C172" t="str">
            <v>N/A</v>
          </cell>
          <cell r="D172">
            <v>14</v>
          </cell>
          <cell r="E172">
            <v>22</v>
          </cell>
          <cell r="F172">
            <v>0.4</v>
          </cell>
          <cell r="G172">
            <v>0.6</v>
          </cell>
        </row>
        <row r="173">
          <cell r="A173" t="str">
            <v>46041</v>
          </cell>
          <cell r="B173" t="str">
            <v>SWD Puppy Treat for Dog</v>
          </cell>
          <cell r="C173" t="str">
            <v>N/A</v>
          </cell>
          <cell r="D173">
            <v>14</v>
          </cell>
          <cell r="E173">
            <v>22</v>
          </cell>
          <cell r="F173">
            <v>0.4</v>
          </cell>
          <cell r="G173">
            <v>0.6</v>
          </cell>
        </row>
        <row r="174">
          <cell r="A174" t="str">
            <v>46051</v>
          </cell>
          <cell r="B174" t="str">
            <v>SWD Cat Digestive for Cat</v>
          </cell>
          <cell r="C174" t="str">
            <v>N/A</v>
          </cell>
          <cell r="D174">
            <v>14</v>
          </cell>
          <cell r="E174">
            <v>22</v>
          </cell>
          <cell r="F174">
            <v>0.4</v>
          </cell>
          <cell r="G174">
            <v>0.6</v>
          </cell>
        </row>
        <row r="175">
          <cell r="A175" t="str">
            <v>46061</v>
          </cell>
          <cell r="B175" t="str">
            <v>SWD MB Kitten</v>
          </cell>
          <cell r="C175" t="str">
            <v>N/A</v>
          </cell>
          <cell r="D175">
            <v>14</v>
          </cell>
          <cell r="E175">
            <v>22</v>
          </cell>
          <cell r="F175">
            <v>0.4</v>
          </cell>
          <cell r="G175">
            <v>0.6</v>
          </cell>
        </row>
        <row r="176">
          <cell r="A176" t="str">
            <v>46072</v>
          </cell>
          <cell r="B176" t="str">
            <v xml:space="preserve">SWD Dental Bone WIP Veggie Mint </v>
          </cell>
          <cell r="C176" t="str">
            <v>Mini</v>
          </cell>
          <cell r="D176">
            <v>11</v>
          </cell>
          <cell r="E176">
            <v>16</v>
          </cell>
          <cell r="F176">
            <v>0.45</v>
          </cell>
          <cell r="G176">
            <v>0.6</v>
          </cell>
        </row>
        <row r="177">
          <cell r="A177" t="str">
            <v>46082</v>
          </cell>
          <cell r="B177" t="str">
            <v>SWD PB Bacon WIP</v>
          </cell>
          <cell r="C177" t="str">
            <v>N/A</v>
          </cell>
          <cell r="D177">
            <v>10</v>
          </cell>
          <cell r="E177">
            <v>15</v>
          </cell>
          <cell r="F177">
            <v>0.45</v>
          </cell>
          <cell r="G177">
            <v>0.6</v>
          </cell>
        </row>
        <row r="178">
          <cell r="A178" t="str">
            <v>47003</v>
          </cell>
          <cell r="B178" t="str">
            <v>Bocc Candy Cane Sticks</v>
          </cell>
          <cell r="C178" t="str">
            <v>Lg</v>
          </cell>
          <cell r="D178">
            <v>12</v>
          </cell>
          <cell r="E178">
            <v>15</v>
          </cell>
          <cell r="F178">
            <v>0.5</v>
          </cell>
          <cell r="G178">
            <v>0.6</v>
          </cell>
        </row>
        <row r="179">
          <cell r="A179" t="str">
            <v>48001</v>
          </cell>
          <cell r="B179" t="str">
            <v>Stella &amp; Chewy Dental Treats XS WIP</v>
          </cell>
          <cell r="C179" t="str">
            <v>XS</v>
          </cell>
          <cell r="D179">
            <v>10</v>
          </cell>
          <cell r="E179">
            <v>15</v>
          </cell>
          <cell r="F179">
            <v>0.45</v>
          </cell>
          <cell r="G179">
            <v>0.6</v>
          </cell>
        </row>
        <row r="180">
          <cell r="A180" t="str">
            <v>48002</v>
          </cell>
          <cell r="B180" t="str">
            <v>Stella &amp; Chewy Dental Treats SM WIP</v>
          </cell>
          <cell r="C180" t="str">
            <v>SM</v>
          </cell>
          <cell r="D180">
            <v>10</v>
          </cell>
          <cell r="E180">
            <v>15</v>
          </cell>
          <cell r="F180" t="str">
            <v>0.45</v>
          </cell>
          <cell r="G180">
            <v>0.6</v>
          </cell>
        </row>
        <row r="181">
          <cell r="A181" t="str">
            <v>48003</v>
          </cell>
          <cell r="B181" t="str">
            <v>Stella &amp; Chewy Dental Treats MD WIP</v>
          </cell>
          <cell r="C181" t="str">
            <v>MD</v>
          </cell>
          <cell r="D181">
            <v>10</v>
          </cell>
          <cell r="E181">
            <v>15</v>
          </cell>
          <cell r="F181" t="str">
            <v>0.45</v>
          </cell>
          <cell r="G181">
            <v>0.6</v>
          </cell>
        </row>
        <row r="182">
          <cell r="A182" t="str">
            <v>48004</v>
          </cell>
          <cell r="B182" t="str">
            <v>Stella &amp; Chewy Dental Treats LG WIP</v>
          </cell>
          <cell r="C182" t="str">
            <v>LG</v>
          </cell>
          <cell r="D182">
            <v>10</v>
          </cell>
          <cell r="E182">
            <v>15</v>
          </cell>
          <cell r="F182" t="str">
            <v>0.45</v>
          </cell>
          <cell r="G182">
            <v>0.6</v>
          </cell>
        </row>
        <row r="183">
          <cell r="A183" t="str">
            <v>48501</v>
          </cell>
          <cell r="B183" t="str">
            <v>Kindfull Alt Rawhide Femur</v>
          </cell>
          <cell r="C183" t="str">
            <v>LG</v>
          </cell>
          <cell r="D183">
            <v>10</v>
          </cell>
          <cell r="E183">
            <v>15</v>
          </cell>
          <cell r="F183">
            <v>0.45</v>
          </cell>
          <cell r="G183" t="str">
            <v>0.60</v>
          </cell>
        </row>
        <row r="184">
          <cell r="A184" t="str">
            <v>48511</v>
          </cell>
          <cell r="B184" t="str">
            <v>Kindfull Alt Rawhide Twist WIP</v>
          </cell>
          <cell r="C184" t="str">
            <v>NA</v>
          </cell>
          <cell r="D184">
            <v>10</v>
          </cell>
          <cell r="E184">
            <v>15</v>
          </cell>
          <cell r="F184">
            <v>0.45</v>
          </cell>
          <cell r="G184" t="str">
            <v>0.60</v>
          </cell>
        </row>
        <row r="185">
          <cell r="A185" t="str">
            <v>48521</v>
          </cell>
          <cell r="B185" t="str">
            <v>Kindful Alt Molded Nubz WIP</v>
          </cell>
          <cell r="C185" t="str">
            <v>XL</v>
          </cell>
          <cell r="D185">
            <v>12</v>
          </cell>
          <cell r="E185">
            <v>15.5</v>
          </cell>
          <cell r="F185">
            <v>0.45</v>
          </cell>
          <cell r="G185">
            <v>0.62</v>
          </cell>
        </row>
        <row r="186">
          <cell r="A186" t="str">
            <v>48531</v>
          </cell>
          <cell r="B186" t="str">
            <v>Kindfull Hide Free Puppy Chews</v>
          </cell>
          <cell r="C186" t="str">
            <v>NA</v>
          </cell>
          <cell r="D186">
            <v>10</v>
          </cell>
          <cell r="E186">
            <v>15</v>
          </cell>
          <cell r="F186">
            <v>0.45</v>
          </cell>
          <cell r="G186">
            <v>0.6</v>
          </cell>
        </row>
        <row r="187">
          <cell r="A187" t="str">
            <v>48541</v>
          </cell>
          <cell r="B187" t="str">
            <v>Kindfull Rawhide-Free Interactive Dog Chew - Quado</v>
          </cell>
          <cell r="C187" t="str">
            <v>Md</v>
          </cell>
          <cell r="D187">
            <v>11</v>
          </cell>
          <cell r="E187">
            <v>15</v>
          </cell>
          <cell r="F187" t="str">
            <v>0.40</v>
          </cell>
          <cell r="G187">
            <v>0.6</v>
          </cell>
        </row>
        <row r="188">
          <cell r="A188" t="str">
            <v>51201</v>
          </cell>
          <cell r="B188" t="str">
            <v>Puppy Teething Sticks Pumpkin</v>
          </cell>
          <cell r="C188" t="str">
            <v>N/A</v>
          </cell>
          <cell r="D188">
            <v>12</v>
          </cell>
          <cell r="E188">
            <v>15.5</v>
          </cell>
          <cell r="F188">
            <v>0.5</v>
          </cell>
          <cell r="G188">
            <v>0.62</v>
          </cell>
        </row>
        <row r="189">
          <cell r="A189" t="str">
            <v>51501</v>
          </cell>
          <cell r="B189" t="str">
            <v>MY VEGAN Sweet Potato &amp; Pumpkin STICKS</v>
          </cell>
          <cell r="C189" t="str">
            <v>N/A</v>
          </cell>
          <cell r="D189">
            <v>12</v>
          </cell>
          <cell r="E189">
            <v>15</v>
          </cell>
          <cell r="F189" t="str">
            <v>0.45</v>
          </cell>
          <cell r="G189">
            <v>0.6</v>
          </cell>
        </row>
        <row r="190">
          <cell r="A190" t="str">
            <v>51551</v>
          </cell>
          <cell r="B190" t="str">
            <v>mY VEGAN Sweet Potato &amp; Carrot STICKS</v>
          </cell>
          <cell r="C190" t="str">
            <v>Sm</v>
          </cell>
          <cell r="D190">
            <v>12</v>
          </cell>
          <cell r="E190">
            <v>15</v>
          </cell>
          <cell r="F190">
            <v>0.45</v>
          </cell>
          <cell r="G190">
            <v>0.6</v>
          </cell>
        </row>
        <row r="191">
          <cell r="A191" t="str">
            <v>56021</v>
          </cell>
          <cell r="B191" t="str">
            <v>Flossta Peanut Lg WIP</v>
          </cell>
          <cell r="C191" t="str">
            <v>LG</v>
          </cell>
          <cell r="D191">
            <v>10</v>
          </cell>
          <cell r="E191">
            <v>15</v>
          </cell>
          <cell r="F191">
            <v>0.45</v>
          </cell>
          <cell r="G191" t="str">
            <v>0.60</v>
          </cell>
        </row>
        <row r="192">
          <cell r="A192" t="str">
            <v>56041</v>
          </cell>
          <cell r="B192" t="str">
            <v>Flossta Pumpkin Lg WIP</v>
          </cell>
          <cell r="C192" t="str">
            <v>LG</v>
          </cell>
          <cell r="D192">
            <v>10</v>
          </cell>
          <cell r="E192">
            <v>15</v>
          </cell>
          <cell r="F192">
            <v>0.45</v>
          </cell>
          <cell r="G192" t="str">
            <v>0.60</v>
          </cell>
        </row>
        <row r="193">
          <cell r="A193" t="str">
            <v>56081</v>
          </cell>
          <cell r="B193" t="str">
            <v>Flossta Chicken Lg WIP</v>
          </cell>
          <cell r="C193" t="str">
            <v>LG</v>
          </cell>
          <cell r="D193">
            <v>10</v>
          </cell>
          <cell r="E193">
            <v>15</v>
          </cell>
          <cell r="F193">
            <v>0.45</v>
          </cell>
          <cell r="G193" t="str">
            <v>0.60</v>
          </cell>
        </row>
        <row r="194">
          <cell r="A194" t="str">
            <v>58001</v>
          </cell>
          <cell r="B194" t="str">
            <v>Senior Dental Ring Chk</v>
          </cell>
          <cell r="C194" t="str">
            <v>N/A</v>
          </cell>
          <cell r="D194">
            <v>12</v>
          </cell>
          <cell r="E194">
            <v>15.5</v>
          </cell>
          <cell r="F194">
            <v>0.5</v>
          </cell>
          <cell r="G194">
            <v>0.63</v>
          </cell>
        </row>
        <row r="195">
          <cell r="A195" t="str">
            <v>58101</v>
          </cell>
          <cell r="B195" t="str">
            <v xml:space="preserve"> PTS Peanut Butter WIP</v>
          </cell>
          <cell r="C195" t="str">
            <v>N/A</v>
          </cell>
          <cell r="D195">
            <v>12</v>
          </cell>
          <cell r="E195">
            <v>15.5</v>
          </cell>
          <cell r="F195">
            <v>0.5</v>
          </cell>
          <cell r="G195">
            <v>0.62</v>
          </cell>
        </row>
        <row r="196">
          <cell r="A196" t="str">
            <v>58102</v>
          </cell>
          <cell r="B196" t="str">
            <v>Jumbo PTS Peanut Butter WIP</v>
          </cell>
          <cell r="C196" t="str">
            <v>Jumbo</v>
          </cell>
          <cell r="D196">
            <v>12</v>
          </cell>
          <cell r="E196">
            <v>15.5</v>
          </cell>
          <cell r="F196">
            <v>0.5</v>
          </cell>
          <cell r="G196">
            <v>0.62</v>
          </cell>
        </row>
        <row r="197">
          <cell r="A197" t="str">
            <v>58201</v>
          </cell>
          <cell r="B197" t="str">
            <v xml:space="preserve"> PTS Pumpkin WIP</v>
          </cell>
          <cell r="C197" t="str">
            <v>N/A</v>
          </cell>
          <cell r="D197">
            <v>12</v>
          </cell>
          <cell r="E197">
            <v>15.5</v>
          </cell>
          <cell r="F197">
            <v>0.5</v>
          </cell>
          <cell r="G197">
            <v>0.62</v>
          </cell>
        </row>
        <row r="198">
          <cell r="A198" t="str">
            <v>58202</v>
          </cell>
          <cell r="B198" t="str">
            <v>Jumbo PTS Pumpkin WIP</v>
          </cell>
          <cell r="C198" t="str">
            <v>Jumbo</v>
          </cell>
          <cell r="D198">
            <v>12</v>
          </cell>
          <cell r="E198">
            <v>15.5</v>
          </cell>
          <cell r="F198">
            <v>0.5</v>
          </cell>
          <cell r="G198">
            <v>0.62</v>
          </cell>
        </row>
        <row r="199">
          <cell r="A199" t="str">
            <v>63345</v>
          </cell>
          <cell r="B199" t="str">
            <v>NPIC Twistix Yogurt Mini  WIP</v>
          </cell>
          <cell r="C199" t="str">
            <v>N/A</v>
          </cell>
          <cell r="D199">
            <v>12</v>
          </cell>
          <cell r="E199">
            <v>15</v>
          </cell>
          <cell r="F199">
            <v>0.5</v>
          </cell>
          <cell r="G199">
            <v>0.6</v>
          </cell>
        </row>
        <row r="200">
          <cell r="A200" t="str">
            <v>63346</v>
          </cell>
          <cell r="B200" t="str">
            <v>NPIC Twistix Yogurt Lg  WIP</v>
          </cell>
          <cell r="C200" t="str">
            <v>N/A</v>
          </cell>
          <cell r="D200">
            <v>12</v>
          </cell>
          <cell r="E200">
            <v>15</v>
          </cell>
          <cell r="F200">
            <v>0.5</v>
          </cell>
          <cell r="G200">
            <v>0.6</v>
          </cell>
        </row>
        <row r="201">
          <cell r="A201" t="str">
            <v>63348</v>
          </cell>
          <cell r="B201" t="str">
            <v>NPIC Twistix Yogurt Small  WIP</v>
          </cell>
          <cell r="C201" t="str">
            <v>N/A</v>
          </cell>
          <cell r="D201">
            <v>12</v>
          </cell>
          <cell r="E201">
            <v>15</v>
          </cell>
          <cell r="F201">
            <v>0.5</v>
          </cell>
          <cell r="G201">
            <v>0.6</v>
          </cell>
        </row>
        <row r="202">
          <cell r="A202" t="str">
            <v>63501</v>
          </cell>
          <cell r="B202" t="str">
            <v xml:space="preserve"> TWT GF Vanilla Mint</v>
          </cell>
          <cell r="C202" t="str">
            <v>N/A</v>
          </cell>
          <cell r="D202">
            <v>12</v>
          </cell>
          <cell r="E202">
            <v>15</v>
          </cell>
          <cell r="F202">
            <v>0.5</v>
          </cell>
          <cell r="G202">
            <v>0.6</v>
          </cell>
        </row>
        <row r="203">
          <cell r="A203" t="str">
            <v>63546</v>
          </cell>
          <cell r="B203" t="str">
            <v>NPIC Twistix  Vanilla Sm WIP</v>
          </cell>
          <cell r="C203" t="str">
            <v>N/A</v>
          </cell>
          <cell r="D203">
            <v>12</v>
          </cell>
          <cell r="E203">
            <v>15</v>
          </cell>
          <cell r="F203">
            <v>0.5</v>
          </cell>
          <cell r="G203">
            <v>0.6</v>
          </cell>
        </row>
        <row r="204">
          <cell r="A204" t="str">
            <v>63548</v>
          </cell>
          <cell r="B204" t="str">
            <v>NPIC Twistix  Vanilla Lg  WIP</v>
          </cell>
          <cell r="C204" t="str">
            <v>N/A</v>
          </cell>
          <cell r="D204">
            <v>12</v>
          </cell>
          <cell r="E204">
            <v>15</v>
          </cell>
          <cell r="F204">
            <v>0.5</v>
          </cell>
          <cell r="G204">
            <v>0.6</v>
          </cell>
        </row>
        <row r="205">
          <cell r="A205" t="str">
            <v>63548-KR</v>
          </cell>
          <cell r="B205" t="str">
            <v>NPIC Twistix Vanilla Lg WIP -KR</v>
          </cell>
          <cell r="C205" t="str">
            <v>N/A</v>
          </cell>
          <cell r="D205">
            <v>11.5</v>
          </cell>
          <cell r="E205">
            <v>14</v>
          </cell>
          <cell r="F205">
            <v>0.5</v>
          </cell>
          <cell r="G205">
            <v>0.6</v>
          </cell>
        </row>
        <row r="206">
          <cell r="A206" t="str">
            <v>63701</v>
          </cell>
          <cell r="B206" t="str">
            <v>TWT GF Mini Plus Milk&amp;Cheese</v>
          </cell>
          <cell r="C206" t="str">
            <v>Mini Plus</v>
          </cell>
          <cell r="D206">
            <v>12</v>
          </cell>
          <cell r="E206">
            <v>15</v>
          </cell>
          <cell r="F206">
            <v>0.5</v>
          </cell>
          <cell r="G206">
            <v>0.6</v>
          </cell>
        </row>
        <row r="207">
          <cell r="A207" t="str">
            <v>63745</v>
          </cell>
          <cell r="B207" t="str">
            <v>NPIC Twistix M&amp;C Mini  WIP</v>
          </cell>
          <cell r="C207" t="str">
            <v>N/A</v>
          </cell>
          <cell r="D207">
            <v>12</v>
          </cell>
          <cell r="E207">
            <v>15</v>
          </cell>
          <cell r="F207">
            <v>0.5</v>
          </cell>
          <cell r="G207">
            <v>0.6</v>
          </cell>
        </row>
        <row r="208">
          <cell r="A208" t="str">
            <v>63745-KR</v>
          </cell>
          <cell r="B208" t="str">
            <v>Twistix M&amp;C Mini PLUS WIP-KR</v>
          </cell>
          <cell r="C208" t="str">
            <v>N/A</v>
          </cell>
          <cell r="D208">
            <v>11.5</v>
          </cell>
          <cell r="E208">
            <v>14</v>
          </cell>
          <cell r="F208">
            <v>0.5</v>
          </cell>
          <cell r="G208">
            <v>0.6</v>
          </cell>
        </row>
        <row r="209">
          <cell r="A209" t="str">
            <v>63746</v>
          </cell>
          <cell r="B209" t="str">
            <v>NPIC Twistix  M&amp;C Sm WIP</v>
          </cell>
          <cell r="C209" t="str">
            <v>N/A</v>
          </cell>
          <cell r="D209">
            <v>12</v>
          </cell>
          <cell r="E209">
            <v>15</v>
          </cell>
          <cell r="F209">
            <v>0.5</v>
          </cell>
          <cell r="G209">
            <v>0.6</v>
          </cell>
        </row>
        <row r="210">
          <cell r="A210" t="str">
            <v>63748</v>
          </cell>
          <cell r="B210" t="str">
            <v>NPIC Twistix  M&amp;C Lg WIP</v>
          </cell>
          <cell r="C210" t="str">
            <v>N/A</v>
          </cell>
          <cell r="D210">
            <v>12</v>
          </cell>
          <cell r="E210">
            <v>15</v>
          </cell>
          <cell r="F210">
            <v>0.5</v>
          </cell>
          <cell r="G210">
            <v>0.6</v>
          </cell>
        </row>
        <row r="211">
          <cell r="A211" t="str">
            <v>64142</v>
          </cell>
          <cell r="B211" t="str">
            <v>NPIC Twistix  P &amp; C Sm WIP</v>
          </cell>
          <cell r="C211" t="str">
            <v>N/A</v>
          </cell>
          <cell r="D211">
            <v>12</v>
          </cell>
          <cell r="E211">
            <v>15</v>
          </cell>
          <cell r="F211">
            <v>0.5</v>
          </cell>
          <cell r="G211">
            <v>0.6</v>
          </cell>
        </row>
        <row r="212">
          <cell r="A212" t="str">
            <v>64144</v>
          </cell>
          <cell r="B212" t="str">
            <v>NPIC Twistix P &amp; C Lg  WIP</v>
          </cell>
          <cell r="C212" t="str">
            <v>N/A</v>
          </cell>
          <cell r="D212">
            <v>12</v>
          </cell>
          <cell r="E212">
            <v>15</v>
          </cell>
          <cell r="F212">
            <v>0.5</v>
          </cell>
          <cell r="G212">
            <v>0.6</v>
          </cell>
        </row>
        <row r="213">
          <cell r="A213" t="str">
            <v>64311</v>
          </cell>
          <cell r="B213" t="str">
            <v>TWT Natural Sm</v>
          </cell>
          <cell r="C213" t="str">
            <v>N/A</v>
          </cell>
          <cell r="D213">
            <v>11</v>
          </cell>
          <cell r="E213">
            <v>15</v>
          </cell>
          <cell r="F213">
            <v>0.5</v>
          </cell>
          <cell r="G213">
            <v>0.63</v>
          </cell>
        </row>
        <row r="214">
          <cell r="A214" t="str">
            <v>64312</v>
          </cell>
          <cell r="B214" t="str">
            <v>TWT Natural Lg</v>
          </cell>
          <cell r="C214" t="str">
            <v>N/A</v>
          </cell>
          <cell r="D214">
            <v>11</v>
          </cell>
          <cell r="E214">
            <v>15</v>
          </cell>
          <cell r="F214">
            <v>0.5</v>
          </cell>
          <cell r="G214">
            <v>0.63</v>
          </cell>
        </row>
        <row r="215">
          <cell r="A215" t="str">
            <v>64341</v>
          </cell>
          <cell r="B215" t="str">
            <v>Treader Joe's TWT SWEET Cream</v>
          </cell>
          <cell r="C215" t="str">
            <v>N/A</v>
          </cell>
          <cell r="D215">
            <v>12</v>
          </cell>
          <cell r="E215">
            <v>15</v>
          </cell>
          <cell r="F215">
            <v>0.5</v>
          </cell>
          <cell r="G215">
            <v>0.6</v>
          </cell>
        </row>
        <row r="216">
          <cell r="A216" t="str">
            <v>65001</v>
          </cell>
          <cell r="B216" t="str">
            <v xml:space="preserve">GF Twistix Vanilla Mint WIP Sm </v>
          </cell>
          <cell r="C216" t="str">
            <v>N/A</v>
          </cell>
          <cell r="D216">
            <v>12</v>
          </cell>
          <cell r="E216">
            <v>15</v>
          </cell>
          <cell r="F216">
            <v>0.5</v>
          </cell>
          <cell r="G216">
            <v>0.6</v>
          </cell>
        </row>
        <row r="217">
          <cell r="A217" t="str">
            <v>65003</v>
          </cell>
          <cell r="B217" t="str">
            <v xml:space="preserve">GF Twistix Vanilla Mint WIP Lg </v>
          </cell>
          <cell r="C217" t="str">
            <v>N/A</v>
          </cell>
          <cell r="D217">
            <v>12</v>
          </cell>
          <cell r="E217">
            <v>15</v>
          </cell>
          <cell r="F217">
            <v>0.5</v>
          </cell>
          <cell r="G217">
            <v>0.6</v>
          </cell>
        </row>
        <row r="218">
          <cell r="A218" t="str">
            <v>65351</v>
          </cell>
          <cell r="B218" t="str">
            <v>Twistix Holiday Vanilla Pepper WIP</v>
          </cell>
          <cell r="C218" t="str">
            <v>N/A</v>
          </cell>
          <cell r="D218">
            <v>12</v>
          </cell>
          <cell r="E218">
            <v>15</v>
          </cell>
          <cell r="F218">
            <v>0.5</v>
          </cell>
          <cell r="G218">
            <v>0.6</v>
          </cell>
        </row>
        <row r="219">
          <cell r="A219" t="str">
            <v>71001</v>
          </cell>
          <cell r="B219" t="str">
            <v>Target Long Lasting Peanut</v>
          </cell>
          <cell r="C219" t="str">
            <v>Sm</v>
          </cell>
          <cell r="D219">
            <v>12</v>
          </cell>
          <cell r="E219">
            <v>15</v>
          </cell>
          <cell r="F219">
            <v>0.45</v>
          </cell>
          <cell r="G219">
            <v>0.6</v>
          </cell>
        </row>
        <row r="220">
          <cell r="A220" t="str">
            <v>71002</v>
          </cell>
          <cell r="B220" t="str">
            <v>Target Long Lasting Peanut</v>
          </cell>
          <cell r="C220" t="str">
            <v>Lg</v>
          </cell>
          <cell r="D220">
            <v>12</v>
          </cell>
          <cell r="E220">
            <v>15</v>
          </cell>
          <cell r="F220">
            <v>0.45</v>
          </cell>
          <cell r="G220">
            <v>0.6</v>
          </cell>
        </row>
        <row r="221">
          <cell r="A221" t="str">
            <v>71101</v>
          </cell>
          <cell r="B221" t="str">
            <v>Target Long Lasting Chicken</v>
          </cell>
          <cell r="C221" t="str">
            <v>Sm</v>
          </cell>
          <cell r="D221">
            <v>12</v>
          </cell>
          <cell r="E221">
            <v>15</v>
          </cell>
          <cell r="F221">
            <v>0.45</v>
          </cell>
          <cell r="G221">
            <v>0.6</v>
          </cell>
        </row>
        <row r="222">
          <cell r="A222" t="str">
            <v>71102</v>
          </cell>
          <cell r="B222" t="str">
            <v>Target Long Lasting Chicken</v>
          </cell>
          <cell r="C222" t="str">
            <v>Lg</v>
          </cell>
          <cell r="D222">
            <v>12</v>
          </cell>
          <cell r="E222">
            <v>15</v>
          </cell>
          <cell r="F222">
            <v>0.45</v>
          </cell>
          <cell r="G222">
            <v>0.6</v>
          </cell>
        </row>
        <row r="223">
          <cell r="A223" t="str">
            <v>72001</v>
          </cell>
          <cell r="B223" t="str">
            <v xml:space="preserve">Target Dental Chew </v>
          </cell>
          <cell r="C223" t="str">
            <v>Sm</v>
          </cell>
          <cell r="D223">
            <v>12</v>
          </cell>
          <cell r="E223">
            <v>15.5</v>
          </cell>
          <cell r="F223">
            <v>0.45</v>
          </cell>
          <cell r="G223">
            <v>0.62</v>
          </cell>
        </row>
        <row r="224">
          <cell r="A224" t="str">
            <v>72002</v>
          </cell>
          <cell r="B224" t="str">
            <v xml:space="preserve">Target Dental Chew </v>
          </cell>
          <cell r="C224" t="str">
            <v>Md</v>
          </cell>
          <cell r="D224">
            <v>12</v>
          </cell>
          <cell r="E224">
            <v>15.5</v>
          </cell>
          <cell r="F224">
            <v>0.45</v>
          </cell>
          <cell r="G224">
            <v>0.62</v>
          </cell>
        </row>
        <row r="225">
          <cell r="A225" t="str">
            <v>72003</v>
          </cell>
          <cell r="B225" t="str">
            <v xml:space="preserve">Target Dental Chew </v>
          </cell>
          <cell r="C225" t="str">
            <v>Lg</v>
          </cell>
          <cell r="D225">
            <v>12</v>
          </cell>
          <cell r="E225">
            <v>15.5</v>
          </cell>
          <cell r="F225">
            <v>0.45</v>
          </cell>
          <cell r="G225">
            <v>0.62</v>
          </cell>
        </row>
        <row r="226">
          <cell r="A226" t="str">
            <v>72004</v>
          </cell>
          <cell r="B226" t="str">
            <v xml:space="preserve">Target Dental Chew </v>
          </cell>
          <cell r="C226" t="str">
            <v>XL</v>
          </cell>
          <cell r="D226">
            <v>12</v>
          </cell>
          <cell r="E226">
            <v>15.5</v>
          </cell>
          <cell r="F226">
            <v>0.45</v>
          </cell>
          <cell r="G226">
            <v>0.62</v>
          </cell>
        </row>
        <row r="227">
          <cell r="A227" t="str">
            <v>80111</v>
          </cell>
          <cell r="B227" t="str">
            <v>N-Bone Minties Mint</v>
          </cell>
          <cell r="C227" t="str">
            <v>N/A</v>
          </cell>
          <cell r="D227">
            <v>11</v>
          </cell>
          <cell r="E227">
            <v>15</v>
          </cell>
          <cell r="F227">
            <v>0.45</v>
          </cell>
          <cell r="G227">
            <v>0.6</v>
          </cell>
        </row>
        <row r="228">
          <cell r="A228" t="str">
            <v>80121</v>
          </cell>
          <cell r="B228" t="str">
            <v>N-Bone Minties Milk</v>
          </cell>
          <cell r="C228" t="str">
            <v>N/A</v>
          </cell>
          <cell r="D228">
            <v>11</v>
          </cell>
          <cell r="E228">
            <v>15</v>
          </cell>
          <cell r="F228">
            <v>0.45</v>
          </cell>
          <cell r="G228">
            <v>0.6</v>
          </cell>
        </row>
        <row r="229">
          <cell r="A229" t="str">
            <v>85001</v>
          </cell>
          <cell r="B229" t="str">
            <v xml:space="preserve">Minties Twist Vanilla Mint Sm </v>
          </cell>
          <cell r="C229" t="str">
            <v>Sm</v>
          </cell>
          <cell r="D229">
            <v>12.5</v>
          </cell>
          <cell r="E229">
            <v>15</v>
          </cell>
          <cell r="F229">
            <v>0.45</v>
          </cell>
          <cell r="G229">
            <v>0.62</v>
          </cell>
        </row>
        <row r="230">
          <cell r="A230" t="str">
            <v>85003</v>
          </cell>
          <cell r="B230" t="str">
            <v xml:space="preserve">Minties Twist Vanilla Mint Lg </v>
          </cell>
          <cell r="C230" t="str">
            <v>Lg</v>
          </cell>
          <cell r="D230">
            <v>12.5</v>
          </cell>
          <cell r="E230">
            <v>15</v>
          </cell>
          <cell r="F230">
            <v>0.45</v>
          </cell>
          <cell r="G230">
            <v>0.62</v>
          </cell>
        </row>
        <row r="231">
          <cell r="A231" t="str">
            <v>87853</v>
          </cell>
          <cell r="B231" t="str">
            <v>TruRx Minties Lg</v>
          </cell>
          <cell r="C231" t="str">
            <v>LG</v>
          </cell>
          <cell r="D231">
            <v>10</v>
          </cell>
          <cell r="E231">
            <v>16</v>
          </cell>
          <cell r="F231">
            <v>0.45</v>
          </cell>
          <cell r="G231">
            <v>0.62</v>
          </cell>
        </row>
        <row r="232">
          <cell r="A232" t="str">
            <v>87860</v>
          </cell>
          <cell r="B232" t="str">
            <v>Minties Hip &amp; Joint WIP TNY/SM 1KP</v>
          </cell>
          <cell r="C232" t="str">
            <v>T/S</v>
          </cell>
          <cell r="D232">
            <v>12</v>
          </cell>
          <cell r="E232">
            <v>16</v>
          </cell>
          <cell r="F232">
            <v>0.45</v>
          </cell>
          <cell r="G232">
            <v>0.62</v>
          </cell>
        </row>
        <row r="233">
          <cell r="A233" t="str">
            <v>87869</v>
          </cell>
          <cell r="B233" t="str">
            <v>Minties Hip &amp; Joint WIP MD/LG PC</v>
          </cell>
          <cell r="C233" t="str">
            <v>M/L</v>
          </cell>
          <cell r="D233">
            <v>12</v>
          </cell>
          <cell r="E233">
            <v>16</v>
          </cell>
          <cell r="F233">
            <v>0.45</v>
          </cell>
          <cell r="G233">
            <v>0.62</v>
          </cell>
        </row>
        <row r="234">
          <cell r="A234" t="str">
            <v>87890</v>
          </cell>
          <cell r="B234" t="str">
            <v>TruRx Minties Sm WIP</v>
          </cell>
          <cell r="C234" t="str">
            <v>Sm</v>
          </cell>
          <cell r="D234">
            <v>12</v>
          </cell>
          <cell r="E234">
            <v>16</v>
          </cell>
          <cell r="F234">
            <v>0.45</v>
          </cell>
          <cell r="G234">
            <v>0.62</v>
          </cell>
        </row>
        <row r="235">
          <cell r="A235" t="str">
            <v>87895</v>
          </cell>
          <cell r="B235" t="str">
            <v>TruScience  Tiny Dog WIP</v>
          </cell>
          <cell r="C235" t="str">
            <v>Tiny</v>
          </cell>
          <cell r="D235">
            <v>12</v>
          </cell>
          <cell r="E235">
            <v>16</v>
          </cell>
          <cell r="F235">
            <v>0.45</v>
          </cell>
          <cell r="G235">
            <v>0.62</v>
          </cell>
        </row>
        <row r="236">
          <cell r="A236" t="str">
            <v>87896</v>
          </cell>
          <cell r="B236" t="str">
            <v>TruScience Tractor Sm Dog WIP</v>
          </cell>
          <cell r="C236" t="str">
            <v>Sm</v>
          </cell>
          <cell r="D236">
            <v>12</v>
          </cell>
          <cell r="E236">
            <v>16</v>
          </cell>
          <cell r="F236">
            <v>0.45</v>
          </cell>
          <cell r="G236">
            <v>0.62</v>
          </cell>
        </row>
        <row r="237">
          <cell r="A237" t="str">
            <v>87897</v>
          </cell>
          <cell r="B237" t="str">
            <v>TruScience Tractor Md Dog WIP</v>
          </cell>
          <cell r="C237" t="str">
            <v>Md</v>
          </cell>
          <cell r="D237">
            <v>12</v>
          </cell>
          <cell r="E237">
            <v>16</v>
          </cell>
          <cell r="F237">
            <v>0.45</v>
          </cell>
          <cell r="G237">
            <v>0.62</v>
          </cell>
        </row>
        <row r="238">
          <cell r="A238" t="str">
            <v>87898</v>
          </cell>
          <cell r="B238" t="str">
            <v>TruScience Tractor Lg D WIP</v>
          </cell>
          <cell r="C238" t="str">
            <v>Lg</v>
          </cell>
          <cell r="D238">
            <v>12</v>
          </cell>
          <cell r="E238">
            <v>16</v>
          </cell>
          <cell r="F238">
            <v>0.45</v>
          </cell>
          <cell r="G238">
            <v>0.62</v>
          </cell>
        </row>
        <row r="239">
          <cell r="A239" t="str">
            <v>87899</v>
          </cell>
          <cell r="B239" t="str">
            <v>TruRx Minties Md WIP</v>
          </cell>
          <cell r="C239" t="str">
            <v>Md</v>
          </cell>
          <cell r="D239">
            <v>12</v>
          </cell>
          <cell r="E239">
            <v>16</v>
          </cell>
          <cell r="F239">
            <v>0.45</v>
          </cell>
          <cell r="G239">
            <v>0.62</v>
          </cell>
        </row>
        <row r="240">
          <cell r="A240" t="str">
            <v>90001</v>
          </cell>
          <cell r="B240" t="str">
            <v>Starmark DT Chicken Sm WIP</v>
          </cell>
          <cell r="C240" t="str">
            <v>Sm</v>
          </cell>
          <cell r="D240">
            <v>11</v>
          </cell>
          <cell r="E240">
            <v>15.5</v>
          </cell>
          <cell r="F240">
            <v>0.45</v>
          </cell>
          <cell r="G240">
            <v>0.62</v>
          </cell>
        </row>
        <row r="241">
          <cell r="A241" t="str">
            <v>90002</v>
          </cell>
          <cell r="B241" t="str">
            <v>Starmark DT Chicken Md WIP</v>
          </cell>
          <cell r="C241" t="str">
            <v>Med</v>
          </cell>
          <cell r="D241">
            <v>11</v>
          </cell>
          <cell r="E241">
            <v>15.5</v>
          </cell>
          <cell r="F241">
            <v>0.45</v>
          </cell>
          <cell r="G241">
            <v>0.62</v>
          </cell>
        </row>
        <row r="242">
          <cell r="A242" t="str">
            <v>90003</v>
          </cell>
          <cell r="B242" t="str">
            <v>Starmark DT Chicken Lg WIP</v>
          </cell>
          <cell r="C242" t="str">
            <v>Lg</v>
          </cell>
          <cell r="D242">
            <v>11</v>
          </cell>
          <cell r="E242">
            <v>15.5</v>
          </cell>
          <cell r="F242">
            <v>0.45</v>
          </cell>
          <cell r="G242">
            <v>0.62</v>
          </cell>
        </row>
        <row r="243">
          <cell r="A243" t="str">
            <v>90004</v>
          </cell>
          <cell r="B243" t="str">
            <v>Starmark Lock &amp; Block Treat L Ckn WIP</v>
          </cell>
          <cell r="C243" t="str">
            <v>Lg</v>
          </cell>
          <cell r="D243">
            <v>10</v>
          </cell>
          <cell r="E243">
            <v>14</v>
          </cell>
          <cell r="F243">
            <v>0.45</v>
          </cell>
          <cell r="G243">
            <v>0.6</v>
          </cell>
        </row>
        <row r="244">
          <cell r="A244" t="str">
            <v>90005</v>
          </cell>
          <cell r="B244" t="str">
            <v>Starmark Lock &amp; Block Treat M Chkn WIP</v>
          </cell>
          <cell r="C244" t="str">
            <v>Med</v>
          </cell>
          <cell r="D244">
            <v>10</v>
          </cell>
          <cell r="E244">
            <v>14</v>
          </cell>
          <cell r="F244">
            <v>0.45</v>
          </cell>
          <cell r="G244">
            <v>0.6</v>
          </cell>
        </row>
        <row r="245">
          <cell r="A245" t="str">
            <v>90006</v>
          </cell>
          <cell r="B245" t="str">
            <v>Starmark Lock &amp; Block Treat S Chkn WIP</v>
          </cell>
          <cell r="C245" t="str">
            <v>Sm</v>
          </cell>
          <cell r="D245">
            <v>10</v>
          </cell>
          <cell r="E245">
            <v>14</v>
          </cell>
          <cell r="F245">
            <v>0.45</v>
          </cell>
          <cell r="G245">
            <v>0.6</v>
          </cell>
        </row>
        <row r="246">
          <cell r="A246" t="str">
            <v>90021</v>
          </cell>
          <cell r="B246" t="str">
            <v>Starmark DT Bacon Sm WIP</v>
          </cell>
          <cell r="C246" t="str">
            <v>Sm</v>
          </cell>
          <cell r="D246">
            <v>11</v>
          </cell>
          <cell r="E246">
            <v>15.5</v>
          </cell>
          <cell r="F246">
            <v>0.45</v>
          </cell>
          <cell r="G246">
            <v>0.62</v>
          </cell>
        </row>
        <row r="247">
          <cell r="A247" t="str">
            <v>90022</v>
          </cell>
          <cell r="B247" t="str">
            <v>Starmark DT Bacon Md WIP</v>
          </cell>
          <cell r="C247" t="str">
            <v>Med</v>
          </cell>
          <cell r="D247">
            <v>11</v>
          </cell>
          <cell r="E247">
            <v>15.5</v>
          </cell>
          <cell r="F247">
            <v>0.45</v>
          </cell>
          <cell r="G247">
            <v>0.62</v>
          </cell>
        </row>
        <row r="248">
          <cell r="A248" t="str">
            <v>90023</v>
          </cell>
          <cell r="B248" t="str">
            <v xml:space="preserve">Starmark DT Bacon Lg WIP - 16 Cavity </v>
          </cell>
          <cell r="C248" t="str">
            <v>Lg</v>
          </cell>
          <cell r="D248">
            <v>11</v>
          </cell>
          <cell r="E248">
            <v>15.5</v>
          </cell>
          <cell r="F248">
            <v>0.45</v>
          </cell>
          <cell r="G248">
            <v>0.62</v>
          </cell>
        </row>
        <row r="249">
          <cell r="A249" t="str">
            <v>90032</v>
          </cell>
          <cell r="B249" t="str">
            <v>Starmark M Interactive Treat R</v>
          </cell>
          <cell r="C249" t="str">
            <v>N/A</v>
          </cell>
          <cell r="D249">
            <v>8</v>
          </cell>
          <cell r="E249">
            <v>15</v>
          </cell>
          <cell r="F249">
            <v>0.45</v>
          </cell>
          <cell r="G249">
            <v>0.6</v>
          </cell>
        </row>
        <row r="250">
          <cell r="A250" t="str">
            <v>90033</v>
          </cell>
          <cell r="B250" t="str">
            <v>Starmark L Interactive Treat R</v>
          </cell>
          <cell r="C250" t="str">
            <v>N/A</v>
          </cell>
          <cell r="D250">
            <v>8</v>
          </cell>
          <cell r="E250">
            <v>15</v>
          </cell>
          <cell r="F250">
            <v>0.45</v>
          </cell>
          <cell r="G250">
            <v>0.6</v>
          </cell>
        </row>
        <row r="251">
          <cell r="A251" t="str">
            <v>90051</v>
          </cell>
          <cell r="B251" t="str">
            <v>Starmark S Life Saver Ring Ckn Sm</v>
          </cell>
          <cell r="C251" t="str">
            <v>Sm</v>
          </cell>
          <cell r="D251">
            <v>11</v>
          </cell>
          <cell r="E251">
            <v>15</v>
          </cell>
          <cell r="F251">
            <v>0.45</v>
          </cell>
          <cell r="G251">
            <v>0.6</v>
          </cell>
        </row>
        <row r="252">
          <cell r="A252" t="str">
            <v>92001</v>
          </cell>
          <cell r="B252" t="str">
            <v>Hagen Sticks Puppy Sm WIP</v>
          </cell>
          <cell r="C252" t="str">
            <v>N/A</v>
          </cell>
          <cell r="D252">
            <v>11</v>
          </cell>
          <cell r="E252">
            <v>14</v>
          </cell>
          <cell r="F252">
            <v>0.45</v>
          </cell>
          <cell r="G252">
            <v>0.6</v>
          </cell>
        </row>
        <row r="253">
          <cell r="A253" t="str">
            <v>92002</v>
          </cell>
          <cell r="B253" t="str">
            <v>Hagen Sticks Puppy Lg WIP</v>
          </cell>
          <cell r="C253" t="str">
            <v>N/A</v>
          </cell>
          <cell r="D253">
            <v>11</v>
          </cell>
          <cell r="E253">
            <v>14</v>
          </cell>
          <cell r="F253">
            <v>0.45</v>
          </cell>
          <cell r="G253">
            <v>0.6</v>
          </cell>
        </row>
        <row r="254">
          <cell r="A254" t="str">
            <v>92011</v>
          </cell>
          <cell r="B254" t="str">
            <v>Hagen Sticks Adult Antiox Sm WIP</v>
          </cell>
          <cell r="C254" t="str">
            <v>N/A</v>
          </cell>
          <cell r="D254">
            <v>11</v>
          </cell>
          <cell r="E254">
            <v>14</v>
          </cell>
          <cell r="F254">
            <v>0.45</v>
          </cell>
          <cell r="G254">
            <v>0.6</v>
          </cell>
        </row>
        <row r="255">
          <cell r="A255" t="str">
            <v>92012</v>
          </cell>
          <cell r="B255" t="str">
            <v>Hagen Sticks Adult Antiox Lg WIP</v>
          </cell>
          <cell r="C255" t="str">
            <v>N/A</v>
          </cell>
          <cell r="D255">
            <v>11</v>
          </cell>
          <cell r="E255">
            <v>14</v>
          </cell>
          <cell r="F255">
            <v>0.45</v>
          </cell>
          <cell r="G255">
            <v>0.6</v>
          </cell>
        </row>
        <row r="256">
          <cell r="A256" t="str">
            <v>92021</v>
          </cell>
          <cell r="B256" t="str">
            <v>Hagen Sticks Low Calorie Sm WI</v>
          </cell>
          <cell r="C256" t="str">
            <v>N/A</v>
          </cell>
          <cell r="D256">
            <v>11</v>
          </cell>
          <cell r="E256">
            <v>14</v>
          </cell>
          <cell r="F256">
            <v>0.45</v>
          </cell>
          <cell r="G256">
            <v>0.6</v>
          </cell>
        </row>
        <row r="257">
          <cell r="A257" t="str">
            <v>92022</v>
          </cell>
          <cell r="B257" t="str">
            <v xml:space="preserve">Hegan Stick Low Calorie Lg WIP </v>
          </cell>
          <cell r="C257" t="str">
            <v>N/A</v>
          </cell>
          <cell r="D257">
            <v>11</v>
          </cell>
          <cell r="E257">
            <v>14</v>
          </cell>
          <cell r="F257">
            <v>0.45</v>
          </cell>
          <cell r="G257">
            <v>0.6</v>
          </cell>
        </row>
        <row r="258">
          <cell r="A258" t="str">
            <v>92061</v>
          </cell>
          <cell r="B258" t="str">
            <v>Hagen Bone Adult Antiox Mn WIP 1 KP</v>
          </cell>
          <cell r="C258" t="str">
            <v>Mini</v>
          </cell>
          <cell r="D258">
            <v>12.5</v>
          </cell>
          <cell r="E258">
            <v>15</v>
          </cell>
          <cell r="F258">
            <v>0.45</v>
          </cell>
          <cell r="G258">
            <v>0.6</v>
          </cell>
        </row>
        <row r="259">
          <cell r="A259" t="str">
            <v>92062</v>
          </cell>
          <cell r="B259" t="str">
            <v>Hagen Bone Adult Antiox Sm WIP 1 KP</v>
          </cell>
          <cell r="C259" t="str">
            <v>Sm</v>
          </cell>
          <cell r="D259">
            <v>12.5</v>
          </cell>
          <cell r="E259">
            <v>15</v>
          </cell>
          <cell r="F259">
            <v>0.45</v>
          </cell>
          <cell r="G259">
            <v>0.6</v>
          </cell>
        </row>
        <row r="260">
          <cell r="A260" t="str">
            <v>92063</v>
          </cell>
          <cell r="B260" t="str">
            <v>Hagen Bone Adult Antiox Md WIP 1 KP</v>
          </cell>
          <cell r="C260" t="str">
            <v>Med</v>
          </cell>
          <cell r="D260">
            <v>12.5</v>
          </cell>
          <cell r="E260">
            <v>15</v>
          </cell>
          <cell r="F260">
            <v>0.45</v>
          </cell>
          <cell r="G260">
            <v>0.6</v>
          </cell>
        </row>
        <row r="261">
          <cell r="A261" t="str">
            <v>92064</v>
          </cell>
          <cell r="B261" t="str">
            <v>Hagen Bone Adult Antiox Lg WIP 1 KP</v>
          </cell>
          <cell r="C261" t="str">
            <v>Lg</v>
          </cell>
          <cell r="D261">
            <v>12.5</v>
          </cell>
          <cell r="E261">
            <v>15</v>
          </cell>
          <cell r="F261">
            <v>0.45</v>
          </cell>
          <cell r="G261">
            <v>0.6</v>
          </cell>
        </row>
        <row r="262">
          <cell r="A262" t="str">
            <v>93001</v>
          </cell>
          <cell r="B262" t="str">
            <v>Starmark Flavor Wave Treat WIP 1 KP</v>
          </cell>
          <cell r="C262" t="str">
            <v>N/A</v>
          </cell>
          <cell r="D262">
            <v>11</v>
          </cell>
          <cell r="E262">
            <v>14.5</v>
          </cell>
          <cell r="F262">
            <v>0.45</v>
          </cell>
          <cell r="G262">
            <v>0.6</v>
          </cell>
        </row>
        <row r="263">
          <cell r="A263" t="str">
            <v>96001</v>
          </cell>
          <cell r="B263" t="str">
            <v>PetzLife Green Treat Sm (PTZL) WIP</v>
          </cell>
          <cell r="C263" t="str">
            <v>N/A</v>
          </cell>
          <cell r="D263">
            <v>12</v>
          </cell>
          <cell r="E263">
            <v>15.5</v>
          </cell>
          <cell r="F263">
            <v>0.5</v>
          </cell>
          <cell r="G263">
            <v>0.6</v>
          </cell>
        </row>
        <row r="264">
          <cell r="A264" t="str">
            <v>96003</v>
          </cell>
          <cell r="B264" t="str">
            <v>PetzLife Green Treat Lg (PTZL) WIP</v>
          </cell>
          <cell r="C264" t="str">
            <v>N/A</v>
          </cell>
          <cell r="D264">
            <v>12</v>
          </cell>
          <cell r="E264">
            <v>15.5</v>
          </cell>
          <cell r="F264">
            <v>0.5</v>
          </cell>
          <cell r="G264">
            <v>0.6</v>
          </cell>
        </row>
        <row r="265">
          <cell r="A265" t="str">
            <v>38400</v>
          </cell>
          <cell r="B265" t="str">
            <v xml:space="preserve">GN GRV Stick Lg WIP </v>
          </cell>
          <cell r="C265" t="str">
            <v>LG</v>
          </cell>
          <cell r="D265">
            <v>12</v>
          </cell>
          <cell r="E265">
            <v>15.5</v>
          </cell>
          <cell r="F265">
            <v>0.45</v>
          </cell>
          <cell r="G265">
            <v>0.6</v>
          </cell>
        </row>
        <row r="266">
          <cell r="A266" t="str">
            <v>38401</v>
          </cell>
          <cell r="B266" t="str">
            <v xml:space="preserve">GN GRV Stick Sm WIP </v>
          </cell>
          <cell r="C266" t="str">
            <v>SM</v>
          </cell>
          <cell r="D266">
            <v>12</v>
          </cell>
          <cell r="E266">
            <v>15.5</v>
          </cell>
          <cell r="F266">
            <v>0.45</v>
          </cell>
          <cell r="G266">
            <v>0.6</v>
          </cell>
        </row>
        <row r="267">
          <cell r="A267" t="str">
            <v>38500</v>
          </cell>
          <cell r="B267" t="str">
            <v xml:space="preserve">GN MintV Stick Lg WIP </v>
          </cell>
          <cell r="C267" t="str">
            <v>LG</v>
          </cell>
          <cell r="D267">
            <v>12</v>
          </cell>
          <cell r="E267">
            <v>15.5</v>
          </cell>
          <cell r="F267">
            <v>0.45</v>
          </cell>
          <cell r="G267">
            <v>0.6</v>
          </cell>
        </row>
        <row r="268">
          <cell r="A268" t="str">
            <v>38501</v>
          </cell>
          <cell r="B268" t="str">
            <v xml:space="preserve">GN MintV Stick Sm WIP </v>
          </cell>
          <cell r="C268" t="str">
            <v>SM</v>
          </cell>
          <cell r="D268">
            <v>12</v>
          </cell>
          <cell r="E268">
            <v>15.5</v>
          </cell>
          <cell r="F268">
            <v>0.45</v>
          </cell>
          <cell r="G268">
            <v>0.6</v>
          </cell>
        </row>
        <row r="269">
          <cell r="A269" t="str">
            <v>38300</v>
          </cell>
          <cell r="B269" t="str">
            <v>NB PMKV Stick Lg WIP</v>
          </cell>
          <cell r="C269" t="str">
            <v>LG</v>
          </cell>
          <cell r="D269">
            <v>12</v>
          </cell>
          <cell r="E269">
            <v>15.5</v>
          </cell>
          <cell r="F269">
            <v>0.45</v>
          </cell>
          <cell r="G269">
            <v>0.6</v>
          </cell>
        </row>
        <row r="270">
          <cell r="A270" t="str">
            <v>38301</v>
          </cell>
          <cell r="B270" t="str">
            <v>NB PMKV Stick Sm WIP</v>
          </cell>
          <cell r="C270" t="str">
            <v>SM</v>
          </cell>
          <cell r="D270">
            <v>12</v>
          </cell>
          <cell r="E270">
            <v>15.5</v>
          </cell>
          <cell r="F270">
            <v>0.45</v>
          </cell>
          <cell r="G270">
            <v>0.6</v>
          </cell>
        </row>
        <row r="271">
          <cell r="A271" t="str">
            <v>34400</v>
          </cell>
          <cell r="B271" t="str">
            <v>Paw-ssemble BBQ Circle</v>
          </cell>
          <cell r="C271" t="str">
            <v>N/A</v>
          </cell>
          <cell r="D271" t="str">
            <v>11</v>
          </cell>
          <cell r="E271" t="str">
            <v>16</v>
          </cell>
          <cell r="F271" t="str">
            <v>0.45</v>
          </cell>
          <cell r="G271" t="str">
            <v>0.62</v>
          </cell>
        </row>
        <row r="272">
          <cell r="A272" t="str">
            <v>34401</v>
          </cell>
          <cell r="B272" t="str">
            <v>Paw-ssemble BBQ Semi-Circle</v>
          </cell>
          <cell r="C272" t="str">
            <v>N/A</v>
          </cell>
          <cell r="D272" t="str">
            <v>11</v>
          </cell>
          <cell r="E272" t="str">
            <v>16</v>
          </cell>
          <cell r="F272" t="str">
            <v>0.45</v>
          </cell>
          <cell r="G272" t="str">
            <v>0.62</v>
          </cell>
        </row>
        <row r="273">
          <cell r="A273" t="str">
            <v>34410</v>
          </cell>
          <cell r="B273" t="str">
            <v>Paw-ssemble Bacon Circle</v>
          </cell>
          <cell r="C273" t="str">
            <v>N/A</v>
          </cell>
          <cell r="D273" t="str">
            <v>11</v>
          </cell>
          <cell r="E273" t="str">
            <v>16</v>
          </cell>
          <cell r="F273" t="str">
            <v>0.45</v>
          </cell>
          <cell r="G273" t="str">
            <v>0.62</v>
          </cell>
        </row>
        <row r="274">
          <cell r="A274" t="str">
            <v>34411</v>
          </cell>
          <cell r="B274" t="str">
            <v>Paw-ssemble Bacon Semi-Circle</v>
          </cell>
          <cell r="C274" t="str">
            <v>N/A</v>
          </cell>
          <cell r="D274" t="str">
            <v>11</v>
          </cell>
          <cell r="E274" t="str">
            <v>16</v>
          </cell>
          <cell r="F274" t="str">
            <v>0.45</v>
          </cell>
          <cell r="G274" t="str">
            <v>0.62</v>
          </cell>
        </row>
        <row r="275">
          <cell r="A275" t="str">
            <v>34420</v>
          </cell>
          <cell r="B275" t="str">
            <v>Paw-ssemble Peanuit Circle</v>
          </cell>
          <cell r="C275" t="str">
            <v>N/A</v>
          </cell>
          <cell r="D275" t="str">
            <v>11</v>
          </cell>
          <cell r="E275" t="str">
            <v>16</v>
          </cell>
          <cell r="F275" t="str">
            <v>0.45</v>
          </cell>
          <cell r="G275" t="str">
            <v>0.62</v>
          </cell>
        </row>
        <row r="276">
          <cell r="A276" t="str">
            <v>34421</v>
          </cell>
          <cell r="B276" t="str">
            <v>Paw-ssemble Bacon Semi-Circle</v>
          </cell>
          <cell r="C276" t="str">
            <v>N/A</v>
          </cell>
          <cell r="D276" t="str">
            <v>11</v>
          </cell>
          <cell r="E276" t="str">
            <v>16</v>
          </cell>
          <cell r="F276" t="str">
            <v>0.45</v>
          </cell>
          <cell r="G276" t="str">
            <v>0.62</v>
          </cell>
        </row>
      </sheetData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618C5-DA9B-4CAB-99D0-837235C1B2DD}">
  <dimension ref="A1:Y20015"/>
  <sheetViews>
    <sheetView tabSelected="1" workbookViewId="0">
      <selection activeCell="T4" sqref="T4"/>
    </sheetView>
  </sheetViews>
  <sheetFormatPr defaultColWidth="8.5546875" defaultRowHeight="14.4" x14ac:dyDescent="0.3"/>
  <cols>
    <col min="1" max="1" width="41.5546875" style="59" customWidth="1"/>
    <col min="2" max="2" width="9" style="59" customWidth="1"/>
    <col min="3" max="3" width="14.6640625" style="60" customWidth="1"/>
    <col min="4" max="4" width="11.44140625" style="61" customWidth="1"/>
    <col min="5" max="6" width="15.6640625" style="61" customWidth="1"/>
    <col min="7" max="7" width="10.44140625" style="62" customWidth="1"/>
    <col min="8" max="8" width="10.44140625" style="63" customWidth="1"/>
    <col min="9" max="9" width="10.44140625" style="62" customWidth="1"/>
    <col min="10" max="10" width="13.44140625" style="64" customWidth="1"/>
    <col min="11" max="11" width="8.5546875" style="64"/>
    <col min="12" max="12" width="13.5546875" style="64" customWidth="1"/>
    <col min="13" max="13" width="9.5546875" style="65" customWidth="1"/>
    <col min="14" max="14" width="9.5546875" style="66" customWidth="1"/>
    <col min="15" max="17" width="9.44140625" style="67" customWidth="1"/>
    <col min="18" max="18" width="11.5546875" style="68" hidden="1" customWidth="1"/>
    <col min="19" max="19" width="21.44140625" style="53" customWidth="1"/>
    <col min="20" max="20" width="15.6640625" style="64" customWidth="1"/>
    <col min="21" max="21" width="15.6640625" style="53" customWidth="1"/>
    <col min="22" max="16384" width="8.5546875" style="53"/>
  </cols>
  <sheetData>
    <row r="1" spans="1:21" s="52" customFormat="1" ht="24.7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6" t="s">
        <v>8</v>
      </c>
      <c r="J1" s="8" t="s">
        <v>9</v>
      </c>
      <c r="K1" s="8" t="s">
        <v>10</v>
      </c>
      <c r="L1" s="8" t="s">
        <v>11</v>
      </c>
      <c r="M1" s="2" t="s">
        <v>12</v>
      </c>
      <c r="N1" s="9" t="s">
        <v>13</v>
      </c>
      <c r="O1" s="9"/>
      <c r="P1" s="9" t="s">
        <v>14</v>
      </c>
      <c r="Q1" s="9"/>
      <c r="R1" s="10" t="s">
        <v>15</v>
      </c>
      <c r="S1" s="8" t="s">
        <v>16</v>
      </c>
      <c r="T1" s="8" t="s">
        <v>17</v>
      </c>
      <c r="U1" s="11" t="s">
        <v>18</v>
      </c>
    </row>
    <row r="2" spans="1:21" s="52" customFormat="1" ht="24.75" customHeight="1" thickBot="1" x14ac:dyDescent="0.35">
      <c r="A2" s="12"/>
      <c r="B2" s="13"/>
      <c r="C2" s="14"/>
      <c r="D2" s="15"/>
      <c r="E2" s="15"/>
      <c r="F2" s="16"/>
      <c r="G2" s="17"/>
      <c r="H2" s="18"/>
      <c r="I2" s="17"/>
      <c r="J2" s="19"/>
      <c r="K2" s="19"/>
      <c r="L2" s="19"/>
      <c r="M2" s="13"/>
      <c r="N2" s="20" t="s">
        <v>19</v>
      </c>
      <c r="O2" s="21" t="s">
        <v>20</v>
      </c>
      <c r="P2" s="21" t="s">
        <v>19</v>
      </c>
      <c r="Q2" s="21" t="s">
        <v>20</v>
      </c>
      <c r="R2" s="22"/>
      <c r="S2" s="19"/>
      <c r="T2" s="19"/>
      <c r="U2" s="23"/>
    </row>
    <row r="3" spans="1:21" ht="24.75" customHeight="1" x14ac:dyDescent="0.3">
      <c r="A3" s="24" t="str">
        <f>IFERROR(VLOOKUP(D3,'[1]Product Datasheet'!$A:$G,2,0),"")</f>
        <v>TruRx Minties Md WIP</v>
      </c>
      <c r="B3" s="25" t="str">
        <f>IFERROR(VLOOKUP(D3,'[1]Product Datasheet'!$A:$G,3,0),"")</f>
        <v>Md</v>
      </c>
      <c r="C3" s="26">
        <v>46113</v>
      </c>
      <c r="D3" s="27" t="s">
        <v>24</v>
      </c>
      <c r="E3" s="27" t="s">
        <v>21</v>
      </c>
      <c r="F3" s="27" t="s">
        <v>22</v>
      </c>
      <c r="G3" s="28">
        <v>13.44</v>
      </c>
      <c r="H3" s="29">
        <v>0.58760000000000001</v>
      </c>
      <c r="I3" s="28">
        <v>25.03</v>
      </c>
      <c r="J3" s="30">
        <v>55</v>
      </c>
      <c r="K3" s="30">
        <v>68</v>
      </c>
      <c r="L3" s="30" t="s">
        <v>25</v>
      </c>
      <c r="M3" s="31" t="str">
        <f t="shared" ref="M3" si="0">IF(AND(G3&lt;=O3,G3&gt;=N3,H3&lt;=Q3,H3&gt;=P3),"Pass","Fail")</f>
        <v>Pass</v>
      </c>
      <c r="N3" s="32">
        <f>IFERROR(VLOOKUP(D3,'[1]Product Datasheet'!$A:$G,4,0),"")</f>
        <v>12</v>
      </c>
      <c r="O3" s="33">
        <f>IFERROR(VLOOKUP(D3,'[1]Product Datasheet'!$A:$G,5,0),"")</f>
        <v>16</v>
      </c>
      <c r="P3" s="33">
        <f>IFERROR(VLOOKUP(D3,'[1]Product Datasheet'!$A:$G,6,0),"")</f>
        <v>0.45</v>
      </c>
      <c r="Q3" s="33">
        <f>IFERROR(VLOOKUP(D3,'[1]Product Datasheet'!$A:$G,7,0), "")</f>
        <v>0.62</v>
      </c>
      <c r="R3" s="34"/>
      <c r="S3" s="35" t="str">
        <f t="shared" ref="S3" si="1">IFERROR(IF(AND(ROUND(H3, 2)&lt;=Q3, ROUND(G3,1)&lt;=O3), "Accept", "Reject"),"Reject")</f>
        <v>Accept</v>
      </c>
      <c r="T3" s="36" t="s">
        <v>17</v>
      </c>
      <c r="U3" s="37"/>
    </row>
    <row r="4" spans="1:21" ht="24.75" customHeight="1" x14ac:dyDescent="0.3">
      <c r="A4" s="38" t="str">
        <f>IFERROR(VLOOKUP(D4,'[1]Product Datasheet'!$A:$G,2,0),"")</f>
        <v/>
      </c>
      <c r="B4" s="39" t="str">
        <f>IFERROR(VLOOKUP(D4,'[1]Product Datasheet'!$A:$G,3,0),"")</f>
        <v/>
      </c>
      <c r="C4" s="40"/>
      <c r="D4" s="41"/>
      <c r="E4" s="41"/>
      <c r="F4" s="41"/>
      <c r="G4" s="42"/>
      <c r="H4" s="43"/>
      <c r="I4" s="42"/>
      <c r="J4" s="44"/>
      <c r="K4" s="44"/>
      <c r="L4" s="44"/>
      <c r="M4" s="45" t="str">
        <f t="shared" ref="M4:M7" si="2">IF(AND(G4&lt;=O4,G4&gt;=N4,H4&lt;=Q4,H4&gt;=P4),"Pass","Fail")</f>
        <v>Pass</v>
      </c>
      <c r="N4" s="46" t="str">
        <f>IFERROR(VLOOKUP(D4,'[1]Product Datasheet'!$A:$G,4,0),"")</f>
        <v/>
      </c>
      <c r="O4" s="47" t="str">
        <f>IFERROR(VLOOKUP(D4,'[1]Product Datasheet'!$A:$G,5,0),"")</f>
        <v/>
      </c>
      <c r="P4" s="47" t="str">
        <f>IFERROR(VLOOKUP(D4,'[1]Product Datasheet'!$A:$G,6,0),"")</f>
        <v/>
      </c>
      <c r="Q4" s="47" t="str">
        <f>IFERROR(VLOOKUP(D4,'[1]Product Datasheet'!$A:$G,7,0), "")</f>
        <v/>
      </c>
      <c r="R4" s="48"/>
      <c r="S4" s="49" t="str">
        <f t="shared" ref="S4:S25" si="3">IFERROR(IF(AND(ROUND(H4, 2)&lt;=Q4, ROUND(G4,1)&lt;=O4), "Accept", "Reject"),"Reject")</f>
        <v>Accept</v>
      </c>
      <c r="T4" s="50"/>
      <c r="U4" s="51"/>
    </row>
    <row r="5" spans="1:21" ht="24.75" customHeight="1" x14ac:dyDescent="0.3">
      <c r="A5" s="38" t="str">
        <f>IFERROR(VLOOKUP(D5,'[1]Product Datasheet'!$A:$G,2,0),"")</f>
        <v/>
      </c>
      <c r="B5" s="39" t="str">
        <f>IFERROR(VLOOKUP(D5,'[1]Product Datasheet'!$A:$G,3,0),"")</f>
        <v/>
      </c>
      <c r="C5" s="40"/>
      <c r="D5" s="41"/>
      <c r="E5" s="41"/>
      <c r="F5" s="41"/>
      <c r="G5" s="42"/>
      <c r="H5" s="43"/>
      <c r="I5" s="42"/>
      <c r="J5" s="44"/>
      <c r="K5" s="44"/>
      <c r="L5" s="44"/>
      <c r="M5" s="45" t="str">
        <f t="shared" si="2"/>
        <v>Pass</v>
      </c>
      <c r="N5" s="46" t="str">
        <f>IFERROR(VLOOKUP(D5,'[1]Product Datasheet'!$A:$G,4,0),"")</f>
        <v/>
      </c>
      <c r="O5" s="47" t="str">
        <f>IFERROR(VLOOKUP(D5,'[1]Product Datasheet'!$A:$G,5,0),"")</f>
        <v/>
      </c>
      <c r="P5" s="47" t="str">
        <f>IFERROR(VLOOKUP(D5,'[1]Product Datasheet'!$A:$G,6,0),"")</f>
        <v/>
      </c>
      <c r="Q5" s="47" t="str">
        <f>IFERROR(VLOOKUP(D5,'[1]Product Datasheet'!$A:$G,7,0), "")</f>
        <v/>
      </c>
      <c r="R5" s="48"/>
      <c r="S5" s="49" t="str">
        <f t="shared" si="3"/>
        <v>Accept</v>
      </c>
      <c r="T5" s="50"/>
      <c r="U5" s="51"/>
    </row>
    <row r="6" spans="1:21" ht="24.75" customHeight="1" x14ac:dyDescent="0.3">
      <c r="A6" s="38" t="str">
        <f>IFERROR(VLOOKUP(D6,'[1]Product Datasheet'!$A:$G,2,0),"")</f>
        <v/>
      </c>
      <c r="B6" s="39" t="str">
        <f>IFERROR(VLOOKUP(D6,'[1]Product Datasheet'!$A:$G,3,0),"")</f>
        <v/>
      </c>
      <c r="C6" s="40"/>
      <c r="D6" s="41"/>
      <c r="E6" s="41"/>
      <c r="F6" s="41"/>
      <c r="G6" s="42"/>
      <c r="H6" s="43"/>
      <c r="I6" s="42"/>
      <c r="J6" s="44"/>
      <c r="K6" s="44"/>
      <c r="L6" s="44"/>
      <c r="M6" s="45" t="str">
        <f t="shared" si="2"/>
        <v>Pass</v>
      </c>
      <c r="N6" s="46" t="str">
        <f>IFERROR(VLOOKUP(D6,'[1]Product Datasheet'!$A:$G,4,0),"")</f>
        <v/>
      </c>
      <c r="O6" s="47" t="str">
        <f>IFERROR(VLOOKUP(D6,'[1]Product Datasheet'!$A:$G,5,0),"")</f>
        <v/>
      </c>
      <c r="P6" s="47" t="str">
        <f>IFERROR(VLOOKUP(D6,'[1]Product Datasheet'!$A:$G,6,0),"")</f>
        <v/>
      </c>
      <c r="Q6" s="47" t="str">
        <f>IFERROR(VLOOKUP(D6,'[1]Product Datasheet'!$A:$G,7,0), "")</f>
        <v/>
      </c>
      <c r="R6" s="48"/>
      <c r="S6" s="49" t="str">
        <f t="shared" si="3"/>
        <v>Accept</v>
      </c>
      <c r="T6" s="50"/>
      <c r="U6" s="51"/>
    </row>
    <row r="7" spans="1:21" ht="24.75" customHeight="1" x14ac:dyDescent="0.3">
      <c r="A7" s="38" t="str">
        <f>IFERROR(VLOOKUP(D7,'[1]Product Datasheet'!$A:$G,2,0),"")</f>
        <v/>
      </c>
      <c r="B7" s="39" t="str">
        <f>IFERROR(VLOOKUP(D7,'[1]Product Datasheet'!$A:$G,3,0),"")</f>
        <v/>
      </c>
      <c r="C7" s="40"/>
      <c r="D7" s="41"/>
      <c r="E7" s="41"/>
      <c r="F7" s="41"/>
      <c r="G7" s="42"/>
      <c r="H7" s="43"/>
      <c r="I7" s="42"/>
      <c r="J7" s="44"/>
      <c r="K7" s="44"/>
      <c r="L7" s="44"/>
      <c r="M7" s="45" t="str">
        <f t="shared" si="2"/>
        <v>Pass</v>
      </c>
      <c r="N7" s="46" t="str">
        <f>IFERROR(VLOOKUP(D7,'[1]Product Datasheet'!$A:$G,4,0),"")</f>
        <v/>
      </c>
      <c r="O7" s="47" t="str">
        <f>IFERROR(VLOOKUP(D7,'[1]Product Datasheet'!$A:$G,5,0),"")</f>
        <v/>
      </c>
      <c r="P7" s="47" t="str">
        <f>IFERROR(VLOOKUP(D7,'[1]Product Datasheet'!$A:$G,6,0),"")</f>
        <v/>
      </c>
      <c r="Q7" s="47" t="str">
        <f>IFERROR(VLOOKUP(D7,'[1]Product Datasheet'!$A:$G,7,0), "")</f>
        <v/>
      </c>
      <c r="R7" s="48"/>
      <c r="S7" s="49" t="str">
        <f t="shared" si="3"/>
        <v>Accept</v>
      </c>
      <c r="T7" s="50"/>
      <c r="U7" s="51"/>
    </row>
    <row r="8" spans="1:21" ht="24.75" customHeight="1" x14ac:dyDescent="0.3">
      <c r="A8" s="38" t="str">
        <f>IFERROR(VLOOKUP(D8,'[1]Product Datasheet'!$A:$G,2,0),"")</f>
        <v/>
      </c>
      <c r="B8" s="39" t="str">
        <f>IFERROR(VLOOKUP(D8,'[1]Product Datasheet'!$A:$G,3,0),"")</f>
        <v/>
      </c>
      <c r="C8" s="40"/>
      <c r="D8" s="41"/>
      <c r="E8" s="41"/>
      <c r="F8" s="41"/>
      <c r="G8" s="42"/>
      <c r="H8" s="43"/>
      <c r="I8" s="42"/>
      <c r="J8" s="44"/>
      <c r="K8" s="44"/>
      <c r="L8" s="44"/>
      <c r="M8" s="45" t="str">
        <f t="shared" ref="M8:M71" si="4">IF(AND(G8&lt;=O8,G8&gt;=N8,H8&lt;=Q8,H8&gt;=P8),"Pass","Fail")</f>
        <v>Pass</v>
      </c>
      <c r="N8" s="46" t="str">
        <f>IFERROR(VLOOKUP(D8,'[1]Product Datasheet'!$A:$G,4,0),"")</f>
        <v/>
      </c>
      <c r="O8" s="47" t="str">
        <f>IFERROR(VLOOKUP(D8,'[1]Product Datasheet'!$A:$G,5,0),"")</f>
        <v/>
      </c>
      <c r="P8" s="47" t="str">
        <f>IFERROR(VLOOKUP(D8,'[1]Product Datasheet'!$A:$G,6,0),"")</f>
        <v/>
      </c>
      <c r="Q8" s="47" t="str">
        <f>IFERROR(VLOOKUP(D8,'[1]Product Datasheet'!$A:$G,7,0), "")</f>
        <v/>
      </c>
      <c r="R8" s="48"/>
      <c r="S8" s="49" t="str">
        <f t="shared" si="3"/>
        <v>Accept</v>
      </c>
      <c r="T8" s="50"/>
      <c r="U8" s="51"/>
    </row>
    <row r="9" spans="1:21" ht="24.75" customHeight="1" x14ac:dyDescent="0.3">
      <c r="A9" s="38" t="str">
        <f>IFERROR(VLOOKUP(D9,'[1]Product Datasheet'!$A:$G,2,0),"")</f>
        <v/>
      </c>
      <c r="B9" s="39" t="str">
        <f>IFERROR(VLOOKUP(D9,'[1]Product Datasheet'!$A:$G,3,0),"")</f>
        <v/>
      </c>
      <c r="C9" s="40"/>
      <c r="D9" s="41"/>
      <c r="E9" s="41"/>
      <c r="F9" s="41"/>
      <c r="G9" s="42"/>
      <c r="H9" s="43"/>
      <c r="I9" s="42"/>
      <c r="J9" s="44"/>
      <c r="K9" s="44"/>
      <c r="L9" s="44"/>
      <c r="M9" s="45" t="str">
        <f t="shared" si="4"/>
        <v>Pass</v>
      </c>
      <c r="N9" s="46" t="str">
        <f>IFERROR(VLOOKUP(D9,'[1]Product Datasheet'!$A:$G,4,0),"")</f>
        <v/>
      </c>
      <c r="O9" s="47" t="str">
        <f>IFERROR(VLOOKUP(D9,'[1]Product Datasheet'!$A:$G,5,0),"")</f>
        <v/>
      </c>
      <c r="P9" s="47" t="str">
        <f>IFERROR(VLOOKUP(D9,'[1]Product Datasheet'!$A:$G,6,0),"")</f>
        <v/>
      </c>
      <c r="Q9" s="47" t="str">
        <f>IFERROR(VLOOKUP(D9,'[1]Product Datasheet'!$A:$G,7,0), "")</f>
        <v/>
      </c>
      <c r="R9" s="48"/>
      <c r="S9" s="49" t="str">
        <f t="shared" si="3"/>
        <v>Accept</v>
      </c>
      <c r="T9" s="50"/>
      <c r="U9" s="51"/>
    </row>
    <row r="10" spans="1:21" ht="24.75" customHeight="1" x14ac:dyDescent="0.3">
      <c r="A10" s="38" t="str">
        <f>IFERROR(VLOOKUP(D10,'[1]Product Datasheet'!$A:$G,2,0),"")</f>
        <v/>
      </c>
      <c r="B10" s="39" t="str">
        <f>IFERROR(VLOOKUP(D10,'[1]Product Datasheet'!$A:$G,3,0),"")</f>
        <v/>
      </c>
      <c r="C10" s="40"/>
      <c r="D10" s="41"/>
      <c r="E10" s="41"/>
      <c r="F10" s="41"/>
      <c r="G10" s="42"/>
      <c r="H10" s="43"/>
      <c r="I10" s="42"/>
      <c r="J10" s="44"/>
      <c r="K10" s="44"/>
      <c r="L10" s="44"/>
      <c r="M10" s="45" t="str">
        <f t="shared" si="4"/>
        <v>Pass</v>
      </c>
      <c r="N10" s="46" t="str">
        <f>IFERROR(VLOOKUP(D10,'[1]Product Datasheet'!$A:$G,4,0),"")</f>
        <v/>
      </c>
      <c r="O10" s="47" t="str">
        <f>IFERROR(VLOOKUP(D10,'[1]Product Datasheet'!$A:$G,5,0),"")</f>
        <v/>
      </c>
      <c r="P10" s="47" t="str">
        <f>IFERROR(VLOOKUP(D10,'[1]Product Datasheet'!$A:$G,6,0),"")</f>
        <v/>
      </c>
      <c r="Q10" s="47" t="str">
        <f>IFERROR(VLOOKUP(D10,'[1]Product Datasheet'!$A:$G,7,0), "")</f>
        <v/>
      </c>
      <c r="R10" s="48"/>
      <c r="S10" s="49" t="str">
        <f t="shared" si="3"/>
        <v>Accept</v>
      </c>
      <c r="T10" s="50"/>
      <c r="U10" s="51"/>
    </row>
    <row r="11" spans="1:21" ht="24.75" customHeight="1" x14ac:dyDescent="0.3">
      <c r="A11" s="38" t="str">
        <f>IFERROR(VLOOKUP(D11,'[1]Product Datasheet'!$A:$G,2,0),"")</f>
        <v/>
      </c>
      <c r="B11" s="39" t="str">
        <f>IFERROR(VLOOKUP(D11,'[1]Product Datasheet'!$A:$G,3,0),"")</f>
        <v/>
      </c>
      <c r="C11" s="40"/>
      <c r="D11" s="41"/>
      <c r="E11" s="41"/>
      <c r="F11" s="41"/>
      <c r="G11" s="42"/>
      <c r="H11" s="43"/>
      <c r="I11" s="42"/>
      <c r="J11" s="44"/>
      <c r="K11" s="44"/>
      <c r="L11" s="44"/>
      <c r="M11" s="45" t="str">
        <f t="shared" si="4"/>
        <v>Pass</v>
      </c>
      <c r="N11" s="46" t="str">
        <f>IFERROR(VLOOKUP(D11,'[1]Product Datasheet'!$A:$G,4,0),"")</f>
        <v/>
      </c>
      <c r="O11" s="47" t="str">
        <f>IFERROR(VLOOKUP(D11,'[1]Product Datasheet'!$A:$G,5,0),"")</f>
        <v/>
      </c>
      <c r="P11" s="47" t="str">
        <f>IFERROR(VLOOKUP(D11,'[1]Product Datasheet'!$A:$G,6,0),"")</f>
        <v/>
      </c>
      <c r="Q11" s="47" t="str">
        <f>IFERROR(VLOOKUP(D11,'[1]Product Datasheet'!$A:$G,7,0), "")</f>
        <v/>
      </c>
      <c r="R11" s="48"/>
      <c r="S11" s="49" t="str">
        <f t="shared" si="3"/>
        <v>Accept</v>
      </c>
      <c r="T11" s="50"/>
      <c r="U11" s="51"/>
    </row>
    <row r="12" spans="1:21" ht="24.75" customHeight="1" x14ac:dyDescent="0.3">
      <c r="A12" s="38" t="str">
        <f>IFERROR(VLOOKUP(D12,'[1]Product Datasheet'!$A:$G,2,0),"")</f>
        <v/>
      </c>
      <c r="B12" s="39" t="str">
        <f>IFERROR(VLOOKUP(D12,'[1]Product Datasheet'!$A:$G,3,0),"")</f>
        <v/>
      </c>
      <c r="C12" s="40"/>
      <c r="D12" s="41"/>
      <c r="E12" s="41"/>
      <c r="F12" s="41"/>
      <c r="G12" s="42"/>
      <c r="H12" s="43"/>
      <c r="I12" s="42"/>
      <c r="J12" s="44"/>
      <c r="K12" s="44"/>
      <c r="L12" s="44"/>
      <c r="M12" s="45" t="str">
        <f t="shared" si="4"/>
        <v>Pass</v>
      </c>
      <c r="N12" s="46" t="str">
        <f>IFERROR(VLOOKUP(D12,'[1]Product Datasheet'!$A:$G,4,0),"")</f>
        <v/>
      </c>
      <c r="O12" s="47" t="str">
        <f>IFERROR(VLOOKUP(D12,'[1]Product Datasheet'!$A:$G,5,0),"")</f>
        <v/>
      </c>
      <c r="P12" s="47" t="str">
        <f>IFERROR(VLOOKUP(D12,'[1]Product Datasheet'!$A:$G,6,0),"")</f>
        <v/>
      </c>
      <c r="Q12" s="47" t="str">
        <f>IFERROR(VLOOKUP(D12,'[1]Product Datasheet'!$A:$G,7,0), "")</f>
        <v/>
      </c>
      <c r="R12" s="48"/>
      <c r="S12" s="49" t="str">
        <f t="shared" si="3"/>
        <v>Accept</v>
      </c>
      <c r="T12" s="50"/>
      <c r="U12" s="51"/>
    </row>
    <row r="13" spans="1:21" ht="24.75" customHeight="1" x14ac:dyDescent="0.3">
      <c r="A13" s="38" t="str">
        <f>IFERROR(VLOOKUP(D13,'[1]Product Datasheet'!$A:$G,2,0),"")</f>
        <v/>
      </c>
      <c r="B13" s="39" t="str">
        <f>IFERROR(VLOOKUP(D13,'[1]Product Datasheet'!$A:$G,3,0),"")</f>
        <v/>
      </c>
      <c r="C13" s="40"/>
      <c r="D13" s="41"/>
      <c r="E13" s="41"/>
      <c r="F13" s="41"/>
      <c r="G13" s="42"/>
      <c r="H13" s="43"/>
      <c r="I13" s="42"/>
      <c r="J13" s="44"/>
      <c r="K13" s="44"/>
      <c r="L13" s="44"/>
      <c r="M13" s="45" t="str">
        <f t="shared" si="4"/>
        <v>Pass</v>
      </c>
      <c r="N13" s="46" t="str">
        <f>IFERROR(VLOOKUP(D13,'[1]Product Datasheet'!$A:$G,4,0),"")</f>
        <v/>
      </c>
      <c r="O13" s="47" t="str">
        <f>IFERROR(VLOOKUP(D13,'[1]Product Datasheet'!$A:$G,5,0),"")</f>
        <v/>
      </c>
      <c r="P13" s="47" t="str">
        <f>IFERROR(VLOOKUP(D13,'[1]Product Datasheet'!$A:$G,6,0),"")</f>
        <v/>
      </c>
      <c r="Q13" s="47" t="str">
        <f>IFERROR(VLOOKUP(D13,'[1]Product Datasheet'!$A:$G,7,0), "")</f>
        <v/>
      </c>
      <c r="R13" s="48"/>
      <c r="S13" s="49" t="str">
        <f t="shared" si="3"/>
        <v>Accept</v>
      </c>
      <c r="T13" s="50"/>
      <c r="U13" s="51"/>
    </row>
    <row r="14" spans="1:21" ht="24.75" customHeight="1" x14ac:dyDescent="0.3">
      <c r="A14" s="38" t="str">
        <f>IFERROR(VLOOKUP(D14,'[1]Product Datasheet'!$A:$G,2,0),"")</f>
        <v/>
      </c>
      <c r="B14" s="39" t="str">
        <f>IFERROR(VLOOKUP(D14,'[1]Product Datasheet'!$A:$G,3,0),"")</f>
        <v/>
      </c>
      <c r="C14" s="40"/>
      <c r="D14" s="41"/>
      <c r="E14" s="41"/>
      <c r="F14" s="41"/>
      <c r="G14" s="42"/>
      <c r="H14" s="43"/>
      <c r="I14" s="42"/>
      <c r="J14" s="44"/>
      <c r="K14" s="44"/>
      <c r="L14" s="44"/>
      <c r="M14" s="45" t="str">
        <f t="shared" si="4"/>
        <v>Pass</v>
      </c>
      <c r="N14" s="46" t="str">
        <f>IFERROR(VLOOKUP(D14,'[1]Product Datasheet'!$A:$G,4,0),"")</f>
        <v/>
      </c>
      <c r="O14" s="47" t="str">
        <f>IFERROR(VLOOKUP(D14,'[1]Product Datasheet'!$A:$G,5,0),"")</f>
        <v/>
      </c>
      <c r="P14" s="47" t="str">
        <f>IFERROR(VLOOKUP(D14,'[1]Product Datasheet'!$A:$G,6,0),"")</f>
        <v/>
      </c>
      <c r="Q14" s="47" t="str">
        <f>IFERROR(VLOOKUP(D14,'[1]Product Datasheet'!$A:$G,7,0), "")</f>
        <v/>
      </c>
      <c r="R14" s="48"/>
      <c r="S14" s="49" t="str">
        <f t="shared" si="3"/>
        <v>Accept</v>
      </c>
      <c r="T14" s="50"/>
      <c r="U14" s="51"/>
    </row>
    <row r="15" spans="1:21" ht="24.75" customHeight="1" x14ac:dyDescent="0.3">
      <c r="A15" s="38" t="str">
        <f>IFERROR(VLOOKUP(D15,'[1]Product Datasheet'!$A:$G,2,0),"")</f>
        <v/>
      </c>
      <c r="B15" s="39" t="str">
        <f>IFERROR(VLOOKUP(D15,'[1]Product Datasheet'!$A:$G,3,0),"")</f>
        <v/>
      </c>
      <c r="C15" s="40"/>
      <c r="D15" s="41"/>
      <c r="E15" s="41"/>
      <c r="F15" s="41"/>
      <c r="G15" s="42"/>
      <c r="H15" s="43"/>
      <c r="I15" s="42"/>
      <c r="J15" s="44"/>
      <c r="K15" s="44"/>
      <c r="L15" s="44"/>
      <c r="M15" s="45" t="str">
        <f t="shared" si="4"/>
        <v>Pass</v>
      </c>
      <c r="N15" s="46" t="str">
        <f>IFERROR(VLOOKUP(D15,'[1]Product Datasheet'!$A:$G,4,0),"")</f>
        <v/>
      </c>
      <c r="O15" s="47" t="str">
        <f>IFERROR(VLOOKUP(D15,'[1]Product Datasheet'!$A:$G,5,0),"")</f>
        <v/>
      </c>
      <c r="P15" s="47" t="str">
        <f>IFERROR(VLOOKUP(D15,'[1]Product Datasheet'!$A:$G,6,0),"")</f>
        <v/>
      </c>
      <c r="Q15" s="47" t="str">
        <f>IFERROR(VLOOKUP(D15,'[1]Product Datasheet'!$A:$G,7,0), "")</f>
        <v/>
      </c>
      <c r="R15" s="48"/>
      <c r="S15" s="49" t="str">
        <f t="shared" si="3"/>
        <v>Accept</v>
      </c>
      <c r="T15" s="50"/>
      <c r="U15" s="51"/>
    </row>
    <row r="16" spans="1:21" ht="24.75" customHeight="1" x14ac:dyDescent="0.3">
      <c r="A16" s="38" t="str">
        <f>IFERROR(VLOOKUP(D16,'[1]Product Datasheet'!$A:$G,2,0),"")</f>
        <v/>
      </c>
      <c r="B16" s="39" t="str">
        <f>IFERROR(VLOOKUP(D16,'[1]Product Datasheet'!$A:$G,3,0),"")</f>
        <v/>
      </c>
      <c r="C16" s="40"/>
      <c r="D16" s="41"/>
      <c r="E16" s="41"/>
      <c r="F16" s="41"/>
      <c r="G16" s="42"/>
      <c r="H16" s="43"/>
      <c r="I16" s="42"/>
      <c r="J16" s="44"/>
      <c r="K16" s="44"/>
      <c r="L16" s="44"/>
      <c r="M16" s="45" t="str">
        <f t="shared" si="4"/>
        <v>Pass</v>
      </c>
      <c r="N16" s="46" t="str">
        <f>IFERROR(VLOOKUP(D16,'[1]Product Datasheet'!$A:$G,4,0),"")</f>
        <v/>
      </c>
      <c r="O16" s="47" t="str">
        <f>IFERROR(VLOOKUP(D16,'[1]Product Datasheet'!$A:$G,5,0),"")</f>
        <v/>
      </c>
      <c r="P16" s="47" t="str">
        <f>IFERROR(VLOOKUP(D16,'[1]Product Datasheet'!$A:$G,6,0),"")</f>
        <v/>
      </c>
      <c r="Q16" s="47" t="str">
        <f>IFERROR(VLOOKUP(D16,'[1]Product Datasheet'!$A:$G,7,0), "")</f>
        <v/>
      </c>
      <c r="R16" s="48"/>
      <c r="S16" s="49" t="str">
        <f t="shared" si="3"/>
        <v>Accept</v>
      </c>
      <c r="T16" s="50"/>
      <c r="U16" s="51"/>
    </row>
    <row r="17" spans="1:21" ht="24.75" customHeight="1" x14ac:dyDescent="0.3">
      <c r="A17" s="38" t="str">
        <f>IFERROR(VLOOKUP(D17,'[1]Product Datasheet'!$A:$G,2,0),"")</f>
        <v/>
      </c>
      <c r="B17" s="39" t="str">
        <f>IFERROR(VLOOKUP(D17,'[1]Product Datasheet'!$A:$G,3,0),"")</f>
        <v/>
      </c>
      <c r="C17" s="40"/>
      <c r="D17" s="41"/>
      <c r="E17" s="41"/>
      <c r="F17" s="41"/>
      <c r="G17" s="42"/>
      <c r="H17" s="43"/>
      <c r="I17" s="42"/>
      <c r="J17" s="44"/>
      <c r="K17" s="44"/>
      <c r="L17" s="44"/>
      <c r="M17" s="45" t="str">
        <f t="shared" si="4"/>
        <v>Pass</v>
      </c>
      <c r="N17" s="46" t="str">
        <f>IFERROR(VLOOKUP(D17,'[1]Product Datasheet'!$A:$G,4,0),"")</f>
        <v/>
      </c>
      <c r="O17" s="47" t="str">
        <f>IFERROR(VLOOKUP(D17,'[1]Product Datasheet'!$A:$G,5,0),"")</f>
        <v/>
      </c>
      <c r="P17" s="47" t="str">
        <f>IFERROR(VLOOKUP(D17,'[1]Product Datasheet'!$A:$G,6,0),"")</f>
        <v/>
      </c>
      <c r="Q17" s="47" t="str">
        <f>IFERROR(VLOOKUP(D17,'[1]Product Datasheet'!$A:$G,7,0), "")</f>
        <v/>
      </c>
      <c r="R17" s="48"/>
      <c r="S17" s="49" t="str">
        <f t="shared" si="3"/>
        <v>Accept</v>
      </c>
      <c r="T17" s="50"/>
      <c r="U17" s="51"/>
    </row>
    <row r="18" spans="1:21" ht="24.75" customHeight="1" x14ac:dyDescent="0.3">
      <c r="A18" s="38" t="str">
        <f>IFERROR(VLOOKUP(D18,'[1]Product Datasheet'!$A:$G,2,0),"")</f>
        <v/>
      </c>
      <c r="B18" s="39" t="str">
        <f>IFERROR(VLOOKUP(D18,'[1]Product Datasheet'!$A:$G,3,0),"")</f>
        <v/>
      </c>
      <c r="C18" s="40"/>
      <c r="D18" s="41"/>
      <c r="E18" s="41"/>
      <c r="F18" s="41"/>
      <c r="G18" s="42"/>
      <c r="H18" s="43"/>
      <c r="I18" s="42"/>
      <c r="J18" s="44"/>
      <c r="K18" s="44"/>
      <c r="L18" s="44"/>
      <c r="M18" s="45" t="str">
        <f t="shared" si="4"/>
        <v>Pass</v>
      </c>
      <c r="N18" s="46" t="str">
        <f>IFERROR(VLOOKUP(D18,'[1]Product Datasheet'!$A:$G,4,0),"")</f>
        <v/>
      </c>
      <c r="O18" s="47" t="str">
        <f>IFERROR(VLOOKUP(D18,'[1]Product Datasheet'!$A:$G,5,0),"")</f>
        <v/>
      </c>
      <c r="P18" s="47" t="str">
        <f>IFERROR(VLOOKUP(D18,'[1]Product Datasheet'!$A:$G,6,0),"")</f>
        <v/>
      </c>
      <c r="Q18" s="47" t="str">
        <f>IFERROR(VLOOKUP(D18,'[1]Product Datasheet'!$A:$G,7,0), "")</f>
        <v/>
      </c>
      <c r="R18" s="48"/>
      <c r="S18" s="49" t="str">
        <f t="shared" si="3"/>
        <v>Accept</v>
      </c>
      <c r="T18" s="50"/>
      <c r="U18" s="51"/>
    </row>
    <row r="19" spans="1:21" ht="24.75" customHeight="1" x14ac:dyDescent="0.3">
      <c r="A19" s="38" t="str">
        <f>IFERROR(VLOOKUP(D19,'[1]Product Datasheet'!$A:$G,2,0),"")</f>
        <v/>
      </c>
      <c r="B19" s="39" t="str">
        <f>IFERROR(VLOOKUP(D19,'[1]Product Datasheet'!$A:$G,3,0),"")</f>
        <v/>
      </c>
      <c r="C19" s="40"/>
      <c r="D19" s="41"/>
      <c r="E19" s="41"/>
      <c r="F19" s="41"/>
      <c r="G19" s="42"/>
      <c r="H19" s="43"/>
      <c r="I19" s="42"/>
      <c r="J19" s="44"/>
      <c r="K19" s="44"/>
      <c r="L19" s="44"/>
      <c r="M19" s="45" t="str">
        <f t="shared" si="4"/>
        <v>Pass</v>
      </c>
      <c r="N19" s="46" t="str">
        <f>IFERROR(VLOOKUP(D19,'[1]Product Datasheet'!$A:$G,4,0),"")</f>
        <v/>
      </c>
      <c r="O19" s="47" t="str">
        <f>IFERROR(VLOOKUP(D19,'[1]Product Datasheet'!$A:$G,5,0),"")</f>
        <v/>
      </c>
      <c r="P19" s="47" t="str">
        <f>IFERROR(VLOOKUP(D19,'[1]Product Datasheet'!$A:$G,6,0),"")</f>
        <v/>
      </c>
      <c r="Q19" s="47" t="str">
        <f>IFERROR(VLOOKUP(D19,'[1]Product Datasheet'!$A:$G,7,0), "")</f>
        <v/>
      </c>
      <c r="R19" s="48"/>
      <c r="S19" s="49" t="str">
        <f t="shared" si="3"/>
        <v>Accept</v>
      </c>
      <c r="T19" s="50"/>
      <c r="U19" s="51"/>
    </row>
    <row r="20" spans="1:21" ht="24.75" customHeight="1" x14ac:dyDescent="0.3">
      <c r="A20" s="38" t="str">
        <f>IFERROR(VLOOKUP(D20,'[1]Product Datasheet'!$A:$G,2,0),"")</f>
        <v/>
      </c>
      <c r="B20" s="39" t="str">
        <f>IFERROR(VLOOKUP(D20,'[1]Product Datasheet'!$A:$G,3,0),"")</f>
        <v/>
      </c>
      <c r="C20" s="40"/>
      <c r="D20" s="41"/>
      <c r="E20" s="41"/>
      <c r="F20" s="41"/>
      <c r="G20" s="42"/>
      <c r="H20" s="43"/>
      <c r="I20" s="42"/>
      <c r="J20" s="44"/>
      <c r="K20" s="44"/>
      <c r="L20" s="44"/>
      <c r="M20" s="45" t="str">
        <f t="shared" si="4"/>
        <v>Pass</v>
      </c>
      <c r="N20" s="46" t="str">
        <f>IFERROR(VLOOKUP(D20,'[1]Product Datasheet'!$A:$G,4,0),"")</f>
        <v/>
      </c>
      <c r="O20" s="47" t="str">
        <f>IFERROR(VLOOKUP(D20,'[1]Product Datasheet'!$A:$G,5,0),"")</f>
        <v/>
      </c>
      <c r="P20" s="47" t="str">
        <f>IFERROR(VLOOKUP(D20,'[1]Product Datasheet'!$A:$G,6,0),"")</f>
        <v/>
      </c>
      <c r="Q20" s="47" t="str">
        <f>IFERROR(VLOOKUP(D20,'[1]Product Datasheet'!$A:$G,7,0), "")</f>
        <v/>
      </c>
      <c r="R20" s="48"/>
      <c r="S20" s="49" t="str">
        <f t="shared" si="3"/>
        <v>Accept</v>
      </c>
      <c r="T20" s="50"/>
      <c r="U20" s="51"/>
    </row>
    <row r="21" spans="1:21" ht="24.75" customHeight="1" x14ac:dyDescent="0.3">
      <c r="A21" s="38" t="str">
        <f>IFERROR(VLOOKUP(D21,'[1]Product Datasheet'!$A:$G,2,0),"")</f>
        <v/>
      </c>
      <c r="B21" s="39" t="str">
        <f>IFERROR(VLOOKUP(D21,'[1]Product Datasheet'!$A:$G,3,0),"")</f>
        <v/>
      </c>
      <c r="C21" s="40"/>
      <c r="D21" s="41"/>
      <c r="E21" s="41"/>
      <c r="F21" s="41"/>
      <c r="G21" s="42"/>
      <c r="H21" s="43"/>
      <c r="I21" s="42"/>
      <c r="J21" s="44"/>
      <c r="K21" s="44"/>
      <c r="L21" s="44"/>
      <c r="M21" s="45" t="str">
        <f t="shared" si="4"/>
        <v>Pass</v>
      </c>
      <c r="N21" s="46" t="str">
        <f>IFERROR(VLOOKUP(D21,'[1]Product Datasheet'!$A:$G,4,0),"")</f>
        <v/>
      </c>
      <c r="O21" s="47" t="str">
        <f>IFERROR(VLOOKUP(D21,'[1]Product Datasheet'!$A:$G,5,0),"")</f>
        <v/>
      </c>
      <c r="P21" s="47" t="str">
        <f>IFERROR(VLOOKUP(D21,'[1]Product Datasheet'!$A:$G,6,0),"")</f>
        <v/>
      </c>
      <c r="Q21" s="47" t="str">
        <f>IFERROR(VLOOKUP(D21,'[1]Product Datasheet'!$A:$G,7,0), "")</f>
        <v/>
      </c>
      <c r="R21" s="48"/>
      <c r="S21" s="49" t="str">
        <f t="shared" si="3"/>
        <v>Accept</v>
      </c>
      <c r="T21" s="50"/>
      <c r="U21" s="51"/>
    </row>
    <row r="22" spans="1:21" ht="24.75" customHeight="1" x14ac:dyDescent="0.3">
      <c r="A22" s="38" t="str">
        <f>IFERROR(VLOOKUP(D22,'[1]Product Datasheet'!$A:$G,2,0),"")</f>
        <v/>
      </c>
      <c r="B22" s="39" t="str">
        <f>IFERROR(VLOOKUP(D22,'[1]Product Datasheet'!$A:$G,3,0),"")</f>
        <v/>
      </c>
      <c r="C22" s="40"/>
      <c r="D22" s="41"/>
      <c r="E22" s="41"/>
      <c r="F22" s="41"/>
      <c r="G22" s="42"/>
      <c r="H22" s="43"/>
      <c r="I22" s="42"/>
      <c r="J22" s="44"/>
      <c r="K22" s="44"/>
      <c r="L22" s="44"/>
      <c r="M22" s="45" t="str">
        <f t="shared" si="4"/>
        <v>Pass</v>
      </c>
      <c r="N22" s="46" t="str">
        <f>IFERROR(VLOOKUP(D22,'[1]Product Datasheet'!$A:$G,4,0),"")</f>
        <v/>
      </c>
      <c r="O22" s="47" t="str">
        <f>IFERROR(VLOOKUP(D22,'[1]Product Datasheet'!$A:$G,5,0),"")</f>
        <v/>
      </c>
      <c r="P22" s="47" t="str">
        <f>IFERROR(VLOOKUP(D22,'[1]Product Datasheet'!$A:$G,6,0),"")</f>
        <v/>
      </c>
      <c r="Q22" s="47" t="str">
        <f>IFERROR(VLOOKUP(D22,'[1]Product Datasheet'!$A:$G,7,0), "")</f>
        <v/>
      </c>
      <c r="R22" s="48"/>
      <c r="S22" s="49" t="str">
        <f t="shared" si="3"/>
        <v>Accept</v>
      </c>
      <c r="T22" s="50"/>
      <c r="U22" s="51"/>
    </row>
    <row r="23" spans="1:21" ht="24.75" customHeight="1" x14ac:dyDescent="0.3">
      <c r="A23" s="38" t="str">
        <f>IFERROR(VLOOKUP(D23,'[1]Product Datasheet'!$A:$G,2,0),"")</f>
        <v/>
      </c>
      <c r="B23" s="39" t="str">
        <f>IFERROR(VLOOKUP(D23,'[1]Product Datasheet'!$A:$G,3,0),"")</f>
        <v/>
      </c>
      <c r="C23" s="40"/>
      <c r="D23" s="41"/>
      <c r="E23" s="41"/>
      <c r="F23" s="41"/>
      <c r="G23" s="42"/>
      <c r="H23" s="43"/>
      <c r="I23" s="42"/>
      <c r="J23" s="44"/>
      <c r="K23" s="44"/>
      <c r="L23" s="44"/>
      <c r="M23" s="45" t="str">
        <f t="shared" si="4"/>
        <v>Pass</v>
      </c>
      <c r="N23" s="46" t="str">
        <f>IFERROR(VLOOKUP(D23,'[1]Product Datasheet'!$A:$G,4,0),"")</f>
        <v/>
      </c>
      <c r="O23" s="47" t="str">
        <f>IFERROR(VLOOKUP(D23,'[1]Product Datasheet'!$A:$G,5,0),"")</f>
        <v/>
      </c>
      <c r="P23" s="47" t="str">
        <f>IFERROR(VLOOKUP(D23,'[1]Product Datasheet'!$A:$G,6,0),"")</f>
        <v/>
      </c>
      <c r="Q23" s="47" t="str">
        <f>IFERROR(VLOOKUP(D23,'[1]Product Datasheet'!$A:$G,7,0), "")</f>
        <v/>
      </c>
      <c r="R23" s="48"/>
      <c r="S23" s="49" t="str">
        <f t="shared" si="3"/>
        <v>Accept</v>
      </c>
      <c r="T23" s="50"/>
      <c r="U23" s="51"/>
    </row>
    <row r="24" spans="1:21" ht="24.75" customHeight="1" x14ac:dyDescent="0.3">
      <c r="A24" s="38" t="str">
        <f>IFERROR(VLOOKUP(D24,'[1]Product Datasheet'!$A:$G,2,0),"")</f>
        <v/>
      </c>
      <c r="B24" s="39" t="str">
        <f>IFERROR(VLOOKUP(D24,'[1]Product Datasheet'!$A:$G,3,0),"")</f>
        <v/>
      </c>
      <c r="C24" s="40"/>
      <c r="D24" s="41"/>
      <c r="E24" s="41"/>
      <c r="F24" s="41"/>
      <c r="G24" s="42"/>
      <c r="H24" s="43"/>
      <c r="I24" s="42"/>
      <c r="J24" s="44"/>
      <c r="K24" s="44"/>
      <c r="L24" s="44"/>
      <c r="M24" s="45" t="str">
        <f t="shared" si="4"/>
        <v>Pass</v>
      </c>
      <c r="N24" s="46" t="str">
        <f>IFERROR(VLOOKUP(D24,'[1]Product Datasheet'!$A:$G,4,0),"")</f>
        <v/>
      </c>
      <c r="O24" s="47" t="str">
        <f>IFERROR(VLOOKUP(D24,'[1]Product Datasheet'!$A:$G,5,0),"")</f>
        <v/>
      </c>
      <c r="P24" s="47" t="str">
        <f>IFERROR(VLOOKUP(D24,'[1]Product Datasheet'!$A:$G,6,0),"")</f>
        <v/>
      </c>
      <c r="Q24" s="47" t="str">
        <f>IFERROR(VLOOKUP(D24,'[1]Product Datasheet'!$A:$G,7,0), "")</f>
        <v/>
      </c>
      <c r="R24" s="48"/>
      <c r="S24" s="49" t="str">
        <f t="shared" si="3"/>
        <v>Accept</v>
      </c>
      <c r="T24" s="50"/>
      <c r="U24" s="51"/>
    </row>
    <row r="25" spans="1:21" ht="24.75" customHeight="1" x14ac:dyDescent="0.3">
      <c r="A25" s="38" t="str">
        <f>IFERROR(VLOOKUP(D25,'[1]Product Datasheet'!$A:$G,2,0),"")</f>
        <v/>
      </c>
      <c r="B25" s="39" t="str">
        <f>IFERROR(VLOOKUP(D25,'[1]Product Datasheet'!$A:$G,3,0),"")</f>
        <v/>
      </c>
      <c r="C25" s="40"/>
      <c r="D25" s="41"/>
      <c r="E25" s="41"/>
      <c r="F25" s="41"/>
      <c r="G25" s="42"/>
      <c r="H25" s="43"/>
      <c r="I25" s="42"/>
      <c r="J25" s="44"/>
      <c r="K25" s="44"/>
      <c r="L25" s="44"/>
      <c r="M25" s="45" t="str">
        <f t="shared" si="4"/>
        <v>Pass</v>
      </c>
      <c r="N25" s="46" t="str">
        <f>IFERROR(VLOOKUP(D25,'[1]Product Datasheet'!$A:$G,4,0),"")</f>
        <v/>
      </c>
      <c r="O25" s="47" t="str">
        <f>IFERROR(VLOOKUP(D25,'[1]Product Datasheet'!$A:$G,5,0),"")</f>
        <v/>
      </c>
      <c r="P25" s="47" t="str">
        <f>IFERROR(VLOOKUP(D25,'[1]Product Datasheet'!$A:$G,6,0),"")</f>
        <v/>
      </c>
      <c r="Q25" s="47" t="str">
        <f>IFERROR(VLOOKUP(D25,'[1]Product Datasheet'!$A:$G,7,0), "")</f>
        <v/>
      </c>
      <c r="R25" s="48"/>
      <c r="S25" s="49" t="str">
        <f t="shared" si="3"/>
        <v>Accept</v>
      </c>
      <c r="T25" s="50"/>
      <c r="U25" s="51"/>
    </row>
    <row r="26" spans="1:21" ht="24.75" customHeight="1" x14ac:dyDescent="0.3">
      <c r="A26" s="38" t="str">
        <f>IFERROR(VLOOKUP(D26,'[1]Product Datasheet'!$A:$G,2,0),"")</f>
        <v/>
      </c>
      <c r="B26" s="39" t="str">
        <f>IFERROR(VLOOKUP(D26,'[1]Product Datasheet'!$A:$G,3,0),"")</f>
        <v/>
      </c>
      <c r="C26" s="40"/>
      <c r="D26" s="41"/>
      <c r="E26" s="41"/>
      <c r="F26" s="41"/>
      <c r="G26" s="42"/>
      <c r="H26" s="43"/>
      <c r="I26" s="42"/>
      <c r="J26" s="44"/>
      <c r="K26" s="44"/>
      <c r="L26" s="44"/>
      <c r="M26" s="45" t="str">
        <f t="shared" si="4"/>
        <v>Pass</v>
      </c>
      <c r="N26" s="46" t="str">
        <f>IFERROR(VLOOKUP(D26,'[1]Product Datasheet'!$A:$G,4,0),"")</f>
        <v/>
      </c>
      <c r="O26" s="47" t="str">
        <f>IFERROR(VLOOKUP(D26,'[1]Product Datasheet'!$A:$G,5,0),"")</f>
        <v/>
      </c>
      <c r="P26" s="47" t="str">
        <f>IFERROR(VLOOKUP(D26,'[1]Product Datasheet'!$A:$G,6,0),"")</f>
        <v/>
      </c>
      <c r="Q26" s="47" t="str">
        <f>IFERROR(VLOOKUP(D26,'[1]Product Datasheet'!$A:$G,7,0), "")</f>
        <v/>
      </c>
      <c r="R26" s="48"/>
      <c r="S26" s="49" t="str">
        <f t="shared" ref="S26:S89" si="5">IFERROR(IF(AND(ROUND(H26, 2)&lt;=Q26, ROUND(G26,1)&lt;=O26), "Accept", "Reject"),"Reject")</f>
        <v>Accept</v>
      </c>
      <c r="T26" s="50"/>
      <c r="U26" s="51"/>
    </row>
    <row r="27" spans="1:21" ht="24.75" customHeight="1" x14ac:dyDescent="0.3">
      <c r="A27" s="38" t="str">
        <f>IFERROR(VLOOKUP(D27,'[1]Product Datasheet'!$A:$G,2,0),"")</f>
        <v/>
      </c>
      <c r="B27" s="39" t="str">
        <f>IFERROR(VLOOKUP(D27,'[1]Product Datasheet'!$A:$G,3,0),"")</f>
        <v/>
      </c>
      <c r="C27" s="40"/>
      <c r="D27" s="41"/>
      <c r="E27" s="41"/>
      <c r="F27" s="41"/>
      <c r="G27" s="42"/>
      <c r="H27" s="43"/>
      <c r="I27" s="42"/>
      <c r="J27" s="44"/>
      <c r="K27" s="44"/>
      <c r="L27" s="44"/>
      <c r="M27" s="45" t="str">
        <f t="shared" si="4"/>
        <v>Pass</v>
      </c>
      <c r="N27" s="46" t="str">
        <f>IFERROR(VLOOKUP(D27,'[1]Product Datasheet'!$A:$G,4,0),"")</f>
        <v/>
      </c>
      <c r="O27" s="47" t="str">
        <f>IFERROR(VLOOKUP(D27,'[1]Product Datasheet'!$A:$G,5,0),"")</f>
        <v/>
      </c>
      <c r="P27" s="47" t="str">
        <f>IFERROR(VLOOKUP(D27,'[1]Product Datasheet'!$A:$G,6,0),"")</f>
        <v/>
      </c>
      <c r="Q27" s="47" t="str">
        <f>IFERROR(VLOOKUP(D27,'[1]Product Datasheet'!$A:$G,7,0), "")</f>
        <v/>
      </c>
      <c r="R27" s="48"/>
      <c r="S27" s="49" t="str">
        <f t="shared" si="5"/>
        <v>Accept</v>
      </c>
      <c r="T27" s="50"/>
      <c r="U27" s="51"/>
    </row>
    <row r="28" spans="1:21" ht="24.75" customHeight="1" x14ac:dyDescent="0.3">
      <c r="A28" s="38" t="str">
        <f>IFERROR(VLOOKUP(D28,'[1]Product Datasheet'!$A:$G,2,0),"")</f>
        <v/>
      </c>
      <c r="B28" s="39" t="str">
        <f>IFERROR(VLOOKUP(D28,'[1]Product Datasheet'!$A:$G,3,0),"")</f>
        <v/>
      </c>
      <c r="C28" s="40"/>
      <c r="D28" s="41"/>
      <c r="E28" s="41"/>
      <c r="F28" s="41"/>
      <c r="G28" s="42"/>
      <c r="H28" s="43"/>
      <c r="I28" s="42"/>
      <c r="J28" s="44"/>
      <c r="K28" s="44"/>
      <c r="L28" s="44"/>
      <c r="M28" s="45" t="str">
        <f t="shared" si="4"/>
        <v>Pass</v>
      </c>
      <c r="N28" s="46" t="str">
        <f>IFERROR(VLOOKUP(D28,'[1]Product Datasheet'!$A:$G,4,0),"")</f>
        <v/>
      </c>
      <c r="O28" s="47" t="str">
        <f>IFERROR(VLOOKUP(D28,'[1]Product Datasheet'!$A:$G,5,0),"")</f>
        <v/>
      </c>
      <c r="P28" s="47" t="str">
        <f>IFERROR(VLOOKUP(D28,'[1]Product Datasheet'!$A:$G,6,0),"")</f>
        <v/>
      </c>
      <c r="Q28" s="47" t="str">
        <f>IFERROR(VLOOKUP(D28,'[1]Product Datasheet'!$A:$G,7,0), "")</f>
        <v/>
      </c>
      <c r="R28" s="48"/>
      <c r="S28" s="49" t="str">
        <f t="shared" si="5"/>
        <v>Accept</v>
      </c>
      <c r="T28" s="50"/>
      <c r="U28" s="51"/>
    </row>
    <row r="29" spans="1:21" ht="24.75" customHeight="1" x14ac:dyDescent="0.3">
      <c r="A29" s="38" t="str">
        <f>IFERROR(VLOOKUP(D29,'[1]Product Datasheet'!$A:$G,2,0),"")</f>
        <v/>
      </c>
      <c r="B29" s="39" t="str">
        <f>IFERROR(VLOOKUP(D29,'[1]Product Datasheet'!$A:$G,3,0),"")</f>
        <v/>
      </c>
      <c r="C29" s="40"/>
      <c r="D29" s="41"/>
      <c r="E29" s="41"/>
      <c r="F29" s="41"/>
      <c r="G29" s="42"/>
      <c r="H29" s="43"/>
      <c r="I29" s="42"/>
      <c r="J29" s="44"/>
      <c r="K29" s="44"/>
      <c r="L29" s="44"/>
      <c r="M29" s="45" t="str">
        <f t="shared" si="4"/>
        <v>Pass</v>
      </c>
      <c r="N29" s="46" t="str">
        <f>IFERROR(VLOOKUP(D29,'[1]Product Datasheet'!$A:$G,4,0),"")</f>
        <v/>
      </c>
      <c r="O29" s="47" t="str">
        <f>IFERROR(VLOOKUP(D29,'[1]Product Datasheet'!$A:$G,5,0),"")</f>
        <v/>
      </c>
      <c r="P29" s="47" t="str">
        <f>IFERROR(VLOOKUP(D29,'[1]Product Datasheet'!$A:$G,6,0),"")</f>
        <v/>
      </c>
      <c r="Q29" s="47" t="str">
        <f>IFERROR(VLOOKUP(D29,'[1]Product Datasheet'!$A:$G,7,0), "")</f>
        <v/>
      </c>
      <c r="R29" s="48"/>
      <c r="S29" s="49" t="str">
        <f t="shared" si="5"/>
        <v>Accept</v>
      </c>
      <c r="T29" s="50"/>
      <c r="U29" s="51"/>
    </row>
    <row r="30" spans="1:21" ht="24.75" customHeight="1" x14ac:dyDescent="0.3">
      <c r="A30" s="38" t="str">
        <f>IFERROR(VLOOKUP(D30,'[1]Product Datasheet'!$A:$G,2,0),"")</f>
        <v/>
      </c>
      <c r="B30" s="39" t="str">
        <f>IFERROR(VLOOKUP(D30,'[1]Product Datasheet'!$A:$G,3,0),"")</f>
        <v/>
      </c>
      <c r="C30" s="40"/>
      <c r="D30" s="41"/>
      <c r="E30" s="41"/>
      <c r="F30" s="41"/>
      <c r="G30" s="42"/>
      <c r="H30" s="43"/>
      <c r="I30" s="42"/>
      <c r="J30" s="44"/>
      <c r="K30" s="44"/>
      <c r="L30" s="44"/>
      <c r="M30" s="45" t="str">
        <f t="shared" si="4"/>
        <v>Pass</v>
      </c>
      <c r="N30" s="46" t="str">
        <f>IFERROR(VLOOKUP(D30,'[1]Product Datasheet'!$A:$G,4,0),"")</f>
        <v/>
      </c>
      <c r="O30" s="47" t="str">
        <f>IFERROR(VLOOKUP(D30,'[1]Product Datasheet'!$A:$G,5,0),"")</f>
        <v/>
      </c>
      <c r="P30" s="47" t="str">
        <f>IFERROR(VLOOKUP(D30,'[1]Product Datasheet'!$A:$G,6,0),"")</f>
        <v/>
      </c>
      <c r="Q30" s="47" t="str">
        <f>IFERROR(VLOOKUP(D30,'[1]Product Datasheet'!$A:$G,7,0), "")</f>
        <v/>
      </c>
      <c r="R30" s="48"/>
      <c r="S30" s="49" t="str">
        <f t="shared" si="5"/>
        <v>Accept</v>
      </c>
      <c r="T30" s="50"/>
      <c r="U30" s="51"/>
    </row>
    <row r="31" spans="1:21" ht="24.75" customHeight="1" x14ac:dyDescent="0.3">
      <c r="A31" s="38" t="str">
        <f>IFERROR(VLOOKUP(D31,'[1]Product Datasheet'!$A:$G,2,0),"")</f>
        <v/>
      </c>
      <c r="B31" s="39" t="str">
        <f>IFERROR(VLOOKUP(D31,'[1]Product Datasheet'!$A:$G,3,0),"")</f>
        <v/>
      </c>
      <c r="C31" s="40"/>
      <c r="D31" s="41"/>
      <c r="E31" s="41"/>
      <c r="F31" s="41"/>
      <c r="G31" s="42"/>
      <c r="H31" s="43"/>
      <c r="I31" s="42"/>
      <c r="J31" s="44"/>
      <c r="K31" s="44"/>
      <c r="L31" s="44"/>
      <c r="M31" s="45" t="str">
        <f t="shared" si="4"/>
        <v>Pass</v>
      </c>
      <c r="N31" s="46" t="str">
        <f>IFERROR(VLOOKUP(D31,'[1]Product Datasheet'!$A:$G,4,0),"")</f>
        <v/>
      </c>
      <c r="O31" s="47" t="str">
        <f>IFERROR(VLOOKUP(D31,'[1]Product Datasheet'!$A:$G,5,0),"")</f>
        <v/>
      </c>
      <c r="P31" s="47" t="str">
        <f>IFERROR(VLOOKUP(D31,'[1]Product Datasheet'!$A:$G,6,0),"")</f>
        <v/>
      </c>
      <c r="Q31" s="47" t="str">
        <f>IFERROR(VLOOKUP(D31,'[1]Product Datasheet'!$A:$G,7,0), "")</f>
        <v/>
      </c>
      <c r="R31" s="48"/>
      <c r="S31" s="49" t="str">
        <f t="shared" si="5"/>
        <v>Accept</v>
      </c>
      <c r="T31" s="50"/>
      <c r="U31" s="51"/>
    </row>
    <row r="32" spans="1:21" ht="24.75" customHeight="1" x14ac:dyDescent="0.3">
      <c r="A32" s="38" t="str">
        <f>IFERROR(VLOOKUP(D32,'[1]Product Datasheet'!$A:$G,2,0),"")</f>
        <v/>
      </c>
      <c r="B32" s="39" t="str">
        <f>IFERROR(VLOOKUP(D32,'[1]Product Datasheet'!$A:$G,3,0),"")</f>
        <v/>
      </c>
      <c r="C32" s="40"/>
      <c r="D32" s="41"/>
      <c r="E32" s="41"/>
      <c r="F32" s="41"/>
      <c r="G32" s="42"/>
      <c r="H32" s="43"/>
      <c r="I32" s="42"/>
      <c r="J32" s="44"/>
      <c r="K32" s="44"/>
      <c r="L32" s="44"/>
      <c r="M32" s="45" t="str">
        <f t="shared" si="4"/>
        <v>Pass</v>
      </c>
      <c r="N32" s="46" t="str">
        <f>IFERROR(VLOOKUP(D32,'[1]Product Datasheet'!$A:$G,4,0),"")</f>
        <v/>
      </c>
      <c r="O32" s="47" t="str">
        <f>IFERROR(VLOOKUP(D32,'[1]Product Datasheet'!$A:$G,5,0),"")</f>
        <v/>
      </c>
      <c r="P32" s="47" t="str">
        <f>IFERROR(VLOOKUP(D32,'[1]Product Datasheet'!$A:$G,6,0),"")</f>
        <v/>
      </c>
      <c r="Q32" s="47" t="str">
        <f>IFERROR(VLOOKUP(D32,'[1]Product Datasheet'!$A:$G,7,0), "")</f>
        <v/>
      </c>
      <c r="R32" s="48"/>
      <c r="S32" s="49" t="str">
        <f t="shared" si="5"/>
        <v>Accept</v>
      </c>
      <c r="T32" s="50"/>
      <c r="U32" s="51"/>
    </row>
    <row r="33" spans="1:21" ht="24.75" customHeight="1" x14ac:dyDescent="0.3">
      <c r="A33" s="38" t="str">
        <f>IFERROR(VLOOKUP(D33,'[1]Product Datasheet'!$A:$G,2,0),"")</f>
        <v/>
      </c>
      <c r="B33" s="39" t="str">
        <f>IFERROR(VLOOKUP(D33,'[1]Product Datasheet'!$A:$G,3,0),"")</f>
        <v/>
      </c>
      <c r="C33" s="40"/>
      <c r="D33" s="41"/>
      <c r="E33" s="41"/>
      <c r="F33" s="41"/>
      <c r="G33" s="42"/>
      <c r="H33" s="43"/>
      <c r="I33" s="42"/>
      <c r="J33" s="44"/>
      <c r="K33" s="44"/>
      <c r="L33" s="44"/>
      <c r="M33" s="45" t="str">
        <f t="shared" si="4"/>
        <v>Pass</v>
      </c>
      <c r="N33" s="46" t="str">
        <f>IFERROR(VLOOKUP(D33,'[1]Product Datasheet'!$A:$G,4,0),"")</f>
        <v/>
      </c>
      <c r="O33" s="47" t="str">
        <f>IFERROR(VLOOKUP(D33,'[1]Product Datasheet'!$A:$G,5,0),"")</f>
        <v/>
      </c>
      <c r="P33" s="47" t="str">
        <f>IFERROR(VLOOKUP(D33,'[1]Product Datasheet'!$A:$G,6,0),"")</f>
        <v/>
      </c>
      <c r="Q33" s="47" t="str">
        <f>IFERROR(VLOOKUP(D33,'[1]Product Datasheet'!$A:$G,7,0), "")</f>
        <v/>
      </c>
      <c r="R33" s="48"/>
      <c r="S33" s="49" t="str">
        <f t="shared" si="5"/>
        <v>Accept</v>
      </c>
      <c r="T33" s="50"/>
      <c r="U33" s="51"/>
    </row>
    <row r="34" spans="1:21" ht="24.75" customHeight="1" x14ac:dyDescent="0.3">
      <c r="A34" s="38" t="str">
        <f>IFERROR(VLOOKUP(D34,'[1]Product Datasheet'!$A:$G,2,0),"")</f>
        <v/>
      </c>
      <c r="B34" s="39" t="str">
        <f>IFERROR(VLOOKUP(D34,'[1]Product Datasheet'!$A:$G,3,0),"")</f>
        <v/>
      </c>
      <c r="C34" s="40"/>
      <c r="D34" s="41"/>
      <c r="E34" s="41"/>
      <c r="F34" s="41"/>
      <c r="G34" s="42"/>
      <c r="H34" s="43"/>
      <c r="I34" s="42"/>
      <c r="J34" s="44"/>
      <c r="K34" s="44"/>
      <c r="L34" s="44"/>
      <c r="M34" s="45" t="str">
        <f t="shared" si="4"/>
        <v>Pass</v>
      </c>
      <c r="N34" s="46" t="str">
        <f>IFERROR(VLOOKUP(D34,'[1]Product Datasheet'!$A:$G,4,0),"")</f>
        <v/>
      </c>
      <c r="O34" s="47" t="str">
        <f>IFERROR(VLOOKUP(D34,'[1]Product Datasheet'!$A:$G,5,0),"")</f>
        <v/>
      </c>
      <c r="P34" s="47" t="str">
        <f>IFERROR(VLOOKUP(D34,'[1]Product Datasheet'!$A:$G,6,0),"")</f>
        <v/>
      </c>
      <c r="Q34" s="47" t="str">
        <f>IFERROR(VLOOKUP(D34,'[1]Product Datasheet'!$A:$G,7,0), "")</f>
        <v/>
      </c>
      <c r="R34" s="48"/>
      <c r="S34" s="49" t="str">
        <f t="shared" si="5"/>
        <v>Accept</v>
      </c>
      <c r="T34" s="50"/>
      <c r="U34" s="51"/>
    </row>
    <row r="35" spans="1:21" ht="24.75" customHeight="1" x14ac:dyDescent="0.3">
      <c r="A35" s="38" t="str">
        <f>IFERROR(VLOOKUP(D35,'[1]Product Datasheet'!$A:$G,2,0),"")</f>
        <v/>
      </c>
      <c r="B35" s="39" t="str">
        <f>IFERROR(VLOOKUP(D35,'[1]Product Datasheet'!$A:$G,3,0),"")</f>
        <v/>
      </c>
      <c r="C35" s="40"/>
      <c r="D35" s="41"/>
      <c r="E35" s="41"/>
      <c r="F35" s="41"/>
      <c r="G35" s="42"/>
      <c r="H35" s="43"/>
      <c r="I35" s="42"/>
      <c r="J35" s="44"/>
      <c r="K35" s="44"/>
      <c r="L35" s="44"/>
      <c r="M35" s="45" t="str">
        <f t="shared" si="4"/>
        <v>Pass</v>
      </c>
      <c r="N35" s="46" t="str">
        <f>IFERROR(VLOOKUP(D35,'[1]Product Datasheet'!$A:$G,4,0),"")</f>
        <v/>
      </c>
      <c r="O35" s="47" t="str">
        <f>IFERROR(VLOOKUP(D35,'[1]Product Datasheet'!$A:$G,5,0),"")</f>
        <v/>
      </c>
      <c r="P35" s="47" t="str">
        <f>IFERROR(VLOOKUP(D35,'[1]Product Datasheet'!$A:$G,6,0),"")</f>
        <v/>
      </c>
      <c r="Q35" s="47" t="str">
        <f>IFERROR(VLOOKUP(D35,'[1]Product Datasheet'!$A:$G,7,0), "")</f>
        <v/>
      </c>
      <c r="R35" s="48"/>
      <c r="S35" s="49" t="str">
        <f t="shared" si="5"/>
        <v>Accept</v>
      </c>
      <c r="T35" s="50"/>
      <c r="U35" s="51"/>
    </row>
    <row r="36" spans="1:21" ht="24.75" customHeight="1" x14ac:dyDescent="0.3">
      <c r="A36" s="38" t="str">
        <f>IFERROR(VLOOKUP(D36,'[1]Product Datasheet'!$A:$G,2,0),"")</f>
        <v/>
      </c>
      <c r="B36" s="39" t="str">
        <f>IFERROR(VLOOKUP(D36,'[1]Product Datasheet'!$A:$G,3,0),"")</f>
        <v/>
      </c>
      <c r="C36" s="40"/>
      <c r="D36" s="41"/>
      <c r="E36" s="41"/>
      <c r="F36" s="41"/>
      <c r="G36" s="42"/>
      <c r="H36" s="43"/>
      <c r="I36" s="42"/>
      <c r="J36" s="44"/>
      <c r="K36" s="44"/>
      <c r="L36" s="44"/>
      <c r="M36" s="45" t="str">
        <f t="shared" si="4"/>
        <v>Pass</v>
      </c>
      <c r="N36" s="46" t="str">
        <f>IFERROR(VLOOKUP(D36,'[1]Product Datasheet'!$A:$G,4,0),"")</f>
        <v/>
      </c>
      <c r="O36" s="47" t="str">
        <f>IFERROR(VLOOKUP(D36,'[1]Product Datasheet'!$A:$G,5,0),"")</f>
        <v/>
      </c>
      <c r="P36" s="47" t="str">
        <f>IFERROR(VLOOKUP(D36,'[1]Product Datasheet'!$A:$G,6,0),"")</f>
        <v/>
      </c>
      <c r="Q36" s="47" t="str">
        <f>IFERROR(VLOOKUP(D36,'[1]Product Datasheet'!$A:$G,7,0), "")</f>
        <v/>
      </c>
      <c r="R36" s="48"/>
      <c r="S36" s="49" t="str">
        <f t="shared" si="5"/>
        <v>Accept</v>
      </c>
      <c r="T36" s="50"/>
      <c r="U36" s="51"/>
    </row>
    <row r="37" spans="1:21" ht="24.75" customHeight="1" x14ac:dyDescent="0.3">
      <c r="A37" s="38" t="str">
        <f>IFERROR(VLOOKUP(D37,'[1]Product Datasheet'!$A:$G,2,0),"")</f>
        <v/>
      </c>
      <c r="B37" s="39" t="str">
        <f>IFERROR(VLOOKUP(D37,'[1]Product Datasheet'!$A:$G,3,0),"")</f>
        <v/>
      </c>
      <c r="C37" s="40"/>
      <c r="D37" s="41"/>
      <c r="E37" s="41"/>
      <c r="F37" s="41"/>
      <c r="G37" s="42"/>
      <c r="H37" s="43"/>
      <c r="I37" s="42"/>
      <c r="J37" s="44"/>
      <c r="K37" s="44"/>
      <c r="L37" s="44"/>
      <c r="M37" s="45" t="str">
        <f t="shared" si="4"/>
        <v>Pass</v>
      </c>
      <c r="N37" s="46" t="str">
        <f>IFERROR(VLOOKUP(D37,'[1]Product Datasheet'!$A:$G,4,0),"")</f>
        <v/>
      </c>
      <c r="O37" s="47" t="str">
        <f>IFERROR(VLOOKUP(D37,'[1]Product Datasheet'!$A:$G,5,0),"")</f>
        <v/>
      </c>
      <c r="P37" s="47" t="str">
        <f>IFERROR(VLOOKUP(D37,'[1]Product Datasheet'!$A:$G,6,0),"")</f>
        <v/>
      </c>
      <c r="Q37" s="47" t="str">
        <f>IFERROR(VLOOKUP(D37,'[1]Product Datasheet'!$A:$G,7,0), "")</f>
        <v/>
      </c>
      <c r="R37" s="48"/>
      <c r="S37" s="49" t="str">
        <f t="shared" si="5"/>
        <v>Accept</v>
      </c>
      <c r="T37" s="50"/>
      <c r="U37" s="51"/>
    </row>
    <row r="38" spans="1:21" ht="24.75" customHeight="1" x14ac:dyDescent="0.3">
      <c r="A38" s="38" t="str">
        <f>IFERROR(VLOOKUP(D38,'[1]Product Datasheet'!$A:$G,2,0),"")</f>
        <v/>
      </c>
      <c r="B38" s="39" t="str">
        <f>IFERROR(VLOOKUP(D38,'[1]Product Datasheet'!$A:$G,3,0),"")</f>
        <v/>
      </c>
      <c r="C38" s="40"/>
      <c r="D38" s="41"/>
      <c r="E38" s="41"/>
      <c r="F38" s="41"/>
      <c r="G38" s="42"/>
      <c r="H38" s="43"/>
      <c r="I38" s="42"/>
      <c r="J38" s="44"/>
      <c r="K38" s="44"/>
      <c r="L38" s="44"/>
      <c r="M38" s="45" t="str">
        <f t="shared" si="4"/>
        <v>Pass</v>
      </c>
      <c r="N38" s="46" t="str">
        <f>IFERROR(VLOOKUP(D38,'[1]Product Datasheet'!$A:$G,4,0),"")</f>
        <v/>
      </c>
      <c r="O38" s="47" t="str">
        <f>IFERROR(VLOOKUP(D38,'[1]Product Datasheet'!$A:$G,5,0),"")</f>
        <v/>
      </c>
      <c r="P38" s="47" t="str">
        <f>IFERROR(VLOOKUP(D38,'[1]Product Datasheet'!$A:$G,6,0),"")</f>
        <v/>
      </c>
      <c r="Q38" s="47" t="str">
        <f>IFERROR(VLOOKUP(D38,'[1]Product Datasheet'!$A:$G,7,0), "")</f>
        <v/>
      </c>
      <c r="R38" s="48"/>
      <c r="S38" s="49" t="str">
        <f t="shared" si="5"/>
        <v>Accept</v>
      </c>
      <c r="T38" s="50"/>
      <c r="U38" s="51"/>
    </row>
    <row r="39" spans="1:21" ht="24.75" customHeight="1" x14ac:dyDescent="0.3">
      <c r="A39" s="38" t="str">
        <f>IFERROR(VLOOKUP(D39,'[1]Product Datasheet'!$A:$G,2,0),"")</f>
        <v/>
      </c>
      <c r="B39" s="39" t="str">
        <f>IFERROR(VLOOKUP(D39,'[1]Product Datasheet'!$A:$G,3,0),"")</f>
        <v/>
      </c>
      <c r="C39" s="40"/>
      <c r="D39" s="41"/>
      <c r="E39" s="41"/>
      <c r="F39" s="41"/>
      <c r="G39" s="42"/>
      <c r="H39" s="43"/>
      <c r="I39" s="42"/>
      <c r="J39" s="44"/>
      <c r="K39" s="44"/>
      <c r="L39" s="44"/>
      <c r="M39" s="45" t="str">
        <f t="shared" si="4"/>
        <v>Pass</v>
      </c>
      <c r="N39" s="46" t="str">
        <f>IFERROR(VLOOKUP(D39,'[1]Product Datasheet'!$A:$G,4,0),"")</f>
        <v/>
      </c>
      <c r="O39" s="47" t="str">
        <f>IFERROR(VLOOKUP(D39,'[1]Product Datasheet'!$A:$G,5,0),"")</f>
        <v/>
      </c>
      <c r="P39" s="47" t="str">
        <f>IFERROR(VLOOKUP(D39,'[1]Product Datasheet'!$A:$G,6,0),"")</f>
        <v/>
      </c>
      <c r="Q39" s="47" t="str">
        <f>IFERROR(VLOOKUP(D39,'[1]Product Datasheet'!$A:$G,7,0), "")</f>
        <v/>
      </c>
      <c r="R39" s="48"/>
      <c r="S39" s="49" t="str">
        <f t="shared" si="5"/>
        <v>Accept</v>
      </c>
      <c r="T39" s="50"/>
      <c r="U39" s="51"/>
    </row>
    <row r="40" spans="1:21" ht="24.75" customHeight="1" x14ac:dyDescent="0.3">
      <c r="A40" s="38" t="str">
        <f>IFERROR(VLOOKUP(D40,'[1]Product Datasheet'!$A:$G,2,0),"")</f>
        <v/>
      </c>
      <c r="B40" s="39" t="str">
        <f>IFERROR(VLOOKUP(D40,'[1]Product Datasheet'!$A:$G,3,0),"")</f>
        <v/>
      </c>
      <c r="C40" s="40"/>
      <c r="D40" s="41"/>
      <c r="E40" s="41"/>
      <c r="F40" s="41"/>
      <c r="G40" s="42"/>
      <c r="H40" s="43"/>
      <c r="I40" s="42"/>
      <c r="J40" s="44"/>
      <c r="K40" s="44"/>
      <c r="L40" s="44"/>
      <c r="M40" s="45" t="str">
        <f t="shared" si="4"/>
        <v>Pass</v>
      </c>
      <c r="N40" s="46" t="str">
        <f>IFERROR(VLOOKUP(D40,'[1]Product Datasheet'!$A:$G,4,0),"")</f>
        <v/>
      </c>
      <c r="O40" s="47" t="str">
        <f>IFERROR(VLOOKUP(D40,'[1]Product Datasheet'!$A:$G,5,0),"")</f>
        <v/>
      </c>
      <c r="P40" s="47" t="str">
        <f>IFERROR(VLOOKUP(D40,'[1]Product Datasheet'!$A:$G,6,0),"")</f>
        <v/>
      </c>
      <c r="Q40" s="47" t="str">
        <f>IFERROR(VLOOKUP(D40,'[1]Product Datasheet'!$A:$G,7,0), "")</f>
        <v/>
      </c>
      <c r="R40" s="48"/>
      <c r="S40" s="49" t="str">
        <f t="shared" si="5"/>
        <v>Accept</v>
      </c>
      <c r="T40" s="50"/>
      <c r="U40" s="51"/>
    </row>
    <row r="41" spans="1:21" ht="24.75" customHeight="1" x14ac:dyDescent="0.3">
      <c r="A41" s="38" t="str">
        <f>IFERROR(VLOOKUP(D41,'[1]Product Datasheet'!$A:$G,2,0),"")</f>
        <v/>
      </c>
      <c r="B41" s="39" t="str">
        <f>IFERROR(VLOOKUP(D41,'[1]Product Datasheet'!$A:$G,3,0),"")</f>
        <v/>
      </c>
      <c r="C41" s="40"/>
      <c r="D41" s="41"/>
      <c r="E41" s="41"/>
      <c r="F41" s="41"/>
      <c r="G41" s="42"/>
      <c r="H41" s="43"/>
      <c r="I41" s="42"/>
      <c r="J41" s="44"/>
      <c r="K41" s="44"/>
      <c r="L41" s="44"/>
      <c r="M41" s="45" t="str">
        <f t="shared" si="4"/>
        <v>Pass</v>
      </c>
      <c r="N41" s="46" t="str">
        <f>IFERROR(VLOOKUP(D41,'[1]Product Datasheet'!$A:$G,4,0),"")</f>
        <v/>
      </c>
      <c r="O41" s="47" t="str">
        <f>IFERROR(VLOOKUP(D41,'[1]Product Datasheet'!$A:$G,5,0),"")</f>
        <v/>
      </c>
      <c r="P41" s="47" t="str">
        <f>IFERROR(VLOOKUP(D41,'[1]Product Datasheet'!$A:$G,6,0),"")</f>
        <v/>
      </c>
      <c r="Q41" s="47" t="str">
        <f>IFERROR(VLOOKUP(D41,'[1]Product Datasheet'!$A:$G,7,0), "")</f>
        <v/>
      </c>
      <c r="R41" s="48"/>
      <c r="S41" s="49" t="str">
        <f t="shared" si="5"/>
        <v>Accept</v>
      </c>
      <c r="T41" s="50"/>
      <c r="U41" s="51"/>
    </row>
    <row r="42" spans="1:21" ht="24.75" customHeight="1" x14ac:dyDescent="0.3">
      <c r="A42" s="38" t="str">
        <f>IFERROR(VLOOKUP(D42,'[1]Product Datasheet'!$A:$G,2,0),"")</f>
        <v/>
      </c>
      <c r="B42" s="39" t="str">
        <f>IFERROR(VLOOKUP(D42,'[1]Product Datasheet'!$A:$G,3,0),"")</f>
        <v/>
      </c>
      <c r="C42" s="40"/>
      <c r="D42" s="41"/>
      <c r="E42" s="41"/>
      <c r="F42" s="41"/>
      <c r="G42" s="42"/>
      <c r="H42" s="43"/>
      <c r="I42" s="42"/>
      <c r="J42" s="44"/>
      <c r="K42" s="44"/>
      <c r="L42" s="44"/>
      <c r="M42" s="45" t="str">
        <f t="shared" si="4"/>
        <v>Pass</v>
      </c>
      <c r="N42" s="46" t="str">
        <f>IFERROR(VLOOKUP(D42,'[1]Product Datasheet'!$A:$G,4,0),"")</f>
        <v/>
      </c>
      <c r="O42" s="47" t="str">
        <f>IFERROR(VLOOKUP(D42,'[1]Product Datasheet'!$A:$G,5,0),"")</f>
        <v/>
      </c>
      <c r="P42" s="47" t="str">
        <f>IFERROR(VLOOKUP(D42,'[1]Product Datasheet'!$A:$G,6,0),"")</f>
        <v/>
      </c>
      <c r="Q42" s="47" t="str">
        <f>IFERROR(VLOOKUP(D42,'[1]Product Datasheet'!$A:$G,7,0), "")</f>
        <v/>
      </c>
      <c r="R42" s="48"/>
      <c r="S42" s="49" t="str">
        <f t="shared" si="5"/>
        <v>Accept</v>
      </c>
      <c r="T42" s="50"/>
      <c r="U42" s="51"/>
    </row>
    <row r="43" spans="1:21" ht="24.75" customHeight="1" x14ac:dyDescent="0.3">
      <c r="A43" s="38" t="str">
        <f>IFERROR(VLOOKUP(D43,'[1]Product Datasheet'!$A:$G,2,0),"")</f>
        <v/>
      </c>
      <c r="B43" s="39" t="str">
        <f>IFERROR(VLOOKUP(D43,'[1]Product Datasheet'!$A:$G,3,0),"")</f>
        <v/>
      </c>
      <c r="C43" s="40"/>
      <c r="D43" s="41"/>
      <c r="E43" s="41"/>
      <c r="F43" s="41"/>
      <c r="G43" s="42"/>
      <c r="H43" s="43"/>
      <c r="I43" s="42"/>
      <c r="J43" s="44"/>
      <c r="K43" s="44"/>
      <c r="L43" s="44"/>
      <c r="M43" s="45" t="str">
        <f t="shared" si="4"/>
        <v>Pass</v>
      </c>
      <c r="N43" s="46" t="str">
        <f>IFERROR(VLOOKUP(D43,'[1]Product Datasheet'!$A:$G,4,0),"")</f>
        <v/>
      </c>
      <c r="O43" s="47" t="str">
        <f>IFERROR(VLOOKUP(D43,'[1]Product Datasheet'!$A:$G,5,0),"")</f>
        <v/>
      </c>
      <c r="P43" s="47" t="str">
        <f>IFERROR(VLOOKUP(D43,'[1]Product Datasheet'!$A:$G,6,0),"")</f>
        <v/>
      </c>
      <c r="Q43" s="47" t="str">
        <f>IFERROR(VLOOKUP(D43,'[1]Product Datasheet'!$A:$G,7,0), "")</f>
        <v/>
      </c>
      <c r="R43" s="48"/>
      <c r="S43" s="49" t="str">
        <f t="shared" si="5"/>
        <v>Accept</v>
      </c>
      <c r="T43" s="50"/>
      <c r="U43" s="51"/>
    </row>
    <row r="44" spans="1:21" ht="24.75" customHeight="1" x14ac:dyDescent="0.3">
      <c r="A44" s="38" t="str">
        <f>IFERROR(VLOOKUP(D44,'[1]Product Datasheet'!$A:$G,2,0),"")</f>
        <v/>
      </c>
      <c r="B44" s="39" t="str">
        <f>IFERROR(VLOOKUP(D44,'[1]Product Datasheet'!$A:$G,3,0),"")</f>
        <v/>
      </c>
      <c r="C44" s="40"/>
      <c r="D44" s="41"/>
      <c r="E44" s="41"/>
      <c r="F44" s="41"/>
      <c r="G44" s="42"/>
      <c r="H44" s="43"/>
      <c r="I44" s="42"/>
      <c r="J44" s="44"/>
      <c r="K44" s="44"/>
      <c r="L44" s="44"/>
      <c r="M44" s="45" t="str">
        <f t="shared" si="4"/>
        <v>Pass</v>
      </c>
      <c r="N44" s="46" t="str">
        <f>IFERROR(VLOOKUP(D44,'[1]Product Datasheet'!$A:$G,4,0),"")</f>
        <v/>
      </c>
      <c r="O44" s="47" t="str">
        <f>IFERROR(VLOOKUP(D44,'[1]Product Datasheet'!$A:$G,5,0),"")</f>
        <v/>
      </c>
      <c r="P44" s="47" t="str">
        <f>IFERROR(VLOOKUP(D44,'[1]Product Datasheet'!$A:$G,6,0),"")</f>
        <v/>
      </c>
      <c r="Q44" s="47" t="str">
        <f>IFERROR(VLOOKUP(D44,'[1]Product Datasheet'!$A:$G,7,0), "")</f>
        <v/>
      </c>
      <c r="R44" s="48"/>
      <c r="S44" s="49" t="str">
        <f t="shared" si="5"/>
        <v>Accept</v>
      </c>
      <c r="T44" s="50"/>
      <c r="U44" s="51"/>
    </row>
    <row r="45" spans="1:21" ht="24.75" customHeight="1" x14ac:dyDescent="0.3">
      <c r="A45" s="38" t="str">
        <f>IFERROR(VLOOKUP(D45,'[1]Product Datasheet'!$A:$G,2,0),"")</f>
        <v/>
      </c>
      <c r="B45" s="39" t="str">
        <f>IFERROR(VLOOKUP(D45,'[1]Product Datasheet'!$A:$G,3,0),"")</f>
        <v/>
      </c>
      <c r="C45" s="40"/>
      <c r="D45" s="41"/>
      <c r="E45" s="41"/>
      <c r="F45" s="41"/>
      <c r="G45" s="42"/>
      <c r="H45" s="43"/>
      <c r="I45" s="42"/>
      <c r="J45" s="44"/>
      <c r="K45" s="44"/>
      <c r="L45" s="44"/>
      <c r="M45" s="45" t="str">
        <f t="shared" si="4"/>
        <v>Pass</v>
      </c>
      <c r="N45" s="46" t="str">
        <f>IFERROR(VLOOKUP(D45,'[1]Product Datasheet'!$A:$G,4,0),"")</f>
        <v/>
      </c>
      <c r="O45" s="47" t="str">
        <f>IFERROR(VLOOKUP(D45,'[1]Product Datasheet'!$A:$G,5,0),"")</f>
        <v/>
      </c>
      <c r="P45" s="47" t="str">
        <f>IFERROR(VLOOKUP(D45,'[1]Product Datasheet'!$A:$G,6,0),"")</f>
        <v/>
      </c>
      <c r="Q45" s="47" t="str">
        <f>IFERROR(VLOOKUP(D45,'[1]Product Datasheet'!$A:$G,7,0), "")</f>
        <v/>
      </c>
      <c r="R45" s="48"/>
      <c r="S45" s="49" t="str">
        <f t="shared" si="5"/>
        <v>Accept</v>
      </c>
      <c r="T45" s="50"/>
      <c r="U45" s="51"/>
    </row>
    <row r="46" spans="1:21" ht="24.75" customHeight="1" x14ac:dyDescent="0.3">
      <c r="A46" s="38" t="str">
        <f>IFERROR(VLOOKUP(D46,'[1]Product Datasheet'!$A:$G,2,0),"")</f>
        <v/>
      </c>
      <c r="B46" s="39" t="str">
        <f>IFERROR(VLOOKUP(D46,'[1]Product Datasheet'!$A:$G,3,0),"")</f>
        <v/>
      </c>
      <c r="C46" s="40"/>
      <c r="D46" s="41"/>
      <c r="E46" s="41"/>
      <c r="F46" s="41"/>
      <c r="G46" s="42"/>
      <c r="H46" s="43"/>
      <c r="I46" s="42"/>
      <c r="J46" s="44"/>
      <c r="K46" s="44"/>
      <c r="L46" s="44"/>
      <c r="M46" s="45" t="str">
        <f t="shared" si="4"/>
        <v>Pass</v>
      </c>
      <c r="N46" s="46" t="str">
        <f>IFERROR(VLOOKUP(D46,'[1]Product Datasheet'!$A:$G,4,0),"")</f>
        <v/>
      </c>
      <c r="O46" s="47" t="str">
        <f>IFERROR(VLOOKUP(D46,'[1]Product Datasheet'!$A:$G,5,0),"")</f>
        <v/>
      </c>
      <c r="P46" s="47" t="str">
        <f>IFERROR(VLOOKUP(D46,'[1]Product Datasheet'!$A:$G,6,0),"")</f>
        <v/>
      </c>
      <c r="Q46" s="47" t="str">
        <f>IFERROR(VLOOKUP(D46,'[1]Product Datasheet'!$A:$G,7,0), "")</f>
        <v/>
      </c>
      <c r="R46" s="48"/>
      <c r="S46" s="49" t="str">
        <f t="shared" si="5"/>
        <v>Accept</v>
      </c>
      <c r="T46" s="50"/>
      <c r="U46" s="51"/>
    </row>
    <row r="47" spans="1:21" ht="24.75" customHeight="1" x14ac:dyDescent="0.3">
      <c r="A47" s="38" t="str">
        <f>IFERROR(VLOOKUP(D47,'[1]Product Datasheet'!$A:$G,2,0),"")</f>
        <v/>
      </c>
      <c r="B47" s="39" t="str">
        <f>IFERROR(VLOOKUP(D47,'[1]Product Datasheet'!$A:$G,3,0),"")</f>
        <v/>
      </c>
      <c r="C47" s="40"/>
      <c r="D47" s="41"/>
      <c r="E47" s="41"/>
      <c r="F47" s="41"/>
      <c r="G47" s="42"/>
      <c r="H47" s="43"/>
      <c r="I47" s="42"/>
      <c r="J47" s="44"/>
      <c r="K47" s="44"/>
      <c r="L47" s="44"/>
      <c r="M47" s="45" t="str">
        <f t="shared" si="4"/>
        <v>Pass</v>
      </c>
      <c r="N47" s="46" t="str">
        <f>IFERROR(VLOOKUP(D47,'[1]Product Datasheet'!$A:$G,4,0),"")</f>
        <v/>
      </c>
      <c r="O47" s="47" t="str">
        <f>IFERROR(VLOOKUP(D47,'[1]Product Datasheet'!$A:$G,5,0),"")</f>
        <v/>
      </c>
      <c r="P47" s="47" t="str">
        <f>IFERROR(VLOOKUP(D47,'[1]Product Datasheet'!$A:$G,6,0),"")</f>
        <v/>
      </c>
      <c r="Q47" s="47" t="str">
        <f>IFERROR(VLOOKUP(D47,'[1]Product Datasheet'!$A:$G,7,0), "")</f>
        <v/>
      </c>
      <c r="R47" s="48"/>
      <c r="S47" s="49" t="str">
        <f t="shared" si="5"/>
        <v>Accept</v>
      </c>
      <c r="T47" s="50"/>
      <c r="U47" s="51"/>
    </row>
    <row r="48" spans="1:21" ht="24.75" customHeight="1" x14ac:dyDescent="0.3">
      <c r="A48" s="38" t="str">
        <f>IFERROR(VLOOKUP(D48,'[1]Product Datasheet'!$A:$G,2,0),"")</f>
        <v/>
      </c>
      <c r="B48" s="39" t="str">
        <f>IFERROR(VLOOKUP(D48,'[1]Product Datasheet'!$A:$G,3,0),"")</f>
        <v/>
      </c>
      <c r="C48" s="40"/>
      <c r="D48" s="41"/>
      <c r="E48" s="41"/>
      <c r="F48" s="41"/>
      <c r="G48" s="42"/>
      <c r="H48" s="43"/>
      <c r="I48" s="42"/>
      <c r="J48" s="44"/>
      <c r="K48" s="44"/>
      <c r="L48" s="44"/>
      <c r="M48" s="45" t="str">
        <f t="shared" si="4"/>
        <v>Pass</v>
      </c>
      <c r="N48" s="46" t="str">
        <f>IFERROR(VLOOKUP(D48,'[1]Product Datasheet'!$A:$G,4,0),"")</f>
        <v/>
      </c>
      <c r="O48" s="47" t="str">
        <f>IFERROR(VLOOKUP(D48,'[1]Product Datasheet'!$A:$G,5,0),"")</f>
        <v/>
      </c>
      <c r="P48" s="47" t="str">
        <f>IFERROR(VLOOKUP(D48,'[1]Product Datasheet'!$A:$G,6,0),"")</f>
        <v/>
      </c>
      <c r="Q48" s="47" t="str">
        <f>IFERROR(VLOOKUP(D48,'[1]Product Datasheet'!$A:$G,7,0), "")</f>
        <v/>
      </c>
      <c r="R48" s="48"/>
      <c r="S48" s="49" t="str">
        <f t="shared" si="5"/>
        <v>Accept</v>
      </c>
      <c r="T48" s="50"/>
      <c r="U48" s="51"/>
    </row>
    <row r="49" spans="1:21" ht="24.75" customHeight="1" x14ac:dyDescent="0.3">
      <c r="A49" s="38" t="str">
        <f>IFERROR(VLOOKUP(D49,'[1]Product Datasheet'!$A:$G,2,0),"")</f>
        <v/>
      </c>
      <c r="B49" s="39" t="str">
        <f>IFERROR(VLOOKUP(D49,'[1]Product Datasheet'!$A:$G,3,0),"")</f>
        <v/>
      </c>
      <c r="C49" s="40"/>
      <c r="D49" s="41"/>
      <c r="E49" s="41"/>
      <c r="F49" s="41"/>
      <c r="G49" s="42"/>
      <c r="H49" s="43"/>
      <c r="I49" s="42"/>
      <c r="J49" s="44"/>
      <c r="K49" s="44"/>
      <c r="L49" s="44"/>
      <c r="M49" s="45" t="str">
        <f t="shared" si="4"/>
        <v>Pass</v>
      </c>
      <c r="N49" s="46" t="str">
        <f>IFERROR(VLOOKUP(D49,'[1]Product Datasheet'!$A:$G,4,0),"")</f>
        <v/>
      </c>
      <c r="O49" s="47" t="str">
        <f>IFERROR(VLOOKUP(D49,'[1]Product Datasheet'!$A:$G,5,0),"")</f>
        <v/>
      </c>
      <c r="P49" s="47" t="str">
        <f>IFERROR(VLOOKUP(D49,'[1]Product Datasheet'!$A:$G,6,0),"")</f>
        <v/>
      </c>
      <c r="Q49" s="47" t="str">
        <f>IFERROR(VLOOKUP(D49,'[1]Product Datasheet'!$A:$G,7,0), "")</f>
        <v/>
      </c>
      <c r="R49" s="48"/>
      <c r="S49" s="49" t="str">
        <f t="shared" si="5"/>
        <v>Accept</v>
      </c>
      <c r="T49" s="50"/>
      <c r="U49" s="51"/>
    </row>
    <row r="50" spans="1:21" ht="24.75" customHeight="1" x14ac:dyDescent="0.3">
      <c r="A50" s="38" t="str">
        <f>IFERROR(VLOOKUP(D50,'[1]Product Datasheet'!$A:$G,2,0),"")</f>
        <v/>
      </c>
      <c r="B50" s="39" t="str">
        <f>IFERROR(VLOOKUP(D50,'[1]Product Datasheet'!$A:$G,3,0),"")</f>
        <v/>
      </c>
      <c r="C50" s="40"/>
      <c r="D50" s="41"/>
      <c r="E50" s="41"/>
      <c r="F50" s="41"/>
      <c r="G50" s="42"/>
      <c r="H50" s="43"/>
      <c r="I50" s="42"/>
      <c r="J50" s="44"/>
      <c r="K50" s="44"/>
      <c r="L50" s="44"/>
      <c r="M50" s="45" t="str">
        <f t="shared" si="4"/>
        <v>Pass</v>
      </c>
      <c r="N50" s="46" t="str">
        <f>IFERROR(VLOOKUP(D50,'[1]Product Datasheet'!$A:$G,4,0),"")</f>
        <v/>
      </c>
      <c r="O50" s="47" t="str">
        <f>IFERROR(VLOOKUP(D50,'[1]Product Datasheet'!$A:$G,5,0),"")</f>
        <v/>
      </c>
      <c r="P50" s="47" t="str">
        <f>IFERROR(VLOOKUP(D50,'[1]Product Datasheet'!$A:$G,6,0),"")</f>
        <v/>
      </c>
      <c r="Q50" s="47" t="str">
        <f>IFERROR(VLOOKUP(D50,'[1]Product Datasheet'!$A:$G,7,0), "")</f>
        <v/>
      </c>
      <c r="R50" s="48"/>
      <c r="S50" s="49" t="str">
        <f t="shared" si="5"/>
        <v>Accept</v>
      </c>
      <c r="T50" s="50"/>
      <c r="U50" s="51"/>
    </row>
    <row r="51" spans="1:21" ht="24.75" customHeight="1" x14ac:dyDescent="0.3">
      <c r="A51" s="38" t="str">
        <f>IFERROR(VLOOKUP(D51,'[1]Product Datasheet'!$A:$G,2,0),"")</f>
        <v/>
      </c>
      <c r="B51" s="39" t="str">
        <f>IFERROR(VLOOKUP(D51,'[1]Product Datasheet'!$A:$G,3,0),"")</f>
        <v/>
      </c>
      <c r="C51" s="40"/>
      <c r="D51" s="41"/>
      <c r="E51" s="41"/>
      <c r="F51" s="41"/>
      <c r="G51" s="42"/>
      <c r="H51" s="43"/>
      <c r="I51" s="42"/>
      <c r="J51" s="44"/>
      <c r="K51" s="44"/>
      <c r="L51" s="44"/>
      <c r="M51" s="45" t="str">
        <f t="shared" si="4"/>
        <v>Pass</v>
      </c>
      <c r="N51" s="46" t="str">
        <f>IFERROR(VLOOKUP(D51,'[1]Product Datasheet'!$A:$G,4,0),"")</f>
        <v/>
      </c>
      <c r="O51" s="47" t="str">
        <f>IFERROR(VLOOKUP(D51,'[1]Product Datasheet'!$A:$G,5,0),"")</f>
        <v/>
      </c>
      <c r="P51" s="47" t="str">
        <f>IFERROR(VLOOKUP(D51,'[1]Product Datasheet'!$A:$G,6,0),"")</f>
        <v/>
      </c>
      <c r="Q51" s="47" t="str">
        <f>IFERROR(VLOOKUP(D51,'[1]Product Datasheet'!$A:$G,7,0), "")</f>
        <v/>
      </c>
      <c r="R51" s="48"/>
      <c r="S51" s="49" t="str">
        <f t="shared" si="5"/>
        <v>Accept</v>
      </c>
      <c r="T51" s="50"/>
      <c r="U51" s="51"/>
    </row>
    <row r="52" spans="1:21" ht="24.75" customHeight="1" x14ac:dyDescent="0.3">
      <c r="A52" s="38" t="str">
        <f>IFERROR(VLOOKUP(D52,'[1]Product Datasheet'!$A:$G,2,0),"")</f>
        <v/>
      </c>
      <c r="B52" s="39" t="str">
        <f>IFERROR(VLOOKUP(D52,'[1]Product Datasheet'!$A:$G,3,0),"")</f>
        <v/>
      </c>
      <c r="C52" s="40"/>
      <c r="D52" s="41"/>
      <c r="E52" s="41"/>
      <c r="F52" s="41"/>
      <c r="G52" s="42"/>
      <c r="H52" s="43"/>
      <c r="I52" s="42"/>
      <c r="J52" s="44"/>
      <c r="K52" s="44"/>
      <c r="L52" s="44"/>
      <c r="M52" s="45" t="str">
        <f t="shared" si="4"/>
        <v>Pass</v>
      </c>
      <c r="N52" s="46" t="str">
        <f>IFERROR(VLOOKUP(D52,'[1]Product Datasheet'!$A:$G,4,0),"")</f>
        <v/>
      </c>
      <c r="O52" s="47" t="str">
        <f>IFERROR(VLOOKUP(D52,'[1]Product Datasheet'!$A:$G,5,0),"")</f>
        <v/>
      </c>
      <c r="P52" s="47" t="str">
        <f>IFERROR(VLOOKUP(D52,'[1]Product Datasheet'!$A:$G,6,0),"")</f>
        <v/>
      </c>
      <c r="Q52" s="47" t="str">
        <f>IFERROR(VLOOKUP(D52,'[1]Product Datasheet'!$A:$G,7,0), "")</f>
        <v/>
      </c>
      <c r="R52" s="48"/>
      <c r="S52" s="49" t="str">
        <f t="shared" si="5"/>
        <v>Accept</v>
      </c>
      <c r="T52" s="50"/>
      <c r="U52" s="51"/>
    </row>
    <row r="53" spans="1:21" ht="24.75" customHeight="1" x14ac:dyDescent="0.3">
      <c r="A53" s="38" t="str">
        <f>IFERROR(VLOOKUP(D53,'[1]Product Datasheet'!$A:$G,2,0),"")</f>
        <v/>
      </c>
      <c r="B53" s="39" t="str">
        <f>IFERROR(VLOOKUP(D53,'[1]Product Datasheet'!$A:$G,3,0),"")</f>
        <v/>
      </c>
      <c r="C53" s="40"/>
      <c r="D53" s="41"/>
      <c r="E53" s="41"/>
      <c r="F53" s="41"/>
      <c r="G53" s="42"/>
      <c r="H53" s="43"/>
      <c r="I53" s="42"/>
      <c r="J53" s="44"/>
      <c r="K53" s="44"/>
      <c r="L53" s="44"/>
      <c r="M53" s="45" t="str">
        <f t="shared" si="4"/>
        <v>Pass</v>
      </c>
      <c r="N53" s="46" t="str">
        <f>IFERROR(VLOOKUP(D53,'[1]Product Datasheet'!$A:$G,4,0),"")</f>
        <v/>
      </c>
      <c r="O53" s="47" t="str">
        <f>IFERROR(VLOOKUP(D53,'[1]Product Datasheet'!$A:$G,5,0),"")</f>
        <v/>
      </c>
      <c r="P53" s="47" t="str">
        <f>IFERROR(VLOOKUP(D53,'[1]Product Datasheet'!$A:$G,6,0),"")</f>
        <v/>
      </c>
      <c r="Q53" s="47" t="str">
        <f>IFERROR(VLOOKUP(D53,'[1]Product Datasheet'!$A:$G,7,0), "")</f>
        <v/>
      </c>
      <c r="R53" s="48"/>
      <c r="S53" s="49" t="str">
        <f t="shared" si="5"/>
        <v>Accept</v>
      </c>
      <c r="T53" s="50"/>
      <c r="U53" s="51"/>
    </row>
    <row r="54" spans="1:21" ht="24.75" customHeight="1" x14ac:dyDescent="0.3">
      <c r="A54" s="38" t="str">
        <f>IFERROR(VLOOKUP(D54,'[1]Product Datasheet'!$A:$G,2,0),"")</f>
        <v/>
      </c>
      <c r="B54" s="39" t="str">
        <f>IFERROR(VLOOKUP(D54,'[1]Product Datasheet'!$A:$G,3,0),"")</f>
        <v/>
      </c>
      <c r="C54" s="40"/>
      <c r="D54" s="41"/>
      <c r="E54" s="41"/>
      <c r="F54" s="41"/>
      <c r="G54" s="42"/>
      <c r="H54" s="43"/>
      <c r="I54" s="42"/>
      <c r="J54" s="44"/>
      <c r="K54" s="44"/>
      <c r="L54" s="44"/>
      <c r="M54" s="45" t="str">
        <f t="shared" si="4"/>
        <v>Pass</v>
      </c>
      <c r="N54" s="46" t="str">
        <f>IFERROR(VLOOKUP(D54,'[1]Product Datasheet'!$A:$G,4,0),"")</f>
        <v/>
      </c>
      <c r="O54" s="47" t="str">
        <f>IFERROR(VLOOKUP(D54,'[1]Product Datasheet'!$A:$G,5,0),"")</f>
        <v/>
      </c>
      <c r="P54" s="47" t="str">
        <f>IFERROR(VLOOKUP(D54,'[1]Product Datasheet'!$A:$G,6,0),"")</f>
        <v/>
      </c>
      <c r="Q54" s="47" t="str">
        <f>IFERROR(VLOOKUP(D54,'[1]Product Datasheet'!$A:$G,7,0), "")</f>
        <v/>
      </c>
      <c r="R54" s="48"/>
      <c r="S54" s="49" t="str">
        <f t="shared" si="5"/>
        <v>Accept</v>
      </c>
      <c r="T54" s="50"/>
      <c r="U54" s="51"/>
    </row>
    <row r="55" spans="1:21" ht="24.75" customHeight="1" x14ac:dyDescent="0.3">
      <c r="A55" s="38" t="str">
        <f>IFERROR(VLOOKUP(D55,'[1]Product Datasheet'!$A:$G,2,0),"")</f>
        <v/>
      </c>
      <c r="B55" s="39" t="str">
        <f>IFERROR(VLOOKUP(D55,'[1]Product Datasheet'!$A:$G,3,0),"")</f>
        <v/>
      </c>
      <c r="C55" s="40"/>
      <c r="D55" s="41"/>
      <c r="E55" s="41"/>
      <c r="F55" s="41"/>
      <c r="G55" s="42"/>
      <c r="H55" s="43"/>
      <c r="I55" s="42"/>
      <c r="J55" s="44"/>
      <c r="K55" s="44"/>
      <c r="L55" s="44"/>
      <c r="M55" s="45" t="str">
        <f t="shared" si="4"/>
        <v>Pass</v>
      </c>
      <c r="N55" s="46" t="str">
        <f>IFERROR(VLOOKUP(D55,'[1]Product Datasheet'!$A:$G,4,0),"")</f>
        <v/>
      </c>
      <c r="O55" s="47" t="str">
        <f>IFERROR(VLOOKUP(D55,'[1]Product Datasheet'!$A:$G,5,0),"")</f>
        <v/>
      </c>
      <c r="P55" s="47" t="str">
        <f>IFERROR(VLOOKUP(D55,'[1]Product Datasheet'!$A:$G,6,0),"")</f>
        <v/>
      </c>
      <c r="Q55" s="47" t="str">
        <f>IFERROR(VLOOKUP(D55,'[1]Product Datasheet'!$A:$G,7,0), "")</f>
        <v/>
      </c>
      <c r="R55" s="48"/>
      <c r="S55" s="49" t="str">
        <f t="shared" si="5"/>
        <v>Accept</v>
      </c>
      <c r="T55" s="50"/>
      <c r="U55" s="51"/>
    </row>
    <row r="56" spans="1:21" ht="24.75" customHeight="1" x14ac:dyDescent="0.3">
      <c r="A56" s="38" t="str">
        <f>IFERROR(VLOOKUP(D56,'[1]Product Datasheet'!$A:$G,2,0),"")</f>
        <v/>
      </c>
      <c r="B56" s="39" t="str">
        <f>IFERROR(VLOOKUP(D56,'[1]Product Datasheet'!$A:$G,3,0),"")</f>
        <v/>
      </c>
      <c r="C56" s="40"/>
      <c r="D56" s="41"/>
      <c r="E56" s="41"/>
      <c r="F56" s="41"/>
      <c r="G56" s="42"/>
      <c r="H56" s="43"/>
      <c r="I56" s="42"/>
      <c r="J56" s="44"/>
      <c r="K56" s="44"/>
      <c r="L56" s="44"/>
      <c r="M56" s="45" t="str">
        <f t="shared" si="4"/>
        <v>Pass</v>
      </c>
      <c r="N56" s="46" t="str">
        <f>IFERROR(VLOOKUP(D56,'[1]Product Datasheet'!$A:$G,4,0),"")</f>
        <v/>
      </c>
      <c r="O56" s="47" t="str">
        <f>IFERROR(VLOOKUP(D56,'[1]Product Datasheet'!$A:$G,5,0),"")</f>
        <v/>
      </c>
      <c r="P56" s="47" t="str">
        <f>IFERROR(VLOOKUP(D56,'[1]Product Datasheet'!$A:$G,6,0),"")</f>
        <v/>
      </c>
      <c r="Q56" s="47" t="str">
        <f>IFERROR(VLOOKUP(D56,'[1]Product Datasheet'!$A:$G,7,0), "")</f>
        <v/>
      </c>
      <c r="R56" s="48"/>
      <c r="S56" s="49" t="str">
        <f t="shared" si="5"/>
        <v>Accept</v>
      </c>
      <c r="T56" s="50"/>
      <c r="U56" s="51"/>
    </row>
    <row r="57" spans="1:21" ht="24.75" customHeight="1" x14ac:dyDescent="0.3">
      <c r="A57" s="38" t="str">
        <f>IFERROR(VLOOKUP(D57,'[1]Product Datasheet'!$A:$G,2,0),"")</f>
        <v/>
      </c>
      <c r="B57" s="39" t="str">
        <f>IFERROR(VLOOKUP(D57,'[1]Product Datasheet'!$A:$G,3,0),"")</f>
        <v/>
      </c>
      <c r="C57" s="40"/>
      <c r="D57" s="41"/>
      <c r="E57" s="41"/>
      <c r="F57" s="41"/>
      <c r="G57" s="42"/>
      <c r="H57" s="43"/>
      <c r="I57" s="42"/>
      <c r="J57" s="44"/>
      <c r="K57" s="44"/>
      <c r="L57" s="44"/>
      <c r="M57" s="45" t="str">
        <f t="shared" si="4"/>
        <v>Pass</v>
      </c>
      <c r="N57" s="46" t="str">
        <f>IFERROR(VLOOKUP(D57,'[1]Product Datasheet'!$A:$G,4,0),"")</f>
        <v/>
      </c>
      <c r="O57" s="47" t="str">
        <f>IFERROR(VLOOKUP(D57,'[1]Product Datasheet'!$A:$G,5,0),"")</f>
        <v/>
      </c>
      <c r="P57" s="47" t="str">
        <f>IFERROR(VLOOKUP(D57,'[1]Product Datasheet'!$A:$G,6,0),"")</f>
        <v/>
      </c>
      <c r="Q57" s="47" t="str">
        <f>IFERROR(VLOOKUP(D57,'[1]Product Datasheet'!$A:$G,7,0), "")</f>
        <v/>
      </c>
      <c r="R57" s="48"/>
      <c r="S57" s="49" t="str">
        <f t="shared" si="5"/>
        <v>Accept</v>
      </c>
      <c r="T57" s="50"/>
      <c r="U57" s="51"/>
    </row>
    <row r="58" spans="1:21" ht="24.75" customHeight="1" x14ac:dyDescent="0.3">
      <c r="A58" s="38" t="str">
        <f>IFERROR(VLOOKUP(D58,'[1]Product Datasheet'!$A:$G,2,0),"")</f>
        <v/>
      </c>
      <c r="B58" s="39" t="str">
        <f>IFERROR(VLOOKUP(D58,'[1]Product Datasheet'!$A:$G,3,0),"")</f>
        <v/>
      </c>
      <c r="C58" s="40"/>
      <c r="D58" s="41"/>
      <c r="E58" s="41"/>
      <c r="F58" s="41"/>
      <c r="G58" s="42"/>
      <c r="H58" s="43"/>
      <c r="I58" s="42"/>
      <c r="J58" s="44"/>
      <c r="K58" s="44"/>
      <c r="L58" s="44"/>
      <c r="M58" s="45" t="str">
        <f t="shared" si="4"/>
        <v>Pass</v>
      </c>
      <c r="N58" s="46" t="str">
        <f>IFERROR(VLOOKUP(D58,'[1]Product Datasheet'!$A:$G,4,0),"")</f>
        <v/>
      </c>
      <c r="O58" s="47" t="str">
        <f>IFERROR(VLOOKUP(D58,'[1]Product Datasheet'!$A:$G,5,0),"")</f>
        <v/>
      </c>
      <c r="P58" s="47" t="str">
        <f>IFERROR(VLOOKUP(D58,'[1]Product Datasheet'!$A:$G,6,0),"")</f>
        <v/>
      </c>
      <c r="Q58" s="47" t="str">
        <f>IFERROR(VLOOKUP(D58,'[1]Product Datasheet'!$A:$G,7,0), "")</f>
        <v/>
      </c>
      <c r="R58" s="48"/>
      <c r="S58" s="49" t="str">
        <f t="shared" si="5"/>
        <v>Accept</v>
      </c>
      <c r="T58" s="50"/>
      <c r="U58" s="51"/>
    </row>
    <row r="59" spans="1:21" ht="24.75" customHeight="1" x14ac:dyDescent="0.3">
      <c r="A59" s="38" t="str">
        <f>IFERROR(VLOOKUP(D59,'[1]Product Datasheet'!$A:$G,2,0),"")</f>
        <v/>
      </c>
      <c r="B59" s="39" t="str">
        <f>IFERROR(VLOOKUP(D59,'[1]Product Datasheet'!$A:$G,3,0),"")</f>
        <v/>
      </c>
      <c r="C59" s="40"/>
      <c r="D59" s="41"/>
      <c r="E59" s="41"/>
      <c r="F59" s="41"/>
      <c r="G59" s="42"/>
      <c r="H59" s="43"/>
      <c r="I59" s="42"/>
      <c r="J59" s="44"/>
      <c r="K59" s="44"/>
      <c r="L59" s="44"/>
      <c r="M59" s="45" t="str">
        <f t="shared" si="4"/>
        <v>Pass</v>
      </c>
      <c r="N59" s="46" t="str">
        <f>IFERROR(VLOOKUP(D59,'[1]Product Datasheet'!$A:$G,4,0),"")</f>
        <v/>
      </c>
      <c r="O59" s="47" t="str">
        <f>IFERROR(VLOOKUP(D59,'[1]Product Datasheet'!$A:$G,5,0),"")</f>
        <v/>
      </c>
      <c r="P59" s="47" t="str">
        <f>IFERROR(VLOOKUP(D59,'[1]Product Datasheet'!$A:$G,6,0),"")</f>
        <v/>
      </c>
      <c r="Q59" s="47" t="str">
        <f>IFERROR(VLOOKUP(D59,'[1]Product Datasheet'!$A:$G,7,0), "")</f>
        <v/>
      </c>
      <c r="R59" s="48"/>
      <c r="S59" s="49" t="str">
        <f t="shared" si="5"/>
        <v>Accept</v>
      </c>
      <c r="T59" s="50"/>
      <c r="U59" s="51"/>
    </row>
    <row r="60" spans="1:21" ht="24.75" customHeight="1" x14ac:dyDescent="0.3">
      <c r="A60" s="38" t="str">
        <f>IFERROR(VLOOKUP(D60,'[1]Product Datasheet'!$A:$G,2,0),"")</f>
        <v/>
      </c>
      <c r="B60" s="39" t="str">
        <f>IFERROR(VLOOKUP(D60,'[1]Product Datasheet'!$A:$G,3,0),"")</f>
        <v/>
      </c>
      <c r="C60" s="40"/>
      <c r="D60" s="41"/>
      <c r="E60" s="41"/>
      <c r="F60" s="41"/>
      <c r="G60" s="42"/>
      <c r="H60" s="43"/>
      <c r="I60" s="42"/>
      <c r="J60" s="44"/>
      <c r="K60" s="44"/>
      <c r="L60" s="44"/>
      <c r="M60" s="45" t="str">
        <f t="shared" si="4"/>
        <v>Pass</v>
      </c>
      <c r="N60" s="46" t="str">
        <f>IFERROR(VLOOKUP(D60,'[1]Product Datasheet'!$A:$G,4,0),"")</f>
        <v/>
      </c>
      <c r="O60" s="47" t="str">
        <f>IFERROR(VLOOKUP(D60,'[1]Product Datasheet'!$A:$G,5,0),"")</f>
        <v/>
      </c>
      <c r="P60" s="47" t="str">
        <f>IFERROR(VLOOKUP(D60,'[1]Product Datasheet'!$A:$G,6,0),"")</f>
        <v/>
      </c>
      <c r="Q60" s="47" t="str">
        <f>IFERROR(VLOOKUP(D60,'[1]Product Datasheet'!$A:$G,7,0), "")</f>
        <v/>
      </c>
      <c r="R60" s="48"/>
      <c r="S60" s="49" t="str">
        <f t="shared" si="5"/>
        <v>Accept</v>
      </c>
      <c r="T60" s="50"/>
      <c r="U60" s="51"/>
    </row>
    <row r="61" spans="1:21" ht="24.75" customHeight="1" x14ac:dyDescent="0.3">
      <c r="A61" s="38" t="str">
        <f>IFERROR(VLOOKUP(D61,'[1]Product Datasheet'!$A:$G,2,0),"")</f>
        <v/>
      </c>
      <c r="B61" s="39" t="str">
        <f>IFERROR(VLOOKUP(D61,'[1]Product Datasheet'!$A:$G,3,0),"")</f>
        <v/>
      </c>
      <c r="C61" s="40"/>
      <c r="D61" s="41"/>
      <c r="E61" s="41"/>
      <c r="F61" s="41"/>
      <c r="G61" s="42"/>
      <c r="H61" s="43"/>
      <c r="I61" s="42"/>
      <c r="J61" s="44"/>
      <c r="K61" s="44"/>
      <c r="L61" s="44"/>
      <c r="M61" s="45" t="str">
        <f t="shared" si="4"/>
        <v>Pass</v>
      </c>
      <c r="N61" s="46" t="str">
        <f>IFERROR(VLOOKUP(D61,'[1]Product Datasheet'!$A:$G,4,0),"")</f>
        <v/>
      </c>
      <c r="O61" s="47" t="str">
        <f>IFERROR(VLOOKUP(D61,'[1]Product Datasheet'!$A:$G,5,0),"")</f>
        <v/>
      </c>
      <c r="P61" s="47" t="str">
        <f>IFERROR(VLOOKUP(D61,'[1]Product Datasheet'!$A:$G,6,0),"")</f>
        <v/>
      </c>
      <c r="Q61" s="47" t="str">
        <f>IFERROR(VLOOKUP(D61,'[1]Product Datasheet'!$A:$G,7,0), "")</f>
        <v/>
      </c>
      <c r="R61" s="48"/>
      <c r="S61" s="49" t="str">
        <f t="shared" si="5"/>
        <v>Accept</v>
      </c>
      <c r="T61" s="50"/>
      <c r="U61" s="51"/>
    </row>
    <row r="62" spans="1:21" ht="24.75" customHeight="1" x14ac:dyDescent="0.3">
      <c r="A62" s="38" t="str">
        <f>IFERROR(VLOOKUP(D62,'[1]Product Datasheet'!$A:$G,2,0),"")</f>
        <v/>
      </c>
      <c r="B62" s="39" t="str">
        <f>IFERROR(VLOOKUP(D62,'[1]Product Datasheet'!$A:$G,3,0),"")</f>
        <v/>
      </c>
      <c r="C62" s="40"/>
      <c r="D62" s="41"/>
      <c r="E62" s="41"/>
      <c r="F62" s="41"/>
      <c r="G62" s="42"/>
      <c r="H62" s="43"/>
      <c r="I62" s="42"/>
      <c r="J62" s="44"/>
      <c r="K62" s="44"/>
      <c r="L62" s="44"/>
      <c r="M62" s="45" t="str">
        <f t="shared" si="4"/>
        <v>Pass</v>
      </c>
      <c r="N62" s="46" t="str">
        <f>IFERROR(VLOOKUP(D62,'[1]Product Datasheet'!$A:$G,4,0),"")</f>
        <v/>
      </c>
      <c r="O62" s="47" t="str">
        <f>IFERROR(VLOOKUP(D62,'[1]Product Datasheet'!$A:$G,5,0),"")</f>
        <v/>
      </c>
      <c r="P62" s="47" t="str">
        <f>IFERROR(VLOOKUP(D62,'[1]Product Datasheet'!$A:$G,6,0),"")</f>
        <v/>
      </c>
      <c r="Q62" s="47" t="str">
        <f>IFERROR(VLOOKUP(D62,'[1]Product Datasheet'!$A:$G,7,0), "")</f>
        <v/>
      </c>
      <c r="R62" s="48"/>
      <c r="S62" s="49" t="str">
        <f t="shared" si="5"/>
        <v>Accept</v>
      </c>
      <c r="T62" s="50"/>
      <c r="U62" s="51"/>
    </row>
    <row r="63" spans="1:21" ht="24.75" customHeight="1" x14ac:dyDescent="0.3">
      <c r="A63" s="38" t="str">
        <f>IFERROR(VLOOKUP(D63,'[1]Product Datasheet'!$A:$G,2,0),"")</f>
        <v/>
      </c>
      <c r="B63" s="39" t="str">
        <f>IFERROR(VLOOKUP(D63,'[1]Product Datasheet'!$A:$G,3,0),"")</f>
        <v/>
      </c>
      <c r="C63" s="40"/>
      <c r="D63" s="41"/>
      <c r="E63" s="41"/>
      <c r="F63" s="41"/>
      <c r="G63" s="42"/>
      <c r="H63" s="43"/>
      <c r="I63" s="42"/>
      <c r="J63" s="44"/>
      <c r="K63" s="44"/>
      <c r="L63" s="44"/>
      <c r="M63" s="45" t="str">
        <f t="shared" si="4"/>
        <v>Pass</v>
      </c>
      <c r="N63" s="46" t="str">
        <f>IFERROR(VLOOKUP(D63,'[1]Product Datasheet'!$A:$G,4,0),"")</f>
        <v/>
      </c>
      <c r="O63" s="47" t="str">
        <f>IFERROR(VLOOKUP(D63,'[1]Product Datasheet'!$A:$G,5,0),"")</f>
        <v/>
      </c>
      <c r="P63" s="47" t="str">
        <f>IFERROR(VLOOKUP(D63,'[1]Product Datasheet'!$A:$G,6,0),"")</f>
        <v/>
      </c>
      <c r="Q63" s="47" t="str">
        <f>IFERROR(VLOOKUP(D63,'[1]Product Datasheet'!$A:$G,7,0), "")</f>
        <v/>
      </c>
      <c r="R63" s="48"/>
      <c r="S63" s="49" t="str">
        <f t="shared" si="5"/>
        <v>Accept</v>
      </c>
      <c r="T63" s="50"/>
      <c r="U63" s="51"/>
    </row>
    <row r="64" spans="1:21" ht="24.75" customHeight="1" x14ac:dyDescent="0.3">
      <c r="A64" s="38" t="str">
        <f>IFERROR(VLOOKUP(D64,'[1]Product Datasheet'!$A:$G,2,0),"")</f>
        <v/>
      </c>
      <c r="B64" s="39" t="str">
        <f>IFERROR(VLOOKUP(D64,'[1]Product Datasheet'!$A:$G,3,0),"")</f>
        <v/>
      </c>
      <c r="C64" s="40"/>
      <c r="D64" s="41"/>
      <c r="E64" s="41"/>
      <c r="F64" s="41"/>
      <c r="G64" s="42"/>
      <c r="H64" s="43"/>
      <c r="I64" s="42"/>
      <c r="J64" s="44"/>
      <c r="K64" s="44"/>
      <c r="L64" s="44"/>
      <c r="M64" s="45" t="str">
        <f t="shared" si="4"/>
        <v>Pass</v>
      </c>
      <c r="N64" s="46" t="str">
        <f>IFERROR(VLOOKUP(D64,'[1]Product Datasheet'!$A:$G,4,0),"")</f>
        <v/>
      </c>
      <c r="O64" s="47" t="str">
        <f>IFERROR(VLOOKUP(D64,'[1]Product Datasheet'!$A:$G,5,0),"")</f>
        <v/>
      </c>
      <c r="P64" s="47" t="str">
        <f>IFERROR(VLOOKUP(D64,'[1]Product Datasheet'!$A:$G,6,0),"")</f>
        <v/>
      </c>
      <c r="Q64" s="47" t="str">
        <f>IFERROR(VLOOKUP(D64,'[1]Product Datasheet'!$A:$G,7,0), "")</f>
        <v/>
      </c>
      <c r="R64" s="48"/>
      <c r="S64" s="49" t="str">
        <f t="shared" si="5"/>
        <v>Accept</v>
      </c>
      <c r="T64" s="50"/>
      <c r="U64" s="51"/>
    </row>
    <row r="65" spans="1:21" ht="24.75" customHeight="1" x14ac:dyDescent="0.3">
      <c r="A65" s="38" t="str">
        <f>IFERROR(VLOOKUP(D65,'[1]Product Datasheet'!$A:$G,2,0),"")</f>
        <v/>
      </c>
      <c r="B65" s="39" t="str">
        <f>IFERROR(VLOOKUP(D65,'[1]Product Datasheet'!$A:$G,3,0),"")</f>
        <v/>
      </c>
      <c r="C65" s="40"/>
      <c r="D65" s="41"/>
      <c r="E65" s="41"/>
      <c r="F65" s="41"/>
      <c r="G65" s="42"/>
      <c r="H65" s="43"/>
      <c r="I65" s="42"/>
      <c r="J65" s="44"/>
      <c r="K65" s="44"/>
      <c r="L65" s="44"/>
      <c r="M65" s="45" t="str">
        <f t="shared" si="4"/>
        <v>Pass</v>
      </c>
      <c r="N65" s="46" t="str">
        <f>IFERROR(VLOOKUP(D65,'[1]Product Datasheet'!$A:$G,4,0),"")</f>
        <v/>
      </c>
      <c r="O65" s="47" t="str">
        <f>IFERROR(VLOOKUP(D65,'[1]Product Datasheet'!$A:$G,5,0),"")</f>
        <v/>
      </c>
      <c r="P65" s="47" t="str">
        <f>IFERROR(VLOOKUP(D65,'[1]Product Datasheet'!$A:$G,6,0),"")</f>
        <v/>
      </c>
      <c r="Q65" s="47" t="str">
        <f>IFERROR(VLOOKUP(D65,'[1]Product Datasheet'!$A:$G,7,0), "")</f>
        <v/>
      </c>
      <c r="R65" s="48"/>
      <c r="S65" s="49" t="str">
        <f t="shared" si="5"/>
        <v>Accept</v>
      </c>
      <c r="T65" s="50"/>
      <c r="U65" s="51"/>
    </row>
    <row r="66" spans="1:21" ht="24.75" customHeight="1" x14ac:dyDescent="0.3">
      <c r="A66" s="38" t="str">
        <f>IFERROR(VLOOKUP(D66,'[1]Product Datasheet'!$A:$G,2,0),"")</f>
        <v/>
      </c>
      <c r="B66" s="39" t="str">
        <f>IFERROR(VLOOKUP(D66,'[1]Product Datasheet'!$A:$G,3,0),"")</f>
        <v/>
      </c>
      <c r="C66" s="40"/>
      <c r="D66" s="41"/>
      <c r="E66" s="41"/>
      <c r="F66" s="41"/>
      <c r="G66" s="42"/>
      <c r="H66" s="43"/>
      <c r="I66" s="42"/>
      <c r="J66" s="44"/>
      <c r="K66" s="44"/>
      <c r="L66" s="44"/>
      <c r="M66" s="45" t="str">
        <f t="shared" si="4"/>
        <v>Pass</v>
      </c>
      <c r="N66" s="46" t="str">
        <f>IFERROR(VLOOKUP(D66,'[1]Product Datasheet'!$A:$G,4,0),"")</f>
        <v/>
      </c>
      <c r="O66" s="47" t="str">
        <f>IFERROR(VLOOKUP(D66,'[1]Product Datasheet'!$A:$G,5,0),"")</f>
        <v/>
      </c>
      <c r="P66" s="47" t="str">
        <f>IFERROR(VLOOKUP(D66,'[1]Product Datasheet'!$A:$G,6,0),"")</f>
        <v/>
      </c>
      <c r="Q66" s="47" t="str">
        <f>IFERROR(VLOOKUP(D66,'[1]Product Datasheet'!$A:$G,7,0), "")</f>
        <v/>
      </c>
      <c r="R66" s="48"/>
      <c r="S66" s="49" t="str">
        <f t="shared" si="5"/>
        <v>Accept</v>
      </c>
      <c r="T66" s="50"/>
      <c r="U66" s="51"/>
    </row>
    <row r="67" spans="1:21" ht="24.75" customHeight="1" x14ac:dyDescent="0.3">
      <c r="A67" s="38" t="str">
        <f>IFERROR(VLOOKUP(D67,'[1]Product Datasheet'!$A:$G,2,0),"")</f>
        <v/>
      </c>
      <c r="B67" s="39" t="str">
        <f>IFERROR(VLOOKUP(D67,'[1]Product Datasheet'!$A:$G,3,0),"")</f>
        <v/>
      </c>
      <c r="C67" s="40"/>
      <c r="D67" s="41"/>
      <c r="E67" s="41"/>
      <c r="F67" s="41"/>
      <c r="G67" s="42"/>
      <c r="H67" s="43"/>
      <c r="I67" s="42"/>
      <c r="J67" s="44"/>
      <c r="K67" s="44"/>
      <c r="L67" s="44"/>
      <c r="M67" s="45" t="str">
        <f t="shared" si="4"/>
        <v>Pass</v>
      </c>
      <c r="N67" s="46" t="str">
        <f>IFERROR(VLOOKUP(D67,'[1]Product Datasheet'!$A:$G,4,0),"")</f>
        <v/>
      </c>
      <c r="O67" s="47" t="str">
        <f>IFERROR(VLOOKUP(D67,'[1]Product Datasheet'!$A:$G,5,0),"")</f>
        <v/>
      </c>
      <c r="P67" s="47" t="str">
        <f>IFERROR(VLOOKUP(D67,'[1]Product Datasheet'!$A:$G,6,0),"")</f>
        <v/>
      </c>
      <c r="Q67" s="47" t="str">
        <f>IFERROR(VLOOKUP(D67,'[1]Product Datasheet'!$A:$G,7,0), "")</f>
        <v/>
      </c>
      <c r="R67" s="48"/>
      <c r="S67" s="49" t="str">
        <f t="shared" si="5"/>
        <v>Accept</v>
      </c>
      <c r="T67" s="50"/>
      <c r="U67" s="51"/>
    </row>
    <row r="68" spans="1:21" ht="24.75" customHeight="1" x14ac:dyDescent="0.3">
      <c r="A68" s="38" t="str">
        <f>IFERROR(VLOOKUP(D68,'[1]Product Datasheet'!$A:$G,2,0),"")</f>
        <v/>
      </c>
      <c r="B68" s="39" t="str">
        <f>IFERROR(VLOOKUP(D68,'[1]Product Datasheet'!$A:$G,3,0),"")</f>
        <v/>
      </c>
      <c r="C68" s="40"/>
      <c r="D68" s="41"/>
      <c r="E68" s="41"/>
      <c r="F68" s="41"/>
      <c r="G68" s="42"/>
      <c r="H68" s="43"/>
      <c r="I68" s="42"/>
      <c r="J68" s="44"/>
      <c r="K68" s="44"/>
      <c r="L68" s="44"/>
      <c r="M68" s="45" t="str">
        <f t="shared" si="4"/>
        <v>Pass</v>
      </c>
      <c r="N68" s="46" t="str">
        <f>IFERROR(VLOOKUP(D68,'[1]Product Datasheet'!$A:$G,4,0),"")</f>
        <v/>
      </c>
      <c r="O68" s="47" t="str">
        <f>IFERROR(VLOOKUP(D68,'[1]Product Datasheet'!$A:$G,5,0),"")</f>
        <v/>
      </c>
      <c r="P68" s="47" t="str">
        <f>IFERROR(VLOOKUP(D68,'[1]Product Datasheet'!$A:$G,6,0),"")</f>
        <v/>
      </c>
      <c r="Q68" s="47" t="str">
        <f>IFERROR(VLOOKUP(D68,'[1]Product Datasheet'!$A:$G,7,0), "")</f>
        <v/>
      </c>
      <c r="R68" s="48"/>
      <c r="S68" s="49" t="str">
        <f t="shared" si="5"/>
        <v>Accept</v>
      </c>
      <c r="T68" s="50"/>
      <c r="U68" s="51"/>
    </row>
    <row r="69" spans="1:21" ht="24.75" customHeight="1" x14ac:dyDescent="0.3">
      <c r="A69" s="38" t="str">
        <f>IFERROR(VLOOKUP(D69,'[1]Product Datasheet'!$A:$G,2,0),"")</f>
        <v/>
      </c>
      <c r="B69" s="39" t="str">
        <f>IFERROR(VLOOKUP(D69,'[1]Product Datasheet'!$A:$G,3,0),"")</f>
        <v/>
      </c>
      <c r="C69" s="40"/>
      <c r="D69" s="41"/>
      <c r="E69" s="41"/>
      <c r="F69" s="41"/>
      <c r="G69" s="42"/>
      <c r="H69" s="43"/>
      <c r="I69" s="42"/>
      <c r="J69" s="44"/>
      <c r="K69" s="44"/>
      <c r="L69" s="44"/>
      <c r="M69" s="45" t="str">
        <f t="shared" si="4"/>
        <v>Pass</v>
      </c>
      <c r="N69" s="46" t="str">
        <f>IFERROR(VLOOKUP(D69,'[1]Product Datasheet'!$A:$G,4,0),"")</f>
        <v/>
      </c>
      <c r="O69" s="47" t="str">
        <f>IFERROR(VLOOKUP(D69,'[1]Product Datasheet'!$A:$G,5,0),"")</f>
        <v/>
      </c>
      <c r="P69" s="47" t="str">
        <f>IFERROR(VLOOKUP(D69,'[1]Product Datasheet'!$A:$G,6,0),"")</f>
        <v/>
      </c>
      <c r="Q69" s="47" t="str">
        <f>IFERROR(VLOOKUP(D69,'[1]Product Datasheet'!$A:$G,7,0), "")</f>
        <v/>
      </c>
      <c r="R69" s="48"/>
      <c r="S69" s="49" t="str">
        <f t="shared" si="5"/>
        <v>Accept</v>
      </c>
      <c r="T69" s="50"/>
      <c r="U69" s="51"/>
    </row>
    <row r="70" spans="1:21" ht="24.75" customHeight="1" x14ac:dyDescent="0.3">
      <c r="A70" s="38" t="str">
        <f>IFERROR(VLOOKUP(D70,'[1]Product Datasheet'!$A:$G,2,0),"")</f>
        <v/>
      </c>
      <c r="B70" s="39" t="str">
        <f>IFERROR(VLOOKUP(D70,'[1]Product Datasheet'!$A:$G,3,0),"")</f>
        <v/>
      </c>
      <c r="C70" s="40"/>
      <c r="D70" s="41"/>
      <c r="E70" s="41"/>
      <c r="F70" s="41"/>
      <c r="G70" s="42"/>
      <c r="H70" s="43"/>
      <c r="I70" s="42"/>
      <c r="J70" s="44"/>
      <c r="K70" s="44"/>
      <c r="L70" s="44"/>
      <c r="M70" s="45" t="str">
        <f t="shared" si="4"/>
        <v>Pass</v>
      </c>
      <c r="N70" s="46" t="str">
        <f>IFERROR(VLOOKUP(D70,'[1]Product Datasheet'!$A:$G,4,0),"")</f>
        <v/>
      </c>
      <c r="O70" s="47" t="str">
        <f>IFERROR(VLOOKUP(D70,'[1]Product Datasheet'!$A:$G,5,0),"")</f>
        <v/>
      </c>
      <c r="P70" s="47" t="str">
        <f>IFERROR(VLOOKUP(D70,'[1]Product Datasheet'!$A:$G,6,0),"")</f>
        <v/>
      </c>
      <c r="Q70" s="47" t="str">
        <f>IFERROR(VLOOKUP(D70,'[1]Product Datasheet'!$A:$G,7,0), "")</f>
        <v/>
      </c>
      <c r="R70" s="48"/>
      <c r="S70" s="49" t="str">
        <f t="shared" si="5"/>
        <v>Accept</v>
      </c>
      <c r="T70" s="50"/>
      <c r="U70" s="51"/>
    </row>
    <row r="71" spans="1:21" ht="24.75" customHeight="1" x14ac:dyDescent="0.3">
      <c r="A71" s="38" t="str">
        <f>IFERROR(VLOOKUP(D71,'[1]Product Datasheet'!$A:$G,2,0),"")</f>
        <v/>
      </c>
      <c r="B71" s="39" t="str">
        <f>IFERROR(VLOOKUP(D71,'[1]Product Datasheet'!$A:$G,3,0),"")</f>
        <v/>
      </c>
      <c r="C71" s="40"/>
      <c r="D71" s="41"/>
      <c r="E71" s="41"/>
      <c r="F71" s="41"/>
      <c r="G71" s="42"/>
      <c r="H71" s="43"/>
      <c r="I71" s="42"/>
      <c r="J71" s="44"/>
      <c r="K71" s="44"/>
      <c r="L71" s="44"/>
      <c r="M71" s="45" t="str">
        <f t="shared" si="4"/>
        <v>Pass</v>
      </c>
      <c r="N71" s="46" t="str">
        <f>IFERROR(VLOOKUP(D71,'[1]Product Datasheet'!$A:$G,4,0),"")</f>
        <v/>
      </c>
      <c r="O71" s="47" t="str">
        <f>IFERROR(VLOOKUP(D71,'[1]Product Datasheet'!$A:$G,5,0),"")</f>
        <v/>
      </c>
      <c r="P71" s="47" t="str">
        <f>IFERROR(VLOOKUP(D71,'[1]Product Datasheet'!$A:$G,6,0),"")</f>
        <v/>
      </c>
      <c r="Q71" s="47" t="str">
        <f>IFERROR(VLOOKUP(D71,'[1]Product Datasheet'!$A:$G,7,0), "")</f>
        <v/>
      </c>
      <c r="R71" s="48"/>
      <c r="S71" s="49" t="str">
        <f t="shared" si="5"/>
        <v>Accept</v>
      </c>
      <c r="T71" s="50"/>
      <c r="U71" s="51"/>
    </row>
    <row r="72" spans="1:21" ht="24.75" customHeight="1" x14ac:dyDescent="0.3">
      <c r="A72" s="38" t="str">
        <f>IFERROR(VLOOKUP(D72,'[1]Product Datasheet'!$A:$G,2,0),"")</f>
        <v/>
      </c>
      <c r="B72" s="39" t="str">
        <f>IFERROR(VLOOKUP(D72,'[1]Product Datasheet'!$A:$G,3,0),"")</f>
        <v/>
      </c>
      <c r="C72" s="40"/>
      <c r="D72" s="41"/>
      <c r="E72" s="41"/>
      <c r="F72" s="41"/>
      <c r="G72" s="42"/>
      <c r="H72" s="43"/>
      <c r="I72" s="42"/>
      <c r="J72" s="44"/>
      <c r="K72" s="44"/>
      <c r="L72" s="44"/>
      <c r="M72" s="45" t="str">
        <f t="shared" ref="M72:M135" si="6">IF(AND(G72&lt;=O72,G72&gt;=N72,H72&lt;=Q72,H72&gt;=P72),"Pass","Fail")</f>
        <v>Pass</v>
      </c>
      <c r="N72" s="46" t="str">
        <f>IFERROR(VLOOKUP(D72,'[1]Product Datasheet'!$A:$G,4,0),"")</f>
        <v/>
      </c>
      <c r="O72" s="47" t="str">
        <f>IFERROR(VLOOKUP(D72,'[1]Product Datasheet'!$A:$G,5,0),"")</f>
        <v/>
      </c>
      <c r="P72" s="47" t="str">
        <f>IFERROR(VLOOKUP(D72,'[1]Product Datasheet'!$A:$G,6,0),"")</f>
        <v/>
      </c>
      <c r="Q72" s="47" t="str">
        <f>IFERROR(VLOOKUP(D72,'[1]Product Datasheet'!$A:$G,7,0), "")</f>
        <v/>
      </c>
      <c r="R72" s="48"/>
      <c r="S72" s="49" t="str">
        <f t="shared" si="5"/>
        <v>Accept</v>
      </c>
      <c r="T72" s="50"/>
      <c r="U72" s="51"/>
    </row>
    <row r="73" spans="1:21" ht="24.75" customHeight="1" x14ac:dyDescent="0.3">
      <c r="A73" s="38" t="str">
        <f>IFERROR(VLOOKUP(D73,'[1]Product Datasheet'!$A:$G,2,0),"")</f>
        <v/>
      </c>
      <c r="B73" s="39" t="str">
        <f>IFERROR(VLOOKUP(D73,'[1]Product Datasheet'!$A:$G,3,0),"")</f>
        <v/>
      </c>
      <c r="C73" s="40"/>
      <c r="D73" s="41"/>
      <c r="E73" s="41"/>
      <c r="F73" s="41"/>
      <c r="G73" s="42"/>
      <c r="H73" s="43"/>
      <c r="I73" s="42"/>
      <c r="J73" s="44"/>
      <c r="K73" s="44"/>
      <c r="L73" s="44"/>
      <c r="M73" s="45" t="str">
        <f t="shared" si="6"/>
        <v>Pass</v>
      </c>
      <c r="N73" s="46" t="str">
        <f>IFERROR(VLOOKUP(D73,'[1]Product Datasheet'!$A:$G,4,0),"")</f>
        <v/>
      </c>
      <c r="O73" s="47" t="str">
        <f>IFERROR(VLOOKUP(D73,'[1]Product Datasheet'!$A:$G,5,0),"")</f>
        <v/>
      </c>
      <c r="P73" s="47" t="str">
        <f>IFERROR(VLOOKUP(D73,'[1]Product Datasheet'!$A:$G,6,0),"")</f>
        <v/>
      </c>
      <c r="Q73" s="47" t="str">
        <f>IFERROR(VLOOKUP(D73,'[1]Product Datasheet'!$A:$G,7,0), "")</f>
        <v/>
      </c>
      <c r="R73" s="48"/>
      <c r="S73" s="49" t="str">
        <f t="shared" si="5"/>
        <v>Accept</v>
      </c>
      <c r="T73" s="50"/>
      <c r="U73" s="51"/>
    </row>
    <row r="74" spans="1:21" ht="24.75" customHeight="1" x14ac:dyDescent="0.3">
      <c r="A74" s="38" t="str">
        <f>IFERROR(VLOOKUP(D74,'[1]Product Datasheet'!$A:$G,2,0),"")</f>
        <v/>
      </c>
      <c r="B74" s="39" t="str">
        <f>IFERROR(VLOOKUP(D74,'[1]Product Datasheet'!$A:$G,3,0),"")</f>
        <v/>
      </c>
      <c r="C74" s="40"/>
      <c r="D74" s="41"/>
      <c r="E74" s="41"/>
      <c r="F74" s="41"/>
      <c r="G74" s="42"/>
      <c r="H74" s="43"/>
      <c r="I74" s="42"/>
      <c r="J74" s="44"/>
      <c r="K74" s="44"/>
      <c r="L74" s="44"/>
      <c r="M74" s="45" t="str">
        <f t="shared" si="6"/>
        <v>Pass</v>
      </c>
      <c r="N74" s="46" t="str">
        <f>IFERROR(VLOOKUP(D74,'[1]Product Datasheet'!$A:$G,4,0),"")</f>
        <v/>
      </c>
      <c r="O74" s="47" t="str">
        <f>IFERROR(VLOOKUP(D74,'[1]Product Datasheet'!$A:$G,5,0),"")</f>
        <v/>
      </c>
      <c r="P74" s="47" t="str">
        <f>IFERROR(VLOOKUP(D74,'[1]Product Datasheet'!$A:$G,6,0),"")</f>
        <v/>
      </c>
      <c r="Q74" s="47" t="str">
        <f>IFERROR(VLOOKUP(D74,'[1]Product Datasheet'!$A:$G,7,0), "")</f>
        <v/>
      </c>
      <c r="R74" s="48"/>
      <c r="S74" s="49" t="str">
        <f t="shared" si="5"/>
        <v>Accept</v>
      </c>
      <c r="T74" s="50"/>
      <c r="U74" s="51"/>
    </row>
    <row r="75" spans="1:21" ht="24.75" customHeight="1" x14ac:dyDescent="0.3">
      <c r="A75" s="38" t="str">
        <f>IFERROR(VLOOKUP(D75,'[1]Product Datasheet'!$A:$G,2,0),"")</f>
        <v/>
      </c>
      <c r="B75" s="39" t="str">
        <f>IFERROR(VLOOKUP(D75,'[1]Product Datasheet'!$A:$G,3,0),"")</f>
        <v/>
      </c>
      <c r="C75" s="40"/>
      <c r="D75" s="41"/>
      <c r="E75" s="41"/>
      <c r="F75" s="41"/>
      <c r="G75" s="42"/>
      <c r="H75" s="43"/>
      <c r="I75" s="42"/>
      <c r="J75" s="44"/>
      <c r="K75" s="44"/>
      <c r="L75" s="44"/>
      <c r="M75" s="45" t="str">
        <f t="shared" si="6"/>
        <v>Pass</v>
      </c>
      <c r="N75" s="46" t="str">
        <f>IFERROR(VLOOKUP(D75,'[1]Product Datasheet'!$A:$G,4,0),"")</f>
        <v/>
      </c>
      <c r="O75" s="47" t="str">
        <f>IFERROR(VLOOKUP(D75,'[1]Product Datasheet'!$A:$G,5,0),"")</f>
        <v/>
      </c>
      <c r="P75" s="47" t="str">
        <f>IFERROR(VLOOKUP(D75,'[1]Product Datasheet'!$A:$G,6,0),"")</f>
        <v/>
      </c>
      <c r="Q75" s="47" t="str">
        <f>IFERROR(VLOOKUP(D75,'[1]Product Datasheet'!$A:$G,7,0), "")</f>
        <v/>
      </c>
      <c r="R75" s="48"/>
      <c r="S75" s="49" t="str">
        <f t="shared" si="5"/>
        <v>Accept</v>
      </c>
      <c r="T75" s="50"/>
      <c r="U75" s="51"/>
    </row>
    <row r="76" spans="1:21" ht="24.75" customHeight="1" x14ac:dyDescent="0.3">
      <c r="A76" s="38" t="str">
        <f>IFERROR(VLOOKUP(D76,'[1]Product Datasheet'!$A:$G,2,0),"")</f>
        <v/>
      </c>
      <c r="B76" s="39" t="str">
        <f>IFERROR(VLOOKUP(D76,'[1]Product Datasheet'!$A:$G,3,0),"")</f>
        <v/>
      </c>
      <c r="C76" s="40"/>
      <c r="D76" s="41"/>
      <c r="E76" s="41"/>
      <c r="F76" s="41"/>
      <c r="G76" s="42"/>
      <c r="H76" s="43"/>
      <c r="I76" s="42"/>
      <c r="J76" s="44"/>
      <c r="K76" s="44"/>
      <c r="L76" s="44"/>
      <c r="M76" s="45" t="str">
        <f t="shared" si="6"/>
        <v>Pass</v>
      </c>
      <c r="N76" s="46" t="str">
        <f>IFERROR(VLOOKUP(D76,'[1]Product Datasheet'!$A:$G,4,0),"")</f>
        <v/>
      </c>
      <c r="O76" s="47" t="str">
        <f>IFERROR(VLOOKUP(D76,'[1]Product Datasheet'!$A:$G,5,0),"")</f>
        <v/>
      </c>
      <c r="P76" s="47" t="str">
        <f>IFERROR(VLOOKUP(D76,'[1]Product Datasheet'!$A:$G,6,0),"")</f>
        <v/>
      </c>
      <c r="Q76" s="47" t="str">
        <f>IFERROR(VLOOKUP(D76,'[1]Product Datasheet'!$A:$G,7,0), "")</f>
        <v/>
      </c>
      <c r="R76" s="48"/>
      <c r="S76" s="49" t="str">
        <f t="shared" si="5"/>
        <v>Accept</v>
      </c>
      <c r="T76" s="50"/>
      <c r="U76" s="51"/>
    </row>
    <row r="77" spans="1:21" ht="24.75" customHeight="1" x14ac:dyDescent="0.3">
      <c r="A77" s="38" t="str">
        <f>IFERROR(VLOOKUP(D77,'[1]Product Datasheet'!$A:$G,2,0),"")</f>
        <v/>
      </c>
      <c r="B77" s="39" t="str">
        <f>IFERROR(VLOOKUP(D77,'[1]Product Datasheet'!$A:$G,3,0),"")</f>
        <v/>
      </c>
      <c r="C77" s="40"/>
      <c r="D77" s="41"/>
      <c r="E77" s="41"/>
      <c r="F77" s="41"/>
      <c r="G77" s="42"/>
      <c r="H77" s="43"/>
      <c r="I77" s="42"/>
      <c r="J77" s="44"/>
      <c r="K77" s="44"/>
      <c r="L77" s="44"/>
      <c r="M77" s="45" t="str">
        <f t="shared" si="6"/>
        <v>Pass</v>
      </c>
      <c r="N77" s="46" t="str">
        <f>IFERROR(VLOOKUP(D77,'[1]Product Datasheet'!$A:$G,4,0),"")</f>
        <v/>
      </c>
      <c r="O77" s="47" t="str">
        <f>IFERROR(VLOOKUP(D77,'[1]Product Datasheet'!$A:$G,5,0),"")</f>
        <v/>
      </c>
      <c r="P77" s="47" t="str">
        <f>IFERROR(VLOOKUP(D77,'[1]Product Datasheet'!$A:$G,6,0),"")</f>
        <v/>
      </c>
      <c r="Q77" s="47" t="str">
        <f>IFERROR(VLOOKUP(D77,'[1]Product Datasheet'!$A:$G,7,0), "")</f>
        <v/>
      </c>
      <c r="R77" s="48"/>
      <c r="S77" s="49" t="str">
        <f t="shared" si="5"/>
        <v>Accept</v>
      </c>
      <c r="T77" s="50"/>
      <c r="U77" s="51"/>
    </row>
    <row r="78" spans="1:21" ht="24.75" customHeight="1" x14ac:dyDescent="0.3">
      <c r="A78" s="38" t="str">
        <f>IFERROR(VLOOKUP(D78,'[1]Product Datasheet'!$A:$G,2,0),"")</f>
        <v/>
      </c>
      <c r="B78" s="39" t="str">
        <f>IFERROR(VLOOKUP(D78,'[1]Product Datasheet'!$A:$G,3,0),"")</f>
        <v/>
      </c>
      <c r="C78" s="40"/>
      <c r="D78" s="41"/>
      <c r="E78" s="41"/>
      <c r="F78" s="41"/>
      <c r="G78" s="42"/>
      <c r="H78" s="43"/>
      <c r="I78" s="42"/>
      <c r="J78" s="44"/>
      <c r="K78" s="44"/>
      <c r="L78" s="44"/>
      <c r="M78" s="45" t="str">
        <f t="shared" si="6"/>
        <v>Pass</v>
      </c>
      <c r="N78" s="46" t="str">
        <f>IFERROR(VLOOKUP(D78,'[1]Product Datasheet'!$A:$G,4,0),"")</f>
        <v/>
      </c>
      <c r="O78" s="47" t="str">
        <f>IFERROR(VLOOKUP(D78,'[1]Product Datasheet'!$A:$G,5,0),"")</f>
        <v/>
      </c>
      <c r="P78" s="47" t="str">
        <f>IFERROR(VLOOKUP(D78,'[1]Product Datasheet'!$A:$G,6,0),"")</f>
        <v/>
      </c>
      <c r="Q78" s="47" t="str">
        <f>IFERROR(VLOOKUP(D78,'[1]Product Datasheet'!$A:$G,7,0), "")</f>
        <v/>
      </c>
      <c r="R78" s="48"/>
      <c r="S78" s="49" t="str">
        <f t="shared" si="5"/>
        <v>Accept</v>
      </c>
      <c r="T78" s="50"/>
      <c r="U78" s="51"/>
    </row>
    <row r="79" spans="1:21" ht="24.75" customHeight="1" x14ac:dyDescent="0.3">
      <c r="A79" s="38" t="str">
        <f>IFERROR(VLOOKUP(D79,'[1]Product Datasheet'!$A:$G,2,0),"")</f>
        <v/>
      </c>
      <c r="B79" s="39" t="str">
        <f>IFERROR(VLOOKUP(D79,'[1]Product Datasheet'!$A:$G,3,0),"")</f>
        <v/>
      </c>
      <c r="C79" s="40"/>
      <c r="D79" s="41"/>
      <c r="E79" s="41"/>
      <c r="F79" s="41"/>
      <c r="G79" s="42"/>
      <c r="H79" s="43"/>
      <c r="I79" s="42"/>
      <c r="J79" s="44"/>
      <c r="K79" s="44"/>
      <c r="L79" s="44"/>
      <c r="M79" s="45" t="str">
        <f t="shared" si="6"/>
        <v>Pass</v>
      </c>
      <c r="N79" s="46" t="str">
        <f>IFERROR(VLOOKUP(D79,'[1]Product Datasheet'!$A:$G,4,0),"")</f>
        <v/>
      </c>
      <c r="O79" s="47" t="str">
        <f>IFERROR(VLOOKUP(D79,'[1]Product Datasheet'!$A:$G,5,0),"")</f>
        <v/>
      </c>
      <c r="P79" s="47" t="str">
        <f>IFERROR(VLOOKUP(D79,'[1]Product Datasheet'!$A:$G,6,0),"")</f>
        <v/>
      </c>
      <c r="Q79" s="47" t="str">
        <f>IFERROR(VLOOKUP(D79,'[1]Product Datasheet'!$A:$G,7,0), "")</f>
        <v/>
      </c>
      <c r="R79" s="48"/>
      <c r="S79" s="49" t="str">
        <f t="shared" si="5"/>
        <v>Accept</v>
      </c>
      <c r="T79" s="50"/>
      <c r="U79" s="51"/>
    </row>
    <row r="80" spans="1:21" ht="24.75" customHeight="1" x14ac:dyDescent="0.3">
      <c r="A80" s="38" t="str">
        <f>IFERROR(VLOOKUP(D80,'[1]Product Datasheet'!$A:$G,2,0),"")</f>
        <v/>
      </c>
      <c r="B80" s="39" t="str">
        <f>IFERROR(VLOOKUP(D80,'[1]Product Datasheet'!$A:$G,3,0),"")</f>
        <v/>
      </c>
      <c r="C80" s="40"/>
      <c r="D80" s="41"/>
      <c r="E80" s="41"/>
      <c r="F80" s="41"/>
      <c r="G80" s="42"/>
      <c r="H80" s="43"/>
      <c r="I80" s="42"/>
      <c r="J80" s="44"/>
      <c r="K80" s="44"/>
      <c r="L80" s="44"/>
      <c r="M80" s="45" t="str">
        <f t="shared" si="6"/>
        <v>Pass</v>
      </c>
      <c r="N80" s="46" t="str">
        <f>IFERROR(VLOOKUP(D80,'[1]Product Datasheet'!$A:$G,4,0),"")</f>
        <v/>
      </c>
      <c r="O80" s="47" t="str">
        <f>IFERROR(VLOOKUP(D80,'[1]Product Datasheet'!$A:$G,5,0),"")</f>
        <v/>
      </c>
      <c r="P80" s="47" t="str">
        <f>IFERROR(VLOOKUP(D80,'[1]Product Datasheet'!$A:$G,6,0),"")</f>
        <v/>
      </c>
      <c r="Q80" s="47" t="str">
        <f>IFERROR(VLOOKUP(D80,'[1]Product Datasheet'!$A:$G,7,0), "")</f>
        <v/>
      </c>
      <c r="R80" s="48"/>
      <c r="S80" s="49" t="str">
        <f t="shared" si="5"/>
        <v>Accept</v>
      </c>
      <c r="T80" s="50"/>
      <c r="U80" s="51"/>
    </row>
    <row r="81" spans="1:21" ht="24.75" customHeight="1" x14ac:dyDescent="0.3">
      <c r="A81" s="38" t="str">
        <f>IFERROR(VLOOKUP(D81,'[1]Product Datasheet'!$A:$G,2,0),"")</f>
        <v/>
      </c>
      <c r="B81" s="39" t="str">
        <f>IFERROR(VLOOKUP(D81,'[1]Product Datasheet'!$A:$G,3,0),"")</f>
        <v/>
      </c>
      <c r="C81" s="40"/>
      <c r="D81" s="41"/>
      <c r="E81" s="41"/>
      <c r="F81" s="41"/>
      <c r="G81" s="42"/>
      <c r="H81" s="43"/>
      <c r="I81" s="42"/>
      <c r="J81" s="44"/>
      <c r="K81" s="44"/>
      <c r="L81" s="44"/>
      <c r="M81" s="45" t="str">
        <f t="shared" si="6"/>
        <v>Pass</v>
      </c>
      <c r="N81" s="46" t="str">
        <f>IFERROR(VLOOKUP(D81,'[1]Product Datasheet'!$A:$G,4,0),"")</f>
        <v/>
      </c>
      <c r="O81" s="47" t="str">
        <f>IFERROR(VLOOKUP(D81,'[1]Product Datasheet'!$A:$G,5,0),"")</f>
        <v/>
      </c>
      <c r="P81" s="47" t="str">
        <f>IFERROR(VLOOKUP(D81,'[1]Product Datasheet'!$A:$G,6,0),"")</f>
        <v/>
      </c>
      <c r="Q81" s="47" t="str">
        <f>IFERROR(VLOOKUP(D81,'[1]Product Datasheet'!$A:$G,7,0), "")</f>
        <v/>
      </c>
      <c r="R81" s="48"/>
      <c r="S81" s="49" t="str">
        <f t="shared" si="5"/>
        <v>Accept</v>
      </c>
      <c r="T81" s="50"/>
      <c r="U81" s="51"/>
    </row>
    <row r="82" spans="1:21" ht="24.75" customHeight="1" x14ac:dyDescent="0.3">
      <c r="A82" s="38" t="str">
        <f>IFERROR(VLOOKUP(D82,'[1]Product Datasheet'!$A:$G,2,0),"")</f>
        <v/>
      </c>
      <c r="B82" s="39" t="str">
        <f>IFERROR(VLOOKUP(D82,'[1]Product Datasheet'!$A:$G,3,0),"")</f>
        <v/>
      </c>
      <c r="C82" s="40"/>
      <c r="D82" s="41"/>
      <c r="E82" s="41"/>
      <c r="F82" s="41"/>
      <c r="G82" s="42"/>
      <c r="H82" s="43"/>
      <c r="I82" s="42"/>
      <c r="J82" s="44"/>
      <c r="K82" s="44"/>
      <c r="L82" s="44"/>
      <c r="M82" s="45" t="str">
        <f t="shared" si="6"/>
        <v>Pass</v>
      </c>
      <c r="N82" s="46" t="str">
        <f>IFERROR(VLOOKUP(D82,'[1]Product Datasheet'!$A:$G,4,0),"")</f>
        <v/>
      </c>
      <c r="O82" s="47" t="str">
        <f>IFERROR(VLOOKUP(D82,'[1]Product Datasheet'!$A:$G,5,0),"")</f>
        <v/>
      </c>
      <c r="P82" s="47" t="str">
        <f>IFERROR(VLOOKUP(D82,'[1]Product Datasheet'!$A:$G,6,0),"")</f>
        <v/>
      </c>
      <c r="Q82" s="47" t="str">
        <f>IFERROR(VLOOKUP(D82,'[1]Product Datasheet'!$A:$G,7,0), "")</f>
        <v/>
      </c>
      <c r="R82" s="48"/>
      <c r="S82" s="49" t="str">
        <f t="shared" si="5"/>
        <v>Accept</v>
      </c>
      <c r="T82" s="50"/>
      <c r="U82" s="51"/>
    </row>
    <row r="83" spans="1:21" ht="24.75" customHeight="1" x14ac:dyDescent="0.3">
      <c r="A83" s="38" t="str">
        <f>IFERROR(VLOOKUP(D83,'[1]Product Datasheet'!$A:$G,2,0),"")</f>
        <v/>
      </c>
      <c r="B83" s="39" t="str">
        <f>IFERROR(VLOOKUP(D83,'[1]Product Datasheet'!$A:$G,3,0),"")</f>
        <v/>
      </c>
      <c r="C83" s="40"/>
      <c r="D83" s="41"/>
      <c r="E83" s="41"/>
      <c r="F83" s="41"/>
      <c r="G83" s="42"/>
      <c r="H83" s="43"/>
      <c r="I83" s="42"/>
      <c r="J83" s="44"/>
      <c r="K83" s="44"/>
      <c r="L83" s="44"/>
      <c r="M83" s="45" t="str">
        <f t="shared" si="6"/>
        <v>Pass</v>
      </c>
      <c r="N83" s="46" t="str">
        <f>IFERROR(VLOOKUP(D83,'[1]Product Datasheet'!$A:$G,4,0),"")</f>
        <v/>
      </c>
      <c r="O83" s="47" t="str">
        <f>IFERROR(VLOOKUP(D83,'[1]Product Datasheet'!$A:$G,5,0),"")</f>
        <v/>
      </c>
      <c r="P83" s="47" t="str">
        <f>IFERROR(VLOOKUP(D83,'[1]Product Datasheet'!$A:$G,6,0),"")</f>
        <v/>
      </c>
      <c r="Q83" s="47" t="str">
        <f>IFERROR(VLOOKUP(D83,'[1]Product Datasheet'!$A:$G,7,0), "")</f>
        <v/>
      </c>
      <c r="R83" s="48"/>
      <c r="S83" s="49" t="str">
        <f t="shared" si="5"/>
        <v>Accept</v>
      </c>
      <c r="T83" s="50"/>
      <c r="U83" s="51"/>
    </row>
    <row r="84" spans="1:21" ht="24.75" customHeight="1" x14ac:dyDescent="0.3">
      <c r="A84" s="38" t="str">
        <f>IFERROR(VLOOKUP(D84,'[1]Product Datasheet'!$A:$G,2,0),"")</f>
        <v/>
      </c>
      <c r="B84" s="39" t="str">
        <f>IFERROR(VLOOKUP(D84,'[1]Product Datasheet'!$A:$G,3,0),"")</f>
        <v/>
      </c>
      <c r="C84" s="40"/>
      <c r="D84" s="41"/>
      <c r="E84" s="41"/>
      <c r="F84" s="41"/>
      <c r="G84" s="42"/>
      <c r="H84" s="43"/>
      <c r="I84" s="42"/>
      <c r="J84" s="44"/>
      <c r="K84" s="44"/>
      <c r="L84" s="44"/>
      <c r="M84" s="45" t="str">
        <f t="shared" si="6"/>
        <v>Pass</v>
      </c>
      <c r="N84" s="46" t="str">
        <f>IFERROR(VLOOKUP(D84,'[1]Product Datasheet'!$A:$G,4,0),"")</f>
        <v/>
      </c>
      <c r="O84" s="47" t="str">
        <f>IFERROR(VLOOKUP(D84,'[1]Product Datasheet'!$A:$G,5,0),"")</f>
        <v/>
      </c>
      <c r="P84" s="47" t="str">
        <f>IFERROR(VLOOKUP(D84,'[1]Product Datasheet'!$A:$G,6,0),"")</f>
        <v/>
      </c>
      <c r="Q84" s="47" t="str">
        <f>IFERROR(VLOOKUP(D84,'[1]Product Datasheet'!$A:$G,7,0), "")</f>
        <v/>
      </c>
      <c r="R84" s="48"/>
      <c r="S84" s="49" t="str">
        <f t="shared" si="5"/>
        <v>Accept</v>
      </c>
      <c r="T84" s="50"/>
      <c r="U84" s="51"/>
    </row>
    <row r="85" spans="1:21" ht="24.75" customHeight="1" x14ac:dyDescent="0.3">
      <c r="A85" s="38" t="str">
        <f>IFERROR(VLOOKUP(D85,'[1]Product Datasheet'!$A:$G,2,0),"")</f>
        <v/>
      </c>
      <c r="B85" s="39" t="str">
        <f>IFERROR(VLOOKUP(D85,'[1]Product Datasheet'!$A:$G,3,0),"")</f>
        <v/>
      </c>
      <c r="C85" s="40"/>
      <c r="D85" s="41"/>
      <c r="E85" s="41"/>
      <c r="F85" s="41"/>
      <c r="G85" s="42"/>
      <c r="H85" s="43"/>
      <c r="I85" s="42"/>
      <c r="J85" s="44"/>
      <c r="K85" s="44"/>
      <c r="L85" s="44"/>
      <c r="M85" s="45" t="str">
        <f t="shared" si="6"/>
        <v>Pass</v>
      </c>
      <c r="N85" s="46" t="str">
        <f>IFERROR(VLOOKUP(D85,'[1]Product Datasheet'!$A:$G,4,0),"")</f>
        <v/>
      </c>
      <c r="O85" s="47" t="str">
        <f>IFERROR(VLOOKUP(D85,'[1]Product Datasheet'!$A:$G,5,0),"")</f>
        <v/>
      </c>
      <c r="P85" s="47" t="str">
        <f>IFERROR(VLOOKUP(D85,'[1]Product Datasheet'!$A:$G,6,0),"")</f>
        <v/>
      </c>
      <c r="Q85" s="47" t="str">
        <f>IFERROR(VLOOKUP(D85,'[1]Product Datasheet'!$A:$G,7,0), "")</f>
        <v/>
      </c>
      <c r="R85" s="48"/>
      <c r="S85" s="49" t="str">
        <f t="shared" si="5"/>
        <v>Accept</v>
      </c>
      <c r="T85" s="50"/>
      <c r="U85" s="51"/>
    </row>
    <row r="86" spans="1:21" ht="24.75" customHeight="1" x14ac:dyDescent="0.3">
      <c r="A86" s="38" t="str">
        <f>IFERROR(VLOOKUP(D86,'[1]Product Datasheet'!$A:$G,2,0),"")</f>
        <v/>
      </c>
      <c r="B86" s="39" t="str">
        <f>IFERROR(VLOOKUP(D86,'[1]Product Datasheet'!$A:$G,3,0),"")</f>
        <v/>
      </c>
      <c r="C86" s="40"/>
      <c r="D86" s="41"/>
      <c r="E86" s="41"/>
      <c r="F86" s="41"/>
      <c r="G86" s="42"/>
      <c r="H86" s="43"/>
      <c r="I86" s="42"/>
      <c r="J86" s="44"/>
      <c r="K86" s="44"/>
      <c r="L86" s="44"/>
      <c r="M86" s="45" t="str">
        <f t="shared" si="6"/>
        <v>Pass</v>
      </c>
      <c r="N86" s="46" t="str">
        <f>IFERROR(VLOOKUP(D86,'[1]Product Datasheet'!$A:$G,4,0),"")</f>
        <v/>
      </c>
      <c r="O86" s="47" t="str">
        <f>IFERROR(VLOOKUP(D86,'[1]Product Datasheet'!$A:$G,5,0),"")</f>
        <v/>
      </c>
      <c r="P86" s="47" t="str">
        <f>IFERROR(VLOOKUP(D86,'[1]Product Datasheet'!$A:$G,6,0),"")</f>
        <v/>
      </c>
      <c r="Q86" s="47" t="str">
        <f>IFERROR(VLOOKUP(D86,'[1]Product Datasheet'!$A:$G,7,0), "")</f>
        <v/>
      </c>
      <c r="R86" s="48"/>
      <c r="S86" s="49" t="str">
        <f t="shared" si="5"/>
        <v>Accept</v>
      </c>
      <c r="T86" s="50"/>
      <c r="U86" s="51"/>
    </row>
    <row r="87" spans="1:21" ht="24.75" customHeight="1" x14ac:dyDescent="0.3">
      <c r="A87" s="38" t="str">
        <f>IFERROR(VLOOKUP(D87,'[1]Product Datasheet'!$A:$G,2,0),"")</f>
        <v/>
      </c>
      <c r="B87" s="39" t="str">
        <f>IFERROR(VLOOKUP(D87,'[1]Product Datasheet'!$A:$G,3,0),"")</f>
        <v/>
      </c>
      <c r="C87" s="40"/>
      <c r="D87" s="41"/>
      <c r="E87" s="41"/>
      <c r="F87" s="41"/>
      <c r="G87" s="42"/>
      <c r="H87" s="43"/>
      <c r="I87" s="42"/>
      <c r="J87" s="44"/>
      <c r="K87" s="44"/>
      <c r="L87" s="44"/>
      <c r="M87" s="45" t="str">
        <f t="shared" si="6"/>
        <v>Pass</v>
      </c>
      <c r="N87" s="46" t="str">
        <f>IFERROR(VLOOKUP(D87,'[1]Product Datasheet'!$A:$G,4,0),"")</f>
        <v/>
      </c>
      <c r="O87" s="47" t="str">
        <f>IFERROR(VLOOKUP(D87,'[1]Product Datasheet'!$A:$G,5,0),"")</f>
        <v/>
      </c>
      <c r="P87" s="47" t="str">
        <f>IFERROR(VLOOKUP(D87,'[1]Product Datasheet'!$A:$G,6,0),"")</f>
        <v/>
      </c>
      <c r="Q87" s="47" t="str">
        <f>IFERROR(VLOOKUP(D87,'[1]Product Datasheet'!$A:$G,7,0), "")</f>
        <v/>
      </c>
      <c r="R87" s="48"/>
      <c r="S87" s="49" t="str">
        <f t="shared" si="5"/>
        <v>Accept</v>
      </c>
      <c r="T87" s="50"/>
      <c r="U87" s="51"/>
    </row>
    <row r="88" spans="1:21" ht="24.75" customHeight="1" x14ac:dyDescent="0.3">
      <c r="A88" s="38" t="str">
        <f>IFERROR(VLOOKUP(D88,'[1]Product Datasheet'!$A:$G,2,0),"")</f>
        <v/>
      </c>
      <c r="B88" s="39" t="str">
        <f>IFERROR(VLOOKUP(D88,'[1]Product Datasheet'!$A:$G,3,0),"")</f>
        <v/>
      </c>
      <c r="C88" s="40"/>
      <c r="D88" s="41"/>
      <c r="E88" s="41"/>
      <c r="F88" s="41"/>
      <c r="G88" s="42"/>
      <c r="H88" s="43"/>
      <c r="I88" s="42"/>
      <c r="J88" s="44"/>
      <c r="K88" s="44"/>
      <c r="L88" s="44"/>
      <c r="M88" s="45" t="str">
        <f t="shared" si="6"/>
        <v>Pass</v>
      </c>
      <c r="N88" s="46" t="str">
        <f>IFERROR(VLOOKUP(D88,'[1]Product Datasheet'!$A:$G,4,0),"")</f>
        <v/>
      </c>
      <c r="O88" s="47" t="str">
        <f>IFERROR(VLOOKUP(D88,'[1]Product Datasheet'!$A:$G,5,0),"")</f>
        <v/>
      </c>
      <c r="P88" s="47" t="str">
        <f>IFERROR(VLOOKUP(D88,'[1]Product Datasheet'!$A:$G,6,0),"")</f>
        <v/>
      </c>
      <c r="Q88" s="47" t="str">
        <f>IFERROR(VLOOKUP(D88,'[1]Product Datasheet'!$A:$G,7,0), "")</f>
        <v/>
      </c>
      <c r="R88" s="48"/>
      <c r="S88" s="49" t="str">
        <f t="shared" si="5"/>
        <v>Accept</v>
      </c>
      <c r="T88" s="50"/>
      <c r="U88" s="51"/>
    </row>
    <row r="89" spans="1:21" ht="24.75" customHeight="1" x14ac:dyDescent="0.3">
      <c r="A89" s="38" t="str">
        <f>IFERROR(VLOOKUP(D89,'[1]Product Datasheet'!$A:$G,2,0),"")</f>
        <v/>
      </c>
      <c r="B89" s="39" t="str">
        <f>IFERROR(VLOOKUP(D89,'[1]Product Datasheet'!$A:$G,3,0),"")</f>
        <v/>
      </c>
      <c r="C89" s="40"/>
      <c r="D89" s="41"/>
      <c r="E89" s="41"/>
      <c r="F89" s="41"/>
      <c r="G89" s="42"/>
      <c r="H89" s="43"/>
      <c r="I89" s="42"/>
      <c r="J89" s="44"/>
      <c r="K89" s="44"/>
      <c r="L89" s="44"/>
      <c r="M89" s="45" t="str">
        <f t="shared" si="6"/>
        <v>Pass</v>
      </c>
      <c r="N89" s="46" t="str">
        <f>IFERROR(VLOOKUP(D89,'[1]Product Datasheet'!$A:$G,4,0),"")</f>
        <v/>
      </c>
      <c r="O89" s="47" t="str">
        <f>IFERROR(VLOOKUP(D89,'[1]Product Datasheet'!$A:$G,5,0),"")</f>
        <v/>
      </c>
      <c r="P89" s="47" t="str">
        <f>IFERROR(VLOOKUP(D89,'[1]Product Datasheet'!$A:$G,6,0),"")</f>
        <v/>
      </c>
      <c r="Q89" s="47" t="str">
        <f>IFERROR(VLOOKUP(D89,'[1]Product Datasheet'!$A:$G,7,0), "")</f>
        <v/>
      </c>
      <c r="R89" s="48"/>
      <c r="S89" s="49" t="str">
        <f t="shared" si="5"/>
        <v>Accept</v>
      </c>
      <c r="T89" s="50"/>
      <c r="U89" s="51"/>
    </row>
    <row r="90" spans="1:21" ht="24.75" customHeight="1" x14ac:dyDescent="0.3">
      <c r="A90" s="38" t="str">
        <f>IFERROR(VLOOKUP(D90,'[1]Product Datasheet'!$A:$G,2,0),"")</f>
        <v/>
      </c>
      <c r="B90" s="39" t="str">
        <f>IFERROR(VLOOKUP(D90,'[1]Product Datasheet'!$A:$G,3,0),"")</f>
        <v/>
      </c>
      <c r="C90" s="40"/>
      <c r="D90" s="41"/>
      <c r="E90" s="41"/>
      <c r="F90" s="41"/>
      <c r="G90" s="42"/>
      <c r="H90" s="43"/>
      <c r="I90" s="42"/>
      <c r="J90" s="44"/>
      <c r="K90" s="44"/>
      <c r="L90" s="44"/>
      <c r="M90" s="45" t="str">
        <f t="shared" si="6"/>
        <v>Pass</v>
      </c>
      <c r="N90" s="46" t="str">
        <f>IFERROR(VLOOKUP(D90,'[1]Product Datasheet'!$A:$G,4,0),"")</f>
        <v/>
      </c>
      <c r="O90" s="47" t="str">
        <f>IFERROR(VLOOKUP(D90,'[1]Product Datasheet'!$A:$G,5,0),"")</f>
        <v/>
      </c>
      <c r="P90" s="47" t="str">
        <f>IFERROR(VLOOKUP(D90,'[1]Product Datasheet'!$A:$G,6,0),"")</f>
        <v/>
      </c>
      <c r="Q90" s="47" t="str">
        <f>IFERROR(VLOOKUP(D90,'[1]Product Datasheet'!$A:$G,7,0), "")</f>
        <v/>
      </c>
      <c r="R90" s="48"/>
      <c r="S90" s="49" t="str">
        <f t="shared" ref="S90:S153" si="7">IFERROR(IF(AND(ROUND(H90, 2)&lt;=Q90, ROUND(G90,1)&lt;=O90), "Accept", "Reject"),"Reject")</f>
        <v>Accept</v>
      </c>
      <c r="T90" s="50"/>
      <c r="U90" s="51"/>
    </row>
    <row r="91" spans="1:21" ht="24.75" customHeight="1" x14ac:dyDescent="0.3">
      <c r="A91" s="38" t="str">
        <f>IFERROR(VLOOKUP(D91,'[1]Product Datasheet'!$A:$G,2,0),"")</f>
        <v/>
      </c>
      <c r="B91" s="39" t="str">
        <f>IFERROR(VLOOKUP(D91,'[1]Product Datasheet'!$A:$G,3,0),"")</f>
        <v/>
      </c>
      <c r="C91" s="40"/>
      <c r="D91" s="41"/>
      <c r="E91" s="41"/>
      <c r="F91" s="41"/>
      <c r="G91" s="42"/>
      <c r="H91" s="43"/>
      <c r="I91" s="42"/>
      <c r="J91" s="44"/>
      <c r="K91" s="44"/>
      <c r="L91" s="44"/>
      <c r="M91" s="45" t="str">
        <f t="shared" si="6"/>
        <v>Pass</v>
      </c>
      <c r="N91" s="46" t="str">
        <f>IFERROR(VLOOKUP(D91,'[1]Product Datasheet'!$A:$G,4,0),"")</f>
        <v/>
      </c>
      <c r="O91" s="47" t="str">
        <f>IFERROR(VLOOKUP(D91,'[1]Product Datasheet'!$A:$G,5,0),"")</f>
        <v/>
      </c>
      <c r="P91" s="47" t="str">
        <f>IFERROR(VLOOKUP(D91,'[1]Product Datasheet'!$A:$G,6,0),"")</f>
        <v/>
      </c>
      <c r="Q91" s="47" t="str">
        <f>IFERROR(VLOOKUP(D91,'[1]Product Datasheet'!$A:$G,7,0), "")</f>
        <v/>
      </c>
      <c r="R91" s="48"/>
      <c r="S91" s="49" t="str">
        <f t="shared" si="7"/>
        <v>Accept</v>
      </c>
      <c r="T91" s="50"/>
      <c r="U91" s="51"/>
    </row>
    <row r="92" spans="1:21" ht="24.75" customHeight="1" x14ac:dyDescent="0.3">
      <c r="A92" s="38" t="str">
        <f>IFERROR(VLOOKUP(D92,'[1]Product Datasheet'!$A:$G,2,0),"")</f>
        <v/>
      </c>
      <c r="B92" s="39" t="str">
        <f>IFERROR(VLOOKUP(D92,'[1]Product Datasheet'!$A:$G,3,0),"")</f>
        <v/>
      </c>
      <c r="C92" s="40"/>
      <c r="D92" s="41"/>
      <c r="E92" s="41"/>
      <c r="F92" s="41"/>
      <c r="G92" s="42"/>
      <c r="H92" s="43"/>
      <c r="I92" s="42"/>
      <c r="J92" s="44"/>
      <c r="K92" s="44"/>
      <c r="L92" s="44"/>
      <c r="M92" s="45" t="str">
        <f t="shared" si="6"/>
        <v>Pass</v>
      </c>
      <c r="N92" s="46" t="str">
        <f>IFERROR(VLOOKUP(D92,'[1]Product Datasheet'!$A:$G,4,0),"")</f>
        <v/>
      </c>
      <c r="O92" s="47" t="str">
        <f>IFERROR(VLOOKUP(D92,'[1]Product Datasheet'!$A:$G,5,0),"")</f>
        <v/>
      </c>
      <c r="P92" s="47" t="str">
        <f>IFERROR(VLOOKUP(D92,'[1]Product Datasheet'!$A:$G,6,0),"")</f>
        <v/>
      </c>
      <c r="Q92" s="47" t="str">
        <f>IFERROR(VLOOKUP(D92,'[1]Product Datasheet'!$A:$G,7,0), "")</f>
        <v/>
      </c>
      <c r="R92" s="48"/>
      <c r="S92" s="49" t="str">
        <f t="shared" si="7"/>
        <v>Accept</v>
      </c>
      <c r="T92" s="50"/>
      <c r="U92" s="51"/>
    </row>
    <row r="93" spans="1:21" ht="24.75" customHeight="1" x14ac:dyDescent="0.3">
      <c r="A93" s="38" t="str">
        <f>IFERROR(VLOOKUP(D93,'[1]Product Datasheet'!$A:$G,2,0),"")</f>
        <v/>
      </c>
      <c r="B93" s="39" t="str">
        <f>IFERROR(VLOOKUP(D93,'[1]Product Datasheet'!$A:$G,3,0),"")</f>
        <v/>
      </c>
      <c r="C93" s="40"/>
      <c r="D93" s="41"/>
      <c r="E93" s="41"/>
      <c r="F93" s="41"/>
      <c r="G93" s="42"/>
      <c r="H93" s="43"/>
      <c r="I93" s="42"/>
      <c r="J93" s="44"/>
      <c r="K93" s="44"/>
      <c r="L93" s="44"/>
      <c r="M93" s="45" t="str">
        <f t="shared" si="6"/>
        <v>Pass</v>
      </c>
      <c r="N93" s="46" t="str">
        <f>IFERROR(VLOOKUP(D93,'[1]Product Datasheet'!$A:$G,4,0),"")</f>
        <v/>
      </c>
      <c r="O93" s="47" t="str">
        <f>IFERROR(VLOOKUP(D93,'[1]Product Datasheet'!$A:$G,5,0),"")</f>
        <v/>
      </c>
      <c r="P93" s="47" t="str">
        <f>IFERROR(VLOOKUP(D93,'[1]Product Datasheet'!$A:$G,6,0),"")</f>
        <v/>
      </c>
      <c r="Q93" s="47" t="str">
        <f>IFERROR(VLOOKUP(D93,'[1]Product Datasheet'!$A:$G,7,0), "")</f>
        <v/>
      </c>
      <c r="R93" s="48"/>
      <c r="S93" s="49" t="str">
        <f t="shared" si="7"/>
        <v>Accept</v>
      </c>
      <c r="T93" s="50"/>
      <c r="U93" s="51"/>
    </row>
    <row r="94" spans="1:21" ht="24.75" customHeight="1" x14ac:dyDescent="0.3">
      <c r="A94" s="38" t="str">
        <f>IFERROR(VLOOKUP(D94,'[1]Product Datasheet'!$A:$G,2,0),"")</f>
        <v/>
      </c>
      <c r="B94" s="39" t="str">
        <f>IFERROR(VLOOKUP(D94,'[1]Product Datasheet'!$A:$G,3,0),"")</f>
        <v/>
      </c>
      <c r="C94" s="40"/>
      <c r="D94" s="41"/>
      <c r="E94" s="41"/>
      <c r="F94" s="41"/>
      <c r="G94" s="42"/>
      <c r="H94" s="43"/>
      <c r="I94" s="42"/>
      <c r="J94" s="44"/>
      <c r="K94" s="44"/>
      <c r="L94" s="44"/>
      <c r="M94" s="45" t="str">
        <f t="shared" si="6"/>
        <v>Pass</v>
      </c>
      <c r="N94" s="46" t="str">
        <f>IFERROR(VLOOKUP(D94,'[1]Product Datasheet'!$A:$G,4,0),"")</f>
        <v/>
      </c>
      <c r="O94" s="47" t="str">
        <f>IFERROR(VLOOKUP(D94,'[1]Product Datasheet'!$A:$G,5,0),"")</f>
        <v/>
      </c>
      <c r="P94" s="47" t="str">
        <f>IFERROR(VLOOKUP(D94,'[1]Product Datasheet'!$A:$G,6,0),"")</f>
        <v/>
      </c>
      <c r="Q94" s="47" t="str">
        <f>IFERROR(VLOOKUP(D94,'[1]Product Datasheet'!$A:$G,7,0), "")</f>
        <v/>
      </c>
      <c r="R94" s="48"/>
      <c r="S94" s="49" t="str">
        <f t="shared" si="7"/>
        <v>Accept</v>
      </c>
      <c r="T94" s="50"/>
      <c r="U94" s="51"/>
    </row>
    <row r="95" spans="1:21" ht="24.75" customHeight="1" x14ac:dyDescent="0.3">
      <c r="A95" s="38" t="str">
        <f>IFERROR(VLOOKUP(D95,'[1]Product Datasheet'!$A:$G,2,0),"")</f>
        <v/>
      </c>
      <c r="B95" s="39" t="str">
        <f>IFERROR(VLOOKUP(D95,'[1]Product Datasheet'!$A:$G,3,0),"")</f>
        <v/>
      </c>
      <c r="C95" s="40"/>
      <c r="D95" s="41"/>
      <c r="E95" s="41"/>
      <c r="F95" s="41"/>
      <c r="G95" s="42"/>
      <c r="H95" s="43"/>
      <c r="I95" s="42"/>
      <c r="J95" s="44"/>
      <c r="K95" s="44"/>
      <c r="L95" s="44"/>
      <c r="M95" s="45" t="str">
        <f t="shared" si="6"/>
        <v>Pass</v>
      </c>
      <c r="N95" s="46" t="str">
        <f>IFERROR(VLOOKUP(D95,'[1]Product Datasheet'!$A:$G,4,0),"")</f>
        <v/>
      </c>
      <c r="O95" s="47" t="str">
        <f>IFERROR(VLOOKUP(D95,'[1]Product Datasheet'!$A:$G,5,0),"")</f>
        <v/>
      </c>
      <c r="P95" s="47" t="str">
        <f>IFERROR(VLOOKUP(D95,'[1]Product Datasheet'!$A:$G,6,0),"")</f>
        <v/>
      </c>
      <c r="Q95" s="47" t="str">
        <f>IFERROR(VLOOKUP(D95,'[1]Product Datasheet'!$A:$G,7,0), "")</f>
        <v/>
      </c>
      <c r="R95" s="48"/>
      <c r="S95" s="49" t="str">
        <f t="shared" si="7"/>
        <v>Accept</v>
      </c>
      <c r="T95" s="50"/>
      <c r="U95" s="51"/>
    </row>
    <row r="96" spans="1:21" ht="24.75" customHeight="1" x14ac:dyDescent="0.3">
      <c r="A96" s="38" t="str">
        <f>IFERROR(VLOOKUP(D96,'[1]Product Datasheet'!$A:$G,2,0),"")</f>
        <v/>
      </c>
      <c r="B96" s="39" t="str">
        <f>IFERROR(VLOOKUP(D96,'[1]Product Datasheet'!$A:$G,3,0),"")</f>
        <v/>
      </c>
      <c r="C96" s="40"/>
      <c r="D96" s="41"/>
      <c r="E96" s="41"/>
      <c r="F96" s="41"/>
      <c r="G96" s="42"/>
      <c r="H96" s="43"/>
      <c r="I96" s="42"/>
      <c r="J96" s="44"/>
      <c r="K96" s="44"/>
      <c r="L96" s="44"/>
      <c r="M96" s="45" t="str">
        <f t="shared" si="6"/>
        <v>Pass</v>
      </c>
      <c r="N96" s="46" t="str">
        <f>IFERROR(VLOOKUP(D96,'[1]Product Datasheet'!$A:$G,4,0),"")</f>
        <v/>
      </c>
      <c r="O96" s="47" t="str">
        <f>IFERROR(VLOOKUP(D96,'[1]Product Datasheet'!$A:$G,5,0),"")</f>
        <v/>
      </c>
      <c r="P96" s="47" t="str">
        <f>IFERROR(VLOOKUP(D96,'[1]Product Datasheet'!$A:$G,6,0),"")</f>
        <v/>
      </c>
      <c r="Q96" s="47" t="str">
        <f>IFERROR(VLOOKUP(D96,'[1]Product Datasheet'!$A:$G,7,0), "")</f>
        <v/>
      </c>
      <c r="R96" s="48"/>
      <c r="S96" s="49" t="str">
        <f t="shared" si="7"/>
        <v>Accept</v>
      </c>
      <c r="T96" s="50"/>
      <c r="U96" s="51"/>
    </row>
    <row r="97" spans="1:21" ht="24.75" customHeight="1" x14ac:dyDescent="0.3">
      <c r="A97" s="38" t="str">
        <f>IFERROR(VLOOKUP(D97,'[1]Product Datasheet'!$A:$G,2,0),"")</f>
        <v/>
      </c>
      <c r="B97" s="39" t="str">
        <f>IFERROR(VLOOKUP(D97,'[1]Product Datasheet'!$A:$G,3,0),"")</f>
        <v/>
      </c>
      <c r="C97" s="40"/>
      <c r="D97" s="41"/>
      <c r="E97" s="41"/>
      <c r="F97" s="41"/>
      <c r="G97" s="42"/>
      <c r="H97" s="43"/>
      <c r="I97" s="42"/>
      <c r="J97" s="44"/>
      <c r="K97" s="44"/>
      <c r="L97" s="44"/>
      <c r="M97" s="45" t="str">
        <f t="shared" si="6"/>
        <v>Pass</v>
      </c>
      <c r="N97" s="46" t="str">
        <f>IFERROR(VLOOKUP(D97,'[1]Product Datasheet'!$A:$G,4,0),"")</f>
        <v/>
      </c>
      <c r="O97" s="47" t="str">
        <f>IFERROR(VLOOKUP(D97,'[1]Product Datasheet'!$A:$G,5,0),"")</f>
        <v/>
      </c>
      <c r="P97" s="47" t="str">
        <f>IFERROR(VLOOKUP(D97,'[1]Product Datasheet'!$A:$G,6,0),"")</f>
        <v/>
      </c>
      <c r="Q97" s="47" t="str">
        <f>IFERROR(VLOOKUP(D97,'[1]Product Datasheet'!$A:$G,7,0), "")</f>
        <v/>
      </c>
      <c r="R97" s="48"/>
      <c r="S97" s="49" t="str">
        <f t="shared" si="7"/>
        <v>Accept</v>
      </c>
      <c r="T97" s="50"/>
      <c r="U97" s="51"/>
    </row>
    <row r="98" spans="1:21" ht="24.75" customHeight="1" x14ac:dyDescent="0.3">
      <c r="A98" s="38" t="str">
        <f>IFERROR(VLOOKUP(D98,'[1]Product Datasheet'!$A:$G,2,0),"")</f>
        <v/>
      </c>
      <c r="B98" s="39" t="str">
        <f>IFERROR(VLOOKUP(D98,'[1]Product Datasheet'!$A:$G,3,0),"")</f>
        <v/>
      </c>
      <c r="C98" s="40"/>
      <c r="D98" s="41"/>
      <c r="E98" s="41"/>
      <c r="F98" s="41"/>
      <c r="G98" s="42"/>
      <c r="H98" s="43"/>
      <c r="I98" s="42"/>
      <c r="J98" s="44"/>
      <c r="K98" s="44"/>
      <c r="L98" s="44"/>
      <c r="M98" s="45" t="str">
        <f t="shared" si="6"/>
        <v>Pass</v>
      </c>
      <c r="N98" s="46" t="str">
        <f>IFERROR(VLOOKUP(D98,'[1]Product Datasheet'!$A:$G,4,0),"")</f>
        <v/>
      </c>
      <c r="O98" s="47" t="str">
        <f>IFERROR(VLOOKUP(D98,'[1]Product Datasheet'!$A:$G,5,0),"")</f>
        <v/>
      </c>
      <c r="P98" s="47" t="str">
        <f>IFERROR(VLOOKUP(D98,'[1]Product Datasheet'!$A:$G,6,0),"")</f>
        <v/>
      </c>
      <c r="Q98" s="47" t="str">
        <f>IFERROR(VLOOKUP(D98,'[1]Product Datasheet'!$A:$G,7,0), "")</f>
        <v/>
      </c>
      <c r="R98" s="48"/>
      <c r="S98" s="49" t="str">
        <f t="shared" si="7"/>
        <v>Accept</v>
      </c>
      <c r="T98" s="50"/>
      <c r="U98" s="51"/>
    </row>
    <row r="99" spans="1:21" ht="24.75" customHeight="1" x14ac:dyDescent="0.3">
      <c r="A99" s="38" t="str">
        <f>IFERROR(VLOOKUP(D99,'[1]Product Datasheet'!$A:$G,2,0),"")</f>
        <v/>
      </c>
      <c r="B99" s="39" t="str">
        <f>IFERROR(VLOOKUP(D99,'[1]Product Datasheet'!$A:$G,3,0),"")</f>
        <v/>
      </c>
      <c r="C99" s="40"/>
      <c r="D99" s="41"/>
      <c r="E99" s="41"/>
      <c r="F99" s="41"/>
      <c r="G99" s="42"/>
      <c r="H99" s="43"/>
      <c r="I99" s="42"/>
      <c r="J99" s="44"/>
      <c r="K99" s="44"/>
      <c r="L99" s="44"/>
      <c r="M99" s="45" t="str">
        <f t="shared" si="6"/>
        <v>Pass</v>
      </c>
      <c r="N99" s="46" t="str">
        <f>IFERROR(VLOOKUP(D99,'[1]Product Datasheet'!$A:$G,4,0),"")</f>
        <v/>
      </c>
      <c r="O99" s="47" t="str">
        <f>IFERROR(VLOOKUP(D99,'[1]Product Datasheet'!$A:$G,5,0),"")</f>
        <v/>
      </c>
      <c r="P99" s="47" t="str">
        <f>IFERROR(VLOOKUP(D99,'[1]Product Datasheet'!$A:$G,6,0),"")</f>
        <v/>
      </c>
      <c r="Q99" s="47" t="str">
        <f>IFERROR(VLOOKUP(D99,'[1]Product Datasheet'!$A:$G,7,0), "")</f>
        <v/>
      </c>
      <c r="R99" s="48"/>
      <c r="S99" s="49" t="str">
        <f t="shared" si="7"/>
        <v>Accept</v>
      </c>
      <c r="T99" s="50"/>
      <c r="U99" s="51"/>
    </row>
    <row r="100" spans="1:21" ht="24.75" customHeight="1" x14ac:dyDescent="0.3">
      <c r="A100" s="38" t="str">
        <f>IFERROR(VLOOKUP(D100,'[1]Product Datasheet'!$A:$G,2,0),"")</f>
        <v/>
      </c>
      <c r="B100" s="39" t="str">
        <f>IFERROR(VLOOKUP(D100,'[1]Product Datasheet'!$A:$G,3,0),"")</f>
        <v/>
      </c>
      <c r="C100" s="40"/>
      <c r="D100" s="41"/>
      <c r="E100" s="41"/>
      <c r="F100" s="41"/>
      <c r="G100" s="42"/>
      <c r="H100" s="43"/>
      <c r="I100" s="42"/>
      <c r="J100" s="44"/>
      <c r="K100" s="44"/>
      <c r="L100" s="44"/>
      <c r="M100" s="45" t="str">
        <f t="shared" si="6"/>
        <v>Pass</v>
      </c>
      <c r="N100" s="46" t="str">
        <f>IFERROR(VLOOKUP(D100,'[1]Product Datasheet'!$A:$G,4,0),"")</f>
        <v/>
      </c>
      <c r="O100" s="47" t="str">
        <f>IFERROR(VLOOKUP(D100,'[1]Product Datasheet'!$A:$G,5,0),"")</f>
        <v/>
      </c>
      <c r="P100" s="47" t="str">
        <f>IFERROR(VLOOKUP(D100,'[1]Product Datasheet'!$A:$G,6,0),"")</f>
        <v/>
      </c>
      <c r="Q100" s="47" t="str">
        <f>IFERROR(VLOOKUP(D100,'[1]Product Datasheet'!$A:$G,7,0), "")</f>
        <v/>
      </c>
      <c r="R100" s="48"/>
      <c r="S100" s="49" t="str">
        <f t="shared" si="7"/>
        <v>Accept</v>
      </c>
      <c r="T100" s="50"/>
      <c r="U100" s="51"/>
    </row>
    <row r="101" spans="1:21" ht="24.75" customHeight="1" x14ac:dyDescent="0.3">
      <c r="A101" s="38" t="str">
        <f>IFERROR(VLOOKUP(D101,'[1]Product Datasheet'!$A:$G,2,0),"")</f>
        <v/>
      </c>
      <c r="B101" s="39" t="str">
        <f>IFERROR(VLOOKUP(D101,'[1]Product Datasheet'!$A:$G,3,0),"")</f>
        <v/>
      </c>
      <c r="C101" s="40"/>
      <c r="D101" s="41"/>
      <c r="E101" s="41"/>
      <c r="F101" s="41"/>
      <c r="G101" s="42"/>
      <c r="H101" s="43"/>
      <c r="I101" s="42"/>
      <c r="J101" s="44"/>
      <c r="K101" s="44"/>
      <c r="L101" s="44"/>
      <c r="M101" s="45" t="str">
        <f t="shared" si="6"/>
        <v>Pass</v>
      </c>
      <c r="N101" s="46" t="str">
        <f>IFERROR(VLOOKUP(D101,'[1]Product Datasheet'!$A:$G,4,0),"")</f>
        <v/>
      </c>
      <c r="O101" s="47" t="str">
        <f>IFERROR(VLOOKUP(D101,'[1]Product Datasheet'!$A:$G,5,0),"")</f>
        <v/>
      </c>
      <c r="P101" s="47" t="str">
        <f>IFERROR(VLOOKUP(D101,'[1]Product Datasheet'!$A:$G,6,0),"")</f>
        <v/>
      </c>
      <c r="Q101" s="47" t="str">
        <f>IFERROR(VLOOKUP(D101,'[1]Product Datasheet'!$A:$G,7,0), "")</f>
        <v/>
      </c>
      <c r="R101" s="48"/>
      <c r="S101" s="49" t="str">
        <f t="shared" si="7"/>
        <v>Accept</v>
      </c>
      <c r="T101" s="50"/>
      <c r="U101" s="51"/>
    </row>
    <row r="102" spans="1:21" ht="24.75" customHeight="1" x14ac:dyDescent="0.3">
      <c r="A102" s="38" t="str">
        <f>IFERROR(VLOOKUP(D102,'[1]Product Datasheet'!$A:$G,2,0),"")</f>
        <v/>
      </c>
      <c r="B102" s="39" t="str">
        <f>IFERROR(VLOOKUP(D102,'[1]Product Datasheet'!$A:$G,3,0),"")</f>
        <v/>
      </c>
      <c r="C102" s="40"/>
      <c r="D102" s="41"/>
      <c r="E102" s="41"/>
      <c r="F102" s="41"/>
      <c r="G102" s="42"/>
      <c r="H102" s="43"/>
      <c r="I102" s="42"/>
      <c r="J102" s="44"/>
      <c r="K102" s="44"/>
      <c r="L102" s="44"/>
      <c r="M102" s="45" t="str">
        <f t="shared" si="6"/>
        <v>Pass</v>
      </c>
      <c r="N102" s="46" t="str">
        <f>IFERROR(VLOOKUP(D102,'[1]Product Datasheet'!$A:$G,4,0),"")</f>
        <v/>
      </c>
      <c r="O102" s="47" t="str">
        <f>IFERROR(VLOOKUP(D102,'[1]Product Datasheet'!$A:$G,5,0),"")</f>
        <v/>
      </c>
      <c r="P102" s="47" t="str">
        <f>IFERROR(VLOOKUP(D102,'[1]Product Datasheet'!$A:$G,6,0),"")</f>
        <v/>
      </c>
      <c r="Q102" s="47" t="str">
        <f>IFERROR(VLOOKUP(D102,'[1]Product Datasheet'!$A:$G,7,0), "")</f>
        <v/>
      </c>
      <c r="R102" s="48"/>
      <c r="S102" s="49" t="str">
        <f t="shared" si="7"/>
        <v>Accept</v>
      </c>
      <c r="T102" s="50"/>
      <c r="U102" s="51"/>
    </row>
    <row r="103" spans="1:21" ht="24.75" customHeight="1" x14ac:dyDescent="0.3">
      <c r="A103" s="38" t="str">
        <f>IFERROR(VLOOKUP(D103,'[1]Product Datasheet'!$A:$G,2,0),"")</f>
        <v/>
      </c>
      <c r="B103" s="39" t="str">
        <f>IFERROR(VLOOKUP(D103,'[1]Product Datasheet'!$A:$G,3,0),"")</f>
        <v/>
      </c>
      <c r="C103" s="40"/>
      <c r="D103" s="41"/>
      <c r="E103" s="41"/>
      <c r="F103" s="41"/>
      <c r="G103" s="42"/>
      <c r="H103" s="43"/>
      <c r="I103" s="42"/>
      <c r="J103" s="44"/>
      <c r="K103" s="44"/>
      <c r="L103" s="44"/>
      <c r="M103" s="45" t="str">
        <f t="shared" si="6"/>
        <v>Pass</v>
      </c>
      <c r="N103" s="46" t="str">
        <f>IFERROR(VLOOKUP(D103,'[1]Product Datasheet'!$A:$G,4,0),"")</f>
        <v/>
      </c>
      <c r="O103" s="47" t="str">
        <f>IFERROR(VLOOKUP(D103,'[1]Product Datasheet'!$A:$G,5,0),"")</f>
        <v/>
      </c>
      <c r="P103" s="47" t="str">
        <f>IFERROR(VLOOKUP(D103,'[1]Product Datasheet'!$A:$G,6,0),"")</f>
        <v/>
      </c>
      <c r="Q103" s="47" t="str">
        <f>IFERROR(VLOOKUP(D103,'[1]Product Datasheet'!$A:$G,7,0), "")</f>
        <v/>
      </c>
      <c r="R103" s="48"/>
      <c r="S103" s="49" t="str">
        <f t="shared" si="7"/>
        <v>Accept</v>
      </c>
      <c r="T103" s="50"/>
      <c r="U103" s="51"/>
    </row>
    <row r="104" spans="1:21" ht="24.75" customHeight="1" x14ac:dyDescent="0.3">
      <c r="A104" s="38" t="str">
        <f>IFERROR(VLOOKUP(D104,'[1]Product Datasheet'!$A:$G,2,0),"")</f>
        <v/>
      </c>
      <c r="B104" s="39" t="str">
        <f>IFERROR(VLOOKUP(D104,'[1]Product Datasheet'!$A:$G,3,0),"")</f>
        <v/>
      </c>
      <c r="C104" s="40"/>
      <c r="D104" s="41"/>
      <c r="E104" s="41"/>
      <c r="F104" s="41"/>
      <c r="G104" s="42"/>
      <c r="H104" s="43"/>
      <c r="I104" s="42"/>
      <c r="J104" s="44"/>
      <c r="K104" s="44"/>
      <c r="L104" s="44"/>
      <c r="M104" s="45" t="str">
        <f t="shared" si="6"/>
        <v>Pass</v>
      </c>
      <c r="N104" s="46" t="str">
        <f>IFERROR(VLOOKUP(D104,'[1]Product Datasheet'!$A:$G,4,0),"")</f>
        <v/>
      </c>
      <c r="O104" s="47" t="str">
        <f>IFERROR(VLOOKUP(D104,'[1]Product Datasheet'!$A:$G,5,0),"")</f>
        <v/>
      </c>
      <c r="P104" s="47" t="str">
        <f>IFERROR(VLOOKUP(D104,'[1]Product Datasheet'!$A:$G,6,0),"")</f>
        <v/>
      </c>
      <c r="Q104" s="47" t="str">
        <f>IFERROR(VLOOKUP(D104,'[1]Product Datasheet'!$A:$G,7,0), "")</f>
        <v/>
      </c>
      <c r="R104" s="48"/>
      <c r="S104" s="49" t="str">
        <f t="shared" si="7"/>
        <v>Accept</v>
      </c>
      <c r="T104" s="50"/>
      <c r="U104" s="51"/>
    </row>
    <row r="105" spans="1:21" ht="24.75" customHeight="1" x14ac:dyDescent="0.3">
      <c r="A105" s="38" t="str">
        <f>IFERROR(VLOOKUP(D105,'[1]Product Datasheet'!$A:$G,2,0),"")</f>
        <v/>
      </c>
      <c r="B105" s="39" t="str">
        <f>IFERROR(VLOOKUP(D105,'[1]Product Datasheet'!$A:$G,3,0),"")</f>
        <v/>
      </c>
      <c r="C105" s="40"/>
      <c r="D105" s="41"/>
      <c r="E105" s="41"/>
      <c r="F105" s="41"/>
      <c r="G105" s="42"/>
      <c r="H105" s="43"/>
      <c r="I105" s="42"/>
      <c r="J105" s="44"/>
      <c r="K105" s="44"/>
      <c r="L105" s="44"/>
      <c r="M105" s="45" t="str">
        <f t="shared" si="6"/>
        <v>Pass</v>
      </c>
      <c r="N105" s="46" t="str">
        <f>IFERROR(VLOOKUP(D105,'[1]Product Datasheet'!$A:$G,4,0),"")</f>
        <v/>
      </c>
      <c r="O105" s="47" t="str">
        <f>IFERROR(VLOOKUP(D105,'[1]Product Datasheet'!$A:$G,5,0),"")</f>
        <v/>
      </c>
      <c r="P105" s="47" t="str">
        <f>IFERROR(VLOOKUP(D105,'[1]Product Datasheet'!$A:$G,6,0),"")</f>
        <v/>
      </c>
      <c r="Q105" s="47" t="str">
        <f>IFERROR(VLOOKUP(D105,'[1]Product Datasheet'!$A:$G,7,0), "")</f>
        <v/>
      </c>
      <c r="R105" s="48"/>
      <c r="S105" s="49" t="str">
        <f t="shared" si="7"/>
        <v>Accept</v>
      </c>
      <c r="T105" s="50"/>
      <c r="U105" s="51"/>
    </row>
    <row r="106" spans="1:21" ht="24.75" customHeight="1" x14ac:dyDescent="0.3">
      <c r="A106" s="38" t="str">
        <f>IFERROR(VLOOKUP(D106,'[1]Product Datasheet'!$A:$G,2,0),"")</f>
        <v/>
      </c>
      <c r="B106" s="39" t="str">
        <f>IFERROR(VLOOKUP(D106,'[1]Product Datasheet'!$A:$G,3,0),"")</f>
        <v/>
      </c>
      <c r="C106" s="40"/>
      <c r="D106" s="41"/>
      <c r="E106" s="41"/>
      <c r="F106" s="41"/>
      <c r="G106" s="42"/>
      <c r="H106" s="43"/>
      <c r="I106" s="42"/>
      <c r="J106" s="44"/>
      <c r="K106" s="44"/>
      <c r="L106" s="44"/>
      <c r="M106" s="45" t="str">
        <f t="shared" si="6"/>
        <v>Pass</v>
      </c>
      <c r="N106" s="46" t="str">
        <f>IFERROR(VLOOKUP(D106,'[1]Product Datasheet'!$A:$G,4,0),"")</f>
        <v/>
      </c>
      <c r="O106" s="47" t="str">
        <f>IFERROR(VLOOKUP(D106,'[1]Product Datasheet'!$A:$G,5,0),"")</f>
        <v/>
      </c>
      <c r="P106" s="47" t="str">
        <f>IFERROR(VLOOKUP(D106,'[1]Product Datasheet'!$A:$G,6,0),"")</f>
        <v/>
      </c>
      <c r="Q106" s="47" t="str">
        <f>IFERROR(VLOOKUP(D106,'[1]Product Datasheet'!$A:$G,7,0), "")</f>
        <v/>
      </c>
      <c r="R106" s="48"/>
      <c r="S106" s="49" t="str">
        <f t="shared" si="7"/>
        <v>Accept</v>
      </c>
      <c r="T106" s="50"/>
      <c r="U106" s="51"/>
    </row>
    <row r="107" spans="1:21" ht="24.75" customHeight="1" x14ac:dyDescent="0.3">
      <c r="A107" s="38" t="str">
        <f>IFERROR(VLOOKUP(D107,'[1]Product Datasheet'!$A:$G,2,0),"")</f>
        <v/>
      </c>
      <c r="B107" s="39" t="str">
        <f>IFERROR(VLOOKUP(D107,'[1]Product Datasheet'!$A:$G,3,0),"")</f>
        <v/>
      </c>
      <c r="C107" s="40"/>
      <c r="D107" s="41"/>
      <c r="E107" s="41"/>
      <c r="F107" s="41"/>
      <c r="G107" s="42"/>
      <c r="H107" s="43"/>
      <c r="I107" s="42"/>
      <c r="J107" s="44"/>
      <c r="K107" s="44"/>
      <c r="L107" s="44"/>
      <c r="M107" s="45" t="str">
        <f t="shared" si="6"/>
        <v>Pass</v>
      </c>
      <c r="N107" s="46" t="str">
        <f>IFERROR(VLOOKUP(D107,'[1]Product Datasheet'!$A:$G,4,0),"")</f>
        <v/>
      </c>
      <c r="O107" s="47" t="str">
        <f>IFERROR(VLOOKUP(D107,'[1]Product Datasheet'!$A:$G,5,0),"")</f>
        <v/>
      </c>
      <c r="P107" s="47" t="str">
        <f>IFERROR(VLOOKUP(D107,'[1]Product Datasheet'!$A:$G,6,0),"")</f>
        <v/>
      </c>
      <c r="Q107" s="47" t="str">
        <f>IFERROR(VLOOKUP(D107,'[1]Product Datasheet'!$A:$G,7,0), "")</f>
        <v/>
      </c>
      <c r="R107" s="48"/>
      <c r="S107" s="49" t="str">
        <f t="shared" si="7"/>
        <v>Accept</v>
      </c>
      <c r="T107" s="50"/>
      <c r="U107" s="51"/>
    </row>
    <row r="108" spans="1:21" ht="24.75" customHeight="1" x14ac:dyDescent="0.3">
      <c r="A108" s="38" t="str">
        <f>IFERROR(VLOOKUP(D108,'[1]Product Datasheet'!$A:$G,2,0),"")</f>
        <v/>
      </c>
      <c r="B108" s="39" t="str">
        <f>IFERROR(VLOOKUP(D108,'[1]Product Datasheet'!$A:$G,3,0),"")</f>
        <v/>
      </c>
      <c r="C108" s="40"/>
      <c r="D108" s="41"/>
      <c r="E108" s="41"/>
      <c r="F108" s="41"/>
      <c r="G108" s="42"/>
      <c r="H108" s="43"/>
      <c r="I108" s="42"/>
      <c r="J108" s="44"/>
      <c r="K108" s="44"/>
      <c r="L108" s="44"/>
      <c r="M108" s="45" t="str">
        <f t="shared" si="6"/>
        <v>Pass</v>
      </c>
      <c r="N108" s="46" t="str">
        <f>IFERROR(VLOOKUP(D108,'[1]Product Datasheet'!$A:$G,4,0),"")</f>
        <v/>
      </c>
      <c r="O108" s="47" t="str">
        <f>IFERROR(VLOOKUP(D108,'[1]Product Datasheet'!$A:$G,5,0),"")</f>
        <v/>
      </c>
      <c r="P108" s="47" t="str">
        <f>IFERROR(VLOOKUP(D108,'[1]Product Datasheet'!$A:$G,6,0),"")</f>
        <v/>
      </c>
      <c r="Q108" s="47" t="str">
        <f>IFERROR(VLOOKUP(D108,'[1]Product Datasheet'!$A:$G,7,0), "")</f>
        <v/>
      </c>
      <c r="R108" s="48"/>
      <c r="S108" s="49" t="str">
        <f t="shared" si="7"/>
        <v>Accept</v>
      </c>
      <c r="T108" s="50"/>
      <c r="U108" s="51"/>
    </row>
    <row r="109" spans="1:21" ht="24.75" customHeight="1" x14ac:dyDescent="0.3">
      <c r="A109" s="38" t="str">
        <f>IFERROR(VLOOKUP(D109,'[1]Product Datasheet'!$A:$G,2,0),"")</f>
        <v/>
      </c>
      <c r="B109" s="39" t="str">
        <f>IFERROR(VLOOKUP(D109,'[1]Product Datasheet'!$A:$G,3,0),"")</f>
        <v/>
      </c>
      <c r="C109" s="40"/>
      <c r="D109" s="41"/>
      <c r="E109" s="41"/>
      <c r="F109" s="41"/>
      <c r="G109" s="42"/>
      <c r="H109" s="43"/>
      <c r="I109" s="42"/>
      <c r="J109" s="44"/>
      <c r="K109" s="44"/>
      <c r="L109" s="44"/>
      <c r="M109" s="45" t="str">
        <f t="shared" si="6"/>
        <v>Pass</v>
      </c>
      <c r="N109" s="46" t="str">
        <f>IFERROR(VLOOKUP(D109,'[1]Product Datasheet'!$A:$G,4,0),"")</f>
        <v/>
      </c>
      <c r="O109" s="47" t="str">
        <f>IFERROR(VLOOKUP(D109,'[1]Product Datasheet'!$A:$G,5,0),"")</f>
        <v/>
      </c>
      <c r="P109" s="47" t="str">
        <f>IFERROR(VLOOKUP(D109,'[1]Product Datasheet'!$A:$G,6,0),"")</f>
        <v/>
      </c>
      <c r="Q109" s="47" t="str">
        <f>IFERROR(VLOOKUP(D109,'[1]Product Datasheet'!$A:$G,7,0), "")</f>
        <v/>
      </c>
      <c r="R109" s="48"/>
      <c r="S109" s="49" t="str">
        <f t="shared" si="7"/>
        <v>Accept</v>
      </c>
      <c r="T109" s="50"/>
      <c r="U109" s="51"/>
    </row>
    <row r="110" spans="1:21" ht="24.75" customHeight="1" x14ac:dyDescent="0.3">
      <c r="A110" s="38" t="str">
        <f>IFERROR(VLOOKUP(D110,'[1]Product Datasheet'!$A:$G,2,0),"")</f>
        <v/>
      </c>
      <c r="B110" s="39" t="str">
        <f>IFERROR(VLOOKUP(D110,'[1]Product Datasheet'!$A:$G,3,0),"")</f>
        <v/>
      </c>
      <c r="C110" s="40"/>
      <c r="D110" s="41"/>
      <c r="E110" s="41"/>
      <c r="F110" s="41"/>
      <c r="G110" s="42"/>
      <c r="H110" s="43"/>
      <c r="I110" s="42"/>
      <c r="J110" s="44"/>
      <c r="K110" s="44"/>
      <c r="L110" s="44"/>
      <c r="M110" s="45" t="str">
        <f t="shared" si="6"/>
        <v>Pass</v>
      </c>
      <c r="N110" s="46" t="str">
        <f>IFERROR(VLOOKUP(D110,'[1]Product Datasheet'!$A:$G,4,0),"")</f>
        <v/>
      </c>
      <c r="O110" s="47" t="str">
        <f>IFERROR(VLOOKUP(D110,'[1]Product Datasheet'!$A:$G,5,0),"")</f>
        <v/>
      </c>
      <c r="P110" s="47" t="str">
        <f>IFERROR(VLOOKUP(D110,'[1]Product Datasheet'!$A:$G,6,0),"")</f>
        <v/>
      </c>
      <c r="Q110" s="47" t="str">
        <f>IFERROR(VLOOKUP(D110,'[1]Product Datasheet'!$A:$G,7,0), "")</f>
        <v/>
      </c>
      <c r="R110" s="48"/>
      <c r="S110" s="49" t="str">
        <f t="shared" si="7"/>
        <v>Accept</v>
      </c>
      <c r="T110" s="50"/>
      <c r="U110" s="51"/>
    </row>
    <row r="111" spans="1:21" ht="24.75" customHeight="1" x14ac:dyDescent="0.3">
      <c r="A111" s="38" t="str">
        <f>IFERROR(VLOOKUP(D111,'[1]Product Datasheet'!$A:$G,2,0),"")</f>
        <v/>
      </c>
      <c r="B111" s="39" t="str">
        <f>IFERROR(VLOOKUP(D111,'[1]Product Datasheet'!$A:$G,3,0),"")</f>
        <v/>
      </c>
      <c r="C111" s="40"/>
      <c r="D111" s="41"/>
      <c r="E111" s="41"/>
      <c r="F111" s="41"/>
      <c r="G111" s="42"/>
      <c r="H111" s="43"/>
      <c r="I111" s="42"/>
      <c r="J111" s="44"/>
      <c r="K111" s="44"/>
      <c r="L111" s="44"/>
      <c r="M111" s="45" t="str">
        <f t="shared" si="6"/>
        <v>Pass</v>
      </c>
      <c r="N111" s="46" t="str">
        <f>IFERROR(VLOOKUP(D111,'[1]Product Datasheet'!$A:$G,4,0),"")</f>
        <v/>
      </c>
      <c r="O111" s="47" t="str">
        <f>IFERROR(VLOOKUP(D111,'[1]Product Datasheet'!$A:$G,5,0),"")</f>
        <v/>
      </c>
      <c r="P111" s="47" t="str">
        <f>IFERROR(VLOOKUP(D111,'[1]Product Datasheet'!$A:$G,6,0),"")</f>
        <v/>
      </c>
      <c r="Q111" s="47" t="str">
        <f>IFERROR(VLOOKUP(D111,'[1]Product Datasheet'!$A:$G,7,0), "")</f>
        <v/>
      </c>
      <c r="R111" s="48"/>
      <c r="S111" s="49" t="str">
        <f t="shared" si="7"/>
        <v>Accept</v>
      </c>
      <c r="T111" s="50"/>
      <c r="U111" s="51"/>
    </row>
    <row r="112" spans="1:21" ht="24.75" customHeight="1" x14ac:dyDescent="0.3">
      <c r="A112" s="38" t="str">
        <f>IFERROR(VLOOKUP(D112,'[1]Product Datasheet'!$A:$G,2,0),"")</f>
        <v/>
      </c>
      <c r="B112" s="39" t="str">
        <f>IFERROR(VLOOKUP(D112,'[1]Product Datasheet'!$A:$G,3,0),"")</f>
        <v/>
      </c>
      <c r="C112" s="40"/>
      <c r="D112" s="41"/>
      <c r="E112" s="41"/>
      <c r="F112" s="41"/>
      <c r="G112" s="42"/>
      <c r="H112" s="43"/>
      <c r="I112" s="42"/>
      <c r="J112" s="44"/>
      <c r="K112" s="44"/>
      <c r="L112" s="44"/>
      <c r="M112" s="45" t="str">
        <f t="shared" si="6"/>
        <v>Pass</v>
      </c>
      <c r="N112" s="46" t="str">
        <f>IFERROR(VLOOKUP(D112,'[1]Product Datasheet'!$A:$G,4,0),"")</f>
        <v/>
      </c>
      <c r="O112" s="47" t="str">
        <f>IFERROR(VLOOKUP(D112,'[1]Product Datasheet'!$A:$G,5,0),"")</f>
        <v/>
      </c>
      <c r="P112" s="47" t="str">
        <f>IFERROR(VLOOKUP(D112,'[1]Product Datasheet'!$A:$G,6,0),"")</f>
        <v/>
      </c>
      <c r="Q112" s="47" t="str">
        <f>IFERROR(VLOOKUP(D112,'[1]Product Datasheet'!$A:$G,7,0), "")</f>
        <v/>
      </c>
      <c r="R112" s="48"/>
      <c r="S112" s="49" t="str">
        <f t="shared" si="7"/>
        <v>Accept</v>
      </c>
      <c r="T112" s="50"/>
      <c r="U112" s="51"/>
    </row>
    <row r="113" spans="1:21" ht="24.75" customHeight="1" x14ac:dyDescent="0.3">
      <c r="A113" s="38" t="str">
        <f>IFERROR(VLOOKUP(D113,'[1]Product Datasheet'!$A:$G,2,0),"")</f>
        <v/>
      </c>
      <c r="B113" s="39" t="str">
        <f>IFERROR(VLOOKUP(D113,'[1]Product Datasheet'!$A:$G,3,0),"")</f>
        <v/>
      </c>
      <c r="C113" s="40"/>
      <c r="D113" s="41"/>
      <c r="E113" s="41"/>
      <c r="F113" s="41"/>
      <c r="G113" s="42"/>
      <c r="H113" s="43"/>
      <c r="I113" s="42"/>
      <c r="J113" s="44"/>
      <c r="K113" s="44"/>
      <c r="L113" s="44"/>
      <c r="M113" s="45" t="str">
        <f t="shared" si="6"/>
        <v>Pass</v>
      </c>
      <c r="N113" s="46" t="str">
        <f>IFERROR(VLOOKUP(D113,'[1]Product Datasheet'!$A:$G,4,0),"")</f>
        <v/>
      </c>
      <c r="O113" s="47" t="str">
        <f>IFERROR(VLOOKUP(D113,'[1]Product Datasheet'!$A:$G,5,0),"")</f>
        <v/>
      </c>
      <c r="P113" s="47" t="str">
        <f>IFERROR(VLOOKUP(D113,'[1]Product Datasheet'!$A:$G,6,0),"")</f>
        <v/>
      </c>
      <c r="Q113" s="47" t="str">
        <f>IFERROR(VLOOKUP(D113,'[1]Product Datasheet'!$A:$G,7,0), "")</f>
        <v/>
      </c>
      <c r="R113" s="48"/>
      <c r="S113" s="49" t="str">
        <f t="shared" si="7"/>
        <v>Accept</v>
      </c>
      <c r="T113" s="50"/>
      <c r="U113" s="51"/>
    </row>
    <row r="114" spans="1:21" ht="24.75" customHeight="1" x14ac:dyDescent="0.3">
      <c r="A114" s="38" t="str">
        <f>IFERROR(VLOOKUP(D114,'[1]Product Datasheet'!$A:$G,2,0),"")</f>
        <v/>
      </c>
      <c r="B114" s="39" t="str">
        <f>IFERROR(VLOOKUP(D114,'[1]Product Datasheet'!$A:$G,3,0),"")</f>
        <v/>
      </c>
      <c r="C114" s="40"/>
      <c r="D114" s="41"/>
      <c r="E114" s="41"/>
      <c r="F114" s="41"/>
      <c r="G114" s="42"/>
      <c r="H114" s="43"/>
      <c r="I114" s="42"/>
      <c r="J114" s="44"/>
      <c r="K114" s="44"/>
      <c r="L114" s="44"/>
      <c r="M114" s="45" t="str">
        <f t="shared" si="6"/>
        <v>Pass</v>
      </c>
      <c r="N114" s="46" t="str">
        <f>IFERROR(VLOOKUP(D114,'[1]Product Datasheet'!$A:$G,4,0),"")</f>
        <v/>
      </c>
      <c r="O114" s="47" t="str">
        <f>IFERROR(VLOOKUP(D114,'[1]Product Datasheet'!$A:$G,5,0),"")</f>
        <v/>
      </c>
      <c r="P114" s="47" t="str">
        <f>IFERROR(VLOOKUP(D114,'[1]Product Datasheet'!$A:$G,6,0),"")</f>
        <v/>
      </c>
      <c r="Q114" s="47" t="str">
        <f>IFERROR(VLOOKUP(D114,'[1]Product Datasheet'!$A:$G,7,0), "")</f>
        <v/>
      </c>
      <c r="R114" s="48"/>
      <c r="S114" s="49" t="str">
        <f t="shared" si="7"/>
        <v>Accept</v>
      </c>
      <c r="T114" s="50"/>
      <c r="U114" s="51"/>
    </row>
    <row r="115" spans="1:21" ht="24.75" customHeight="1" x14ac:dyDescent="0.3">
      <c r="A115" s="38" t="str">
        <f>IFERROR(VLOOKUP(D115,'[1]Product Datasheet'!$A:$G,2,0),"")</f>
        <v/>
      </c>
      <c r="B115" s="39" t="str">
        <f>IFERROR(VLOOKUP(D115,'[1]Product Datasheet'!$A:$G,3,0),"")</f>
        <v/>
      </c>
      <c r="C115" s="40"/>
      <c r="D115" s="41"/>
      <c r="E115" s="41"/>
      <c r="F115" s="41"/>
      <c r="G115" s="42"/>
      <c r="H115" s="43"/>
      <c r="I115" s="42"/>
      <c r="J115" s="44"/>
      <c r="K115" s="44"/>
      <c r="L115" s="44"/>
      <c r="M115" s="45" t="str">
        <f t="shared" si="6"/>
        <v>Pass</v>
      </c>
      <c r="N115" s="46" t="str">
        <f>IFERROR(VLOOKUP(D115,'[1]Product Datasheet'!$A:$G,4,0),"")</f>
        <v/>
      </c>
      <c r="O115" s="47" t="str">
        <f>IFERROR(VLOOKUP(D115,'[1]Product Datasheet'!$A:$G,5,0),"")</f>
        <v/>
      </c>
      <c r="P115" s="47" t="str">
        <f>IFERROR(VLOOKUP(D115,'[1]Product Datasheet'!$A:$G,6,0),"")</f>
        <v/>
      </c>
      <c r="Q115" s="47" t="str">
        <f>IFERROR(VLOOKUP(D115,'[1]Product Datasheet'!$A:$G,7,0), "")</f>
        <v/>
      </c>
      <c r="R115" s="48"/>
      <c r="S115" s="49" t="str">
        <f t="shared" si="7"/>
        <v>Accept</v>
      </c>
      <c r="T115" s="50"/>
      <c r="U115" s="51"/>
    </row>
    <row r="116" spans="1:21" ht="24.75" customHeight="1" x14ac:dyDescent="0.3">
      <c r="A116" s="38" t="str">
        <f>IFERROR(VLOOKUP(D116,'[1]Product Datasheet'!$A:$G,2,0),"")</f>
        <v/>
      </c>
      <c r="B116" s="39" t="str">
        <f>IFERROR(VLOOKUP(D116,'[1]Product Datasheet'!$A:$G,3,0),"")</f>
        <v/>
      </c>
      <c r="C116" s="40"/>
      <c r="D116" s="41"/>
      <c r="E116" s="41"/>
      <c r="F116" s="41"/>
      <c r="G116" s="42"/>
      <c r="H116" s="43"/>
      <c r="I116" s="42"/>
      <c r="J116" s="44"/>
      <c r="K116" s="44"/>
      <c r="L116" s="44"/>
      <c r="M116" s="45" t="str">
        <f t="shared" si="6"/>
        <v>Pass</v>
      </c>
      <c r="N116" s="46" t="str">
        <f>IFERROR(VLOOKUP(D116,'[1]Product Datasheet'!$A:$G,4,0),"")</f>
        <v/>
      </c>
      <c r="O116" s="47" t="str">
        <f>IFERROR(VLOOKUP(D116,'[1]Product Datasheet'!$A:$G,5,0),"")</f>
        <v/>
      </c>
      <c r="P116" s="47" t="str">
        <f>IFERROR(VLOOKUP(D116,'[1]Product Datasheet'!$A:$G,6,0),"")</f>
        <v/>
      </c>
      <c r="Q116" s="47" t="str">
        <f>IFERROR(VLOOKUP(D116,'[1]Product Datasheet'!$A:$G,7,0), "")</f>
        <v/>
      </c>
      <c r="R116" s="48"/>
      <c r="S116" s="49" t="str">
        <f t="shared" si="7"/>
        <v>Accept</v>
      </c>
      <c r="T116" s="50"/>
      <c r="U116" s="51"/>
    </row>
    <row r="117" spans="1:21" ht="24.75" customHeight="1" x14ac:dyDescent="0.3">
      <c r="A117" s="38" t="str">
        <f>IFERROR(VLOOKUP(D117,'[1]Product Datasheet'!$A:$G,2,0),"")</f>
        <v/>
      </c>
      <c r="B117" s="39" t="str">
        <f>IFERROR(VLOOKUP(D117,'[1]Product Datasheet'!$A:$G,3,0),"")</f>
        <v/>
      </c>
      <c r="C117" s="40"/>
      <c r="D117" s="41"/>
      <c r="E117" s="41"/>
      <c r="F117" s="41"/>
      <c r="G117" s="42"/>
      <c r="H117" s="43"/>
      <c r="I117" s="42"/>
      <c r="J117" s="44"/>
      <c r="K117" s="44"/>
      <c r="L117" s="44"/>
      <c r="M117" s="45" t="str">
        <f t="shared" si="6"/>
        <v>Pass</v>
      </c>
      <c r="N117" s="46" t="str">
        <f>IFERROR(VLOOKUP(D117,'[1]Product Datasheet'!$A:$G,4,0),"")</f>
        <v/>
      </c>
      <c r="O117" s="47" t="str">
        <f>IFERROR(VLOOKUP(D117,'[1]Product Datasheet'!$A:$G,5,0),"")</f>
        <v/>
      </c>
      <c r="P117" s="47" t="str">
        <f>IFERROR(VLOOKUP(D117,'[1]Product Datasheet'!$A:$G,6,0),"")</f>
        <v/>
      </c>
      <c r="Q117" s="47" t="str">
        <f>IFERROR(VLOOKUP(D117,'[1]Product Datasheet'!$A:$G,7,0), "")</f>
        <v/>
      </c>
      <c r="R117" s="48"/>
      <c r="S117" s="49" t="str">
        <f t="shared" si="7"/>
        <v>Accept</v>
      </c>
      <c r="T117" s="50"/>
      <c r="U117" s="51"/>
    </row>
    <row r="118" spans="1:21" ht="24.75" customHeight="1" x14ac:dyDescent="0.3">
      <c r="A118" s="38" t="str">
        <f>IFERROR(VLOOKUP(D118,'[1]Product Datasheet'!$A:$G,2,0),"")</f>
        <v/>
      </c>
      <c r="B118" s="39" t="str">
        <f>IFERROR(VLOOKUP(D118,'[1]Product Datasheet'!$A:$G,3,0),"")</f>
        <v/>
      </c>
      <c r="C118" s="40"/>
      <c r="D118" s="41"/>
      <c r="E118" s="41"/>
      <c r="F118" s="41"/>
      <c r="G118" s="42"/>
      <c r="H118" s="43"/>
      <c r="I118" s="42"/>
      <c r="J118" s="44"/>
      <c r="K118" s="44"/>
      <c r="L118" s="44"/>
      <c r="M118" s="45" t="str">
        <f t="shared" si="6"/>
        <v>Pass</v>
      </c>
      <c r="N118" s="46" t="str">
        <f>IFERROR(VLOOKUP(D118,'[1]Product Datasheet'!$A:$G,4,0),"")</f>
        <v/>
      </c>
      <c r="O118" s="47" t="str">
        <f>IFERROR(VLOOKUP(D118,'[1]Product Datasheet'!$A:$G,5,0),"")</f>
        <v/>
      </c>
      <c r="P118" s="47" t="str">
        <f>IFERROR(VLOOKUP(D118,'[1]Product Datasheet'!$A:$G,6,0),"")</f>
        <v/>
      </c>
      <c r="Q118" s="47" t="str">
        <f>IFERROR(VLOOKUP(D118,'[1]Product Datasheet'!$A:$G,7,0), "")</f>
        <v/>
      </c>
      <c r="R118" s="48"/>
      <c r="S118" s="49" t="str">
        <f t="shared" si="7"/>
        <v>Accept</v>
      </c>
      <c r="T118" s="50"/>
      <c r="U118" s="51"/>
    </row>
    <row r="119" spans="1:21" ht="24.75" customHeight="1" x14ac:dyDescent="0.3">
      <c r="A119" s="38" t="str">
        <f>IFERROR(VLOOKUP(D119,'[1]Product Datasheet'!$A:$G,2,0),"")</f>
        <v/>
      </c>
      <c r="B119" s="39" t="str">
        <f>IFERROR(VLOOKUP(D119,'[1]Product Datasheet'!$A:$G,3,0),"")</f>
        <v/>
      </c>
      <c r="C119" s="40"/>
      <c r="D119" s="41"/>
      <c r="E119" s="41"/>
      <c r="F119" s="41"/>
      <c r="G119" s="42"/>
      <c r="H119" s="43"/>
      <c r="I119" s="42"/>
      <c r="J119" s="44"/>
      <c r="K119" s="44"/>
      <c r="L119" s="44"/>
      <c r="M119" s="45" t="str">
        <f t="shared" si="6"/>
        <v>Pass</v>
      </c>
      <c r="N119" s="46" t="str">
        <f>IFERROR(VLOOKUP(D119,'[1]Product Datasheet'!$A:$G,4,0),"")</f>
        <v/>
      </c>
      <c r="O119" s="47" t="str">
        <f>IFERROR(VLOOKUP(D119,'[1]Product Datasheet'!$A:$G,5,0),"")</f>
        <v/>
      </c>
      <c r="P119" s="47" t="str">
        <f>IFERROR(VLOOKUP(D119,'[1]Product Datasheet'!$A:$G,6,0),"")</f>
        <v/>
      </c>
      <c r="Q119" s="47" t="str">
        <f>IFERROR(VLOOKUP(D119,'[1]Product Datasheet'!$A:$G,7,0), "")</f>
        <v/>
      </c>
      <c r="R119" s="48"/>
      <c r="S119" s="49" t="str">
        <f t="shared" si="7"/>
        <v>Accept</v>
      </c>
      <c r="T119" s="50"/>
      <c r="U119" s="51"/>
    </row>
    <row r="120" spans="1:21" ht="24.75" customHeight="1" x14ac:dyDescent="0.3">
      <c r="A120" s="38" t="str">
        <f>IFERROR(VLOOKUP(D120,'[1]Product Datasheet'!$A:$G,2,0),"")</f>
        <v/>
      </c>
      <c r="B120" s="39" t="str">
        <f>IFERROR(VLOOKUP(D120,'[1]Product Datasheet'!$A:$G,3,0),"")</f>
        <v/>
      </c>
      <c r="C120" s="40"/>
      <c r="D120" s="41"/>
      <c r="E120" s="41"/>
      <c r="F120" s="41"/>
      <c r="G120" s="42"/>
      <c r="H120" s="43"/>
      <c r="I120" s="42"/>
      <c r="J120" s="44"/>
      <c r="K120" s="44"/>
      <c r="L120" s="44"/>
      <c r="M120" s="45" t="str">
        <f t="shared" si="6"/>
        <v>Pass</v>
      </c>
      <c r="N120" s="46" t="str">
        <f>IFERROR(VLOOKUP(D120,'[1]Product Datasheet'!$A:$G,4,0),"")</f>
        <v/>
      </c>
      <c r="O120" s="47" t="str">
        <f>IFERROR(VLOOKUP(D120,'[1]Product Datasheet'!$A:$G,5,0),"")</f>
        <v/>
      </c>
      <c r="P120" s="47" t="str">
        <f>IFERROR(VLOOKUP(D120,'[1]Product Datasheet'!$A:$G,6,0),"")</f>
        <v/>
      </c>
      <c r="Q120" s="47" t="str">
        <f>IFERROR(VLOOKUP(D120,'[1]Product Datasheet'!$A:$G,7,0), "")</f>
        <v/>
      </c>
      <c r="R120" s="48"/>
      <c r="S120" s="49" t="str">
        <f t="shared" si="7"/>
        <v>Accept</v>
      </c>
      <c r="T120" s="50"/>
      <c r="U120" s="51"/>
    </row>
    <row r="121" spans="1:21" ht="24.75" customHeight="1" x14ac:dyDescent="0.3">
      <c r="A121" s="38" t="str">
        <f>IFERROR(VLOOKUP(D121,'[1]Product Datasheet'!$A:$G,2,0),"")</f>
        <v/>
      </c>
      <c r="B121" s="39" t="str">
        <f>IFERROR(VLOOKUP(D121,'[1]Product Datasheet'!$A:$G,3,0),"")</f>
        <v/>
      </c>
      <c r="C121" s="40"/>
      <c r="D121" s="41"/>
      <c r="E121" s="41"/>
      <c r="F121" s="41"/>
      <c r="G121" s="42"/>
      <c r="H121" s="43"/>
      <c r="I121" s="42"/>
      <c r="J121" s="44"/>
      <c r="K121" s="44"/>
      <c r="L121" s="44"/>
      <c r="M121" s="45" t="str">
        <f t="shared" si="6"/>
        <v>Pass</v>
      </c>
      <c r="N121" s="46" t="str">
        <f>IFERROR(VLOOKUP(D121,'[1]Product Datasheet'!$A:$G,4,0),"")</f>
        <v/>
      </c>
      <c r="O121" s="47" t="str">
        <f>IFERROR(VLOOKUP(D121,'[1]Product Datasheet'!$A:$G,5,0),"")</f>
        <v/>
      </c>
      <c r="P121" s="47" t="str">
        <f>IFERROR(VLOOKUP(D121,'[1]Product Datasheet'!$A:$G,6,0),"")</f>
        <v/>
      </c>
      <c r="Q121" s="47" t="str">
        <f>IFERROR(VLOOKUP(D121,'[1]Product Datasheet'!$A:$G,7,0), "")</f>
        <v/>
      </c>
      <c r="R121" s="48"/>
      <c r="S121" s="49" t="str">
        <f t="shared" si="7"/>
        <v>Accept</v>
      </c>
      <c r="T121" s="50"/>
      <c r="U121" s="51"/>
    </row>
    <row r="122" spans="1:21" ht="24.75" customHeight="1" x14ac:dyDescent="0.3">
      <c r="A122" s="38" t="str">
        <f>IFERROR(VLOOKUP(D122,'[1]Product Datasheet'!$A:$G,2,0),"")</f>
        <v/>
      </c>
      <c r="B122" s="39" t="str">
        <f>IFERROR(VLOOKUP(D122,'[1]Product Datasheet'!$A:$G,3,0),"")</f>
        <v/>
      </c>
      <c r="C122" s="40"/>
      <c r="D122" s="41"/>
      <c r="E122" s="41"/>
      <c r="F122" s="41"/>
      <c r="G122" s="42"/>
      <c r="H122" s="43"/>
      <c r="I122" s="42"/>
      <c r="J122" s="44"/>
      <c r="K122" s="44"/>
      <c r="L122" s="44"/>
      <c r="M122" s="45" t="str">
        <f t="shared" si="6"/>
        <v>Pass</v>
      </c>
      <c r="N122" s="46" t="str">
        <f>IFERROR(VLOOKUP(D122,'[1]Product Datasheet'!$A:$G,4,0),"")</f>
        <v/>
      </c>
      <c r="O122" s="47" t="str">
        <f>IFERROR(VLOOKUP(D122,'[1]Product Datasheet'!$A:$G,5,0),"")</f>
        <v/>
      </c>
      <c r="P122" s="47" t="str">
        <f>IFERROR(VLOOKUP(D122,'[1]Product Datasheet'!$A:$G,6,0),"")</f>
        <v/>
      </c>
      <c r="Q122" s="47" t="str">
        <f>IFERROR(VLOOKUP(D122,'[1]Product Datasheet'!$A:$G,7,0), "")</f>
        <v/>
      </c>
      <c r="R122" s="48"/>
      <c r="S122" s="49" t="str">
        <f t="shared" si="7"/>
        <v>Accept</v>
      </c>
      <c r="T122" s="50"/>
      <c r="U122" s="51"/>
    </row>
    <row r="123" spans="1:21" ht="24.75" customHeight="1" x14ac:dyDescent="0.3">
      <c r="A123" s="38" t="str">
        <f>IFERROR(VLOOKUP(D123,'[1]Product Datasheet'!$A:$G,2,0),"")</f>
        <v/>
      </c>
      <c r="B123" s="39" t="str">
        <f>IFERROR(VLOOKUP(D123,'[1]Product Datasheet'!$A:$G,3,0),"")</f>
        <v/>
      </c>
      <c r="C123" s="40"/>
      <c r="D123" s="41"/>
      <c r="E123" s="41"/>
      <c r="F123" s="41"/>
      <c r="G123" s="42"/>
      <c r="H123" s="43"/>
      <c r="I123" s="42"/>
      <c r="J123" s="44"/>
      <c r="K123" s="44"/>
      <c r="L123" s="44"/>
      <c r="M123" s="45" t="str">
        <f t="shared" si="6"/>
        <v>Pass</v>
      </c>
      <c r="N123" s="46" t="str">
        <f>IFERROR(VLOOKUP(D123,'[1]Product Datasheet'!$A:$G,4,0),"")</f>
        <v/>
      </c>
      <c r="O123" s="47" t="str">
        <f>IFERROR(VLOOKUP(D123,'[1]Product Datasheet'!$A:$G,5,0),"")</f>
        <v/>
      </c>
      <c r="P123" s="47" t="str">
        <f>IFERROR(VLOOKUP(D123,'[1]Product Datasheet'!$A:$G,6,0),"")</f>
        <v/>
      </c>
      <c r="Q123" s="47" t="str">
        <f>IFERROR(VLOOKUP(D123,'[1]Product Datasheet'!$A:$G,7,0), "")</f>
        <v/>
      </c>
      <c r="R123" s="48"/>
      <c r="S123" s="49" t="str">
        <f t="shared" si="7"/>
        <v>Accept</v>
      </c>
      <c r="T123" s="50"/>
      <c r="U123" s="51"/>
    </row>
    <row r="124" spans="1:21" ht="24.75" customHeight="1" x14ac:dyDescent="0.3">
      <c r="A124" s="38" t="str">
        <f>IFERROR(VLOOKUP(D124,'[1]Product Datasheet'!$A:$G,2,0),"")</f>
        <v/>
      </c>
      <c r="B124" s="39" t="str">
        <f>IFERROR(VLOOKUP(D124,'[1]Product Datasheet'!$A:$G,3,0),"")</f>
        <v/>
      </c>
      <c r="C124" s="40"/>
      <c r="D124" s="41"/>
      <c r="E124" s="41"/>
      <c r="F124" s="41"/>
      <c r="G124" s="42"/>
      <c r="H124" s="43"/>
      <c r="I124" s="42"/>
      <c r="J124" s="44"/>
      <c r="K124" s="44"/>
      <c r="L124" s="44"/>
      <c r="M124" s="45" t="str">
        <f t="shared" si="6"/>
        <v>Pass</v>
      </c>
      <c r="N124" s="46" t="str">
        <f>IFERROR(VLOOKUP(D124,'[1]Product Datasheet'!$A:$G,4,0),"")</f>
        <v/>
      </c>
      <c r="O124" s="47" t="str">
        <f>IFERROR(VLOOKUP(D124,'[1]Product Datasheet'!$A:$G,5,0),"")</f>
        <v/>
      </c>
      <c r="P124" s="47" t="str">
        <f>IFERROR(VLOOKUP(D124,'[1]Product Datasheet'!$A:$G,6,0),"")</f>
        <v/>
      </c>
      <c r="Q124" s="47" t="str">
        <f>IFERROR(VLOOKUP(D124,'[1]Product Datasheet'!$A:$G,7,0), "")</f>
        <v/>
      </c>
      <c r="R124" s="48"/>
      <c r="S124" s="49" t="str">
        <f t="shared" si="7"/>
        <v>Accept</v>
      </c>
      <c r="T124" s="50"/>
      <c r="U124" s="51"/>
    </row>
    <row r="125" spans="1:21" ht="24.75" customHeight="1" x14ac:dyDescent="0.3">
      <c r="A125" s="38" t="str">
        <f>IFERROR(VLOOKUP(D125,'[1]Product Datasheet'!$A:$G,2,0),"")</f>
        <v/>
      </c>
      <c r="B125" s="39" t="str">
        <f>IFERROR(VLOOKUP(D125,'[1]Product Datasheet'!$A:$G,3,0),"")</f>
        <v/>
      </c>
      <c r="C125" s="40"/>
      <c r="D125" s="41"/>
      <c r="E125" s="41"/>
      <c r="F125" s="41"/>
      <c r="G125" s="42"/>
      <c r="H125" s="43"/>
      <c r="I125" s="42"/>
      <c r="J125" s="44"/>
      <c r="K125" s="44"/>
      <c r="L125" s="44"/>
      <c r="M125" s="45" t="str">
        <f t="shared" si="6"/>
        <v>Pass</v>
      </c>
      <c r="N125" s="46" t="str">
        <f>IFERROR(VLOOKUP(D125,'[1]Product Datasheet'!$A:$G,4,0),"")</f>
        <v/>
      </c>
      <c r="O125" s="47" t="str">
        <f>IFERROR(VLOOKUP(D125,'[1]Product Datasheet'!$A:$G,5,0),"")</f>
        <v/>
      </c>
      <c r="P125" s="47" t="str">
        <f>IFERROR(VLOOKUP(D125,'[1]Product Datasheet'!$A:$G,6,0),"")</f>
        <v/>
      </c>
      <c r="Q125" s="47" t="str">
        <f>IFERROR(VLOOKUP(D125,'[1]Product Datasheet'!$A:$G,7,0), "")</f>
        <v/>
      </c>
      <c r="R125" s="48"/>
      <c r="S125" s="49" t="str">
        <f t="shared" si="7"/>
        <v>Accept</v>
      </c>
      <c r="T125" s="50"/>
      <c r="U125" s="51"/>
    </row>
    <row r="126" spans="1:21" ht="24.75" customHeight="1" x14ac:dyDescent="0.3">
      <c r="A126" s="38" t="str">
        <f>IFERROR(VLOOKUP(D126,'[1]Product Datasheet'!$A:$G,2,0),"")</f>
        <v/>
      </c>
      <c r="B126" s="39" t="str">
        <f>IFERROR(VLOOKUP(D126,'[1]Product Datasheet'!$A:$G,3,0),"")</f>
        <v/>
      </c>
      <c r="C126" s="40"/>
      <c r="D126" s="41"/>
      <c r="E126" s="41"/>
      <c r="F126" s="41"/>
      <c r="G126" s="42"/>
      <c r="H126" s="43"/>
      <c r="I126" s="42"/>
      <c r="J126" s="44"/>
      <c r="K126" s="44"/>
      <c r="L126" s="44"/>
      <c r="M126" s="45" t="str">
        <f t="shared" si="6"/>
        <v>Pass</v>
      </c>
      <c r="N126" s="46" t="str">
        <f>IFERROR(VLOOKUP(D126,'[1]Product Datasheet'!$A:$G,4,0),"")</f>
        <v/>
      </c>
      <c r="O126" s="47" t="str">
        <f>IFERROR(VLOOKUP(D126,'[1]Product Datasheet'!$A:$G,5,0),"")</f>
        <v/>
      </c>
      <c r="P126" s="47" t="str">
        <f>IFERROR(VLOOKUP(D126,'[1]Product Datasheet'!$A:$G,6,0),"")</f>
        <v/>
      </c>
      <c r="Q126" s="47" t="str">
        <f>IFERROR(VLOOKUP(D126,'[1]Product Datasheet'!$A:$G,7,0), "")</f>
        <v/>
      </c>
      <c r="R126" s="48"/>
      <c r="S126" s="49" t="str">
        <f t="shared" si="7"/>
        <v>Accept</v>
      </c>
      <c r="T126" s="50"/>
      <c r="U126" s="51"/>
    </row>
    <row r="127" spans="1:21" ht="24.75" customHeight="1" x14ac:dyDescent="0.3">
      <c r="A127" s="38" t="str">
        <f>IFERROR(VLOOKUP(D127,'[1]Product Datasheet'!$A:$G,2,0),"")</f>
        <v/>
      </c>
      <c r="B127" s="39" t="str">
        <f>IFERROR(VLOOKUP(D127,'[1]Product Datasheet'!$A:$G,3,0),"")</f>
        <v/>
      </c>
      <c r="C127" s="40"/>
      <c r="D127" s="41"/>
      <c r="E127" s="41"/>
      <c r="F127" s="41"/>
      <c r="G127" s="42"/>
      <c r="H127" s="43"/>
      <c r="I127" s="42"/>
      <c r="J127" s="44"/>
      <c r="K127" s="44"/>
      <c r="L127" s="44"/>
      <c r="M127" s="45" t="str">
        <f t="shared" si="6"/>
        <v>Pass</v>
      </c>
      <c r="N127" s="46" t="str">
        <f>IFERROR(VLOOKUP(D127,'[1]Product Datasheet'!$A:$G,4,0),"")</f>
        <v/>
      </c>
      <c r="O127" s="47" t="str">
        <f>IFERROR(VLOOKUP(D127,'[1]Product Datasheet'!$A:$G,5,0),"")</f>
        <v/>
      </c>
      <c r="P127" s="47" t="str">
        <f>IFERROR(VLOOKUP(D127,'[1]Product Datasheet'!$A:$G,6,0),"")</f>
        <v/>
      </c>
      <c r="Q127" s="47" t="str">
        <f>IFERROR(VLOOKUP(D127,'[1]Product Datasheet'!$A:$G,7,0), "")</f>
        <v/>
      </c>
      <c r="R127" s="48"/>
      <c r="S127" s="49" t="str">
        <f t="shared" si="7"/>
        <v>Accept</v>
      </c>
      <c r="T127" s="50"/>
      <c r="U127" s="51"/>
    </row>
    <row r="128" spans="1:21" ht="24.75" customHeight="1" x14ac:dyDescent="0.3">
      <c r="A128" s="38" t="str">
        <f>IFERROR(VLOOKUP(D128,'[1]Product Datasheet'!$A:$G,2,0),"")</f>
        <v/>
      </c>
      <c r="B128" s="39" t="str">
        <f>IFERROR(VLOOKUP(D128,'[1]Product Datasheet'!$A:$G,3,0),"")</f>
        <v/>
      </c>
      <c r="C128" s="40"/>
      <c r="D128" s="41"/>
      <c r="E128" s="41"/>
      <c r="F128" s="41"/>
      <c r="G128" s="42"/>
      <c r="H128" s="43"/>
      <c r="I128" s="42"/>
      <c r="J128" s="44"/>
      <c r="K128" s="44"/>
      <c r="L128" s="44"/>
      <c r="M128" s="45" t="str">
        <f t="shared" si="6"/>
        <v>Pass</v>
      </c>
      <c r="N128" s="46" t="str">
        <f>IFERROR(VLOOKUP(D128,'[1]Product Datasheet'!$A:$G,4,0),"")</f>
        <v/>
      </c>
      <c r="O128" s="47" t="str">
        <f>IFERROR(VLOOKUP(D128,'[1]Product Datasheet'!$A:$G,5,0),"")</f>
        <v/>
      </c>
      <c r="P128" s="47" t="str">
        <f>IFERROR(VLOOKUP(D128,'[1]Product Datasheet'!$A:$G,6,0),"")</f>
        <v/>
      </c>
      <c r="Q128" s="47" t="str">
        <f>IFERROR(VLOOKUP(D128,'[1]Product Datasheet'!$A:$G,7,0), "")</f>
        <v/>
      </c>
      <c r="R128" s="48"/>
      <c r="S128" s="49" t="str">
        <f t="shared" si="7"/>
        <v>Accept</v>
      </c>
      <c r="T128" s="50"/>
      <c r="U128" s="51"/>
    </row>
    <row r="129" spans="1:21" ht="24.75" customHeight="1" x14ac:dyDescent="0.3">
      <c r="A129" s="38" t="str">
        <f>IFERROR(VLOOKUP(D129,'[1]Product Datasheet'!$A:$G,2,0),"")</f>
        <v/>
      </c>
      <c r="B129" s="39" t="str">
        <f>IFERROR(VLOOKUP(D129,'[1]Product Datasheet'!$A:$G,3,0),"")</f>
        <v/>
      </c>
      <c r="C129" s="40"/>
      <c r="D129" s="41"/>
      <c r="E129" s="41"/>
      <c r="F129" s="41"/>
      <c r="G129" s="42"/>
      <c r="H129" s="43"/>
      <c r="I129" s="42"/>
      <c r="J129" s="44"/>
      <c r="K129" s="44"/>
      <c r="L129" s="44"/>
      <c r="M129" s="45" t="str">
        <f t="shared" si="6"/>
        <v>Pass</v>
      </c>
      <c r="N129" s="46" t="str">
        <f>IFERROR(VLOOKUP(D129,'[1]Product Datasheet'!$A:$G,4,0),"")</f>
        <v/>
      </c>
      <c r="O129" s="47" t="str">
        <f>IFERROR(VLOOKUP(D129,'[1]Product Datasheet'!$A:$G,5,0),"")</f>
        <v/>
      </c>
      <c r="P129" s="47" t="str">
        <f>IFERROR(VLOOKUP(D129,'[1]Product Datasheet'!$A:$G,6,0),"")</f>
        <v/>
      </c>
      <c r="Q129" s="47" t="str">
        <f>IFERROR(VLOOKUP(D129,'[1]Product Datasheet'!$A:$G,7,0), "")</f>
        <v/>
      </c>
      <c r="R129" s="48"/>
      <c r="S129" s="49" t="str">
        <f t="shared" si="7"/>
        <v>Accept</v>
      </c>
      <c r="T129" s="50"/>
      <c r="U129" s="51"/>
    </row>
    <row r="130" spans="1:21" ht="24.75" customHeight="1" x14ac:dyDescent="0.3">
      <c r="A130" s="38" t="str">
        <f>IFERROR(VLOOKUP(D130,'[1]Product Datasheet'!$A:$G,2,0),"")</f>
        <v/>
      </c>
      <c r="B130" s="39" t="str">
        <f>IFERROR(VLOOKUP(D130,'[1]Product Datasheet'!$A:$G,3,0),"")</f>
        <v/>
      </c>
      <c r="C130" s="40"/>
      <c r="D130" s="41"/>
      <c r="E130" s="41"/>
      <c r="F130" s="41"/>
      <c r="G130" s="42"/>
      <c r="H130" s="43"/>
      <c r="I130" s="42"/>
      <c r="J130" s="44"/>
      <c r="K130" s="44"/>
      <c r="L130" s="44"/>
      <c r="M130" s="45" t="str">
        <f t="shared" si="6"/>
        <v>Pass</v>
      </c>
      <c r="N130" s="46" t="str">
        <f>IFERROR(VLOOKUP(D130,'[1]Product Datasheet'!$A:$G,4,0),"")</f>
        <v/>
      </c>
      <c r="O130" s="47" t="str">
        <f>IFERROR(VLOOKUP(D130,'[1]Product Datasheet'!$A:$G,5,0),"")</f>
        <v/>
      </c>
      <c r="P130" s="47" t="str">
        <f>IFERROR(VLOOKUP(D130,'[1]Product Datasheet'!$A:$G,6,0),"")</f>
        <v/>
      </c>
      <c r="Q130" s="47" t="str">
        <f>IFERROR(VLOOKUP(D130,'[1]Product Datasheet'!$A:$G,7,0), "")</f>
        <v/>
      </c>
      <c r="R130" s="48"/>
      <c r="S130" s="49" t="str">
        <f t="shared" si="7"/>
        <v>Accept</v>
      </c>
      <c r="T130" s="50"/>
      <c r="U130" s="51"/>
    </row>
    <row r="131" spans="1:21" ht="24.75" customHeight="1" x14ac:dyDescent="0.3">
      <c r="A131" s="38" t="str">
        <f>IFERROR(VLOOKUP(D131,'[1]Product Datasheet'!$A:$G,2,0),"")</f>
        <v/>
      </c>
      <c r="B131" s="39" t="str">
        <f>IFERROR(VLOOKUP(D131,'[1]Product Datasheet'!$A:$G,3,0),"")</f>
        <v/>
      </c>
      <c r="C131" s="40"/>
      <c r="D131" s="41"/>
      <c r="E131" s="41"/>
      <c r="F131" s="41"/>
      <c r="G131" s="42"/>
      <c r="H131" s="43"/>
      <c r="I131" s="42"/>
      <c r="J131" s="44"/>
      <c r="K131" s="44"/>
      <c r="L131" s="44"/>
      <c r="M131" s="45" t="str">
        <f t="shared" si="6"/>
        <v>Pass</v>
      </c>
      <c r="N131" s="46" t="str">
        <f>IFERROR(VLOOKUP(D131,'[1]Product Datasheet'!$A:$G,4,0),"")</f>
        <v/>
      </c>
      <c r="O131" s="47" t="str">
        <f>IFERROR(VLOOKUP(D131,'[1]Product Datasheet'!$A:$G,5,0),"")</f>
        <v/>
      </c>
      <c r="P131" s="47" t="str">
        <f>IFERROR(VLOOKUP(D131,'[1]Product Datasheet'!$A:$G,6,0),"")</f>
        <v/>
      </c>
      <c r="Q131" s="47" t="str">
        <f>IFERROR(VLOOKUP(D131,'[1]Product Datasheet'!$A:$G,7,0), "")</f>
        <v/>
      </c>
      <c r="R131" s="48"/>
      <c r="S131" s="49" t="str">
        <f t="shared" si="7"/>
        <v>Accept</v>
      </c>
      <c r="T131" s="50"/>
      <c r="U131" s="51"/>
    </row>
    <row r="132" spans="1:21" ht="24.75" customHeight="1" x14ac:dyDescent="0.3">
      <c r="A132" s="38" t="str">
        <f>IFERROR(VLOOKUP(D132,'[1]Product Datasheet'!$A:$G,2,0),"")</f>
        <v/>
      </c>
      <c r="B132" s="39" t="str">
        <f>IFERROR(VLOOKUP(D132,'[1]Product Datasheet'!$A:$G,3,0),"")</f>
        <v/>
      </c>
      <c r="C132" s="40"/>
      <c r="D132" s="41"/>
      <c r="E132" s="41"/>
      <c r="F132" s="41"/>
      <c r="G132" s="42"/>
      <c r="H132" s="43"/>
      <c r="I132" s="42"/>
      <c r="J132" s="44"/>
      <c r="K132" s="44"/>
      <c r="L132" s="44"/>
      <c r="M132" s="45" t="str">
        <f t="shared" si="6"/>
        <v>Pass</v>
      </c>
      <c r="N132" s="46" t="str">
        <f>IFERROR(VLOOKUP(D132,'[1]Product Datasheet'!$A:$G,4,0),"")</f>
        <v/>
      </c>
      <c r="O132" s="47" t="str">
        <f>IFERROR(VLOOKUP(D132,'[1]Product Datasheet'!$A:$G,5,0),"")</f>
        <v/>
      </c>
      <c r="P132" s="47" t="str">
        <f>IFERROR(VLOOKUP(D132,'[1]Product Datasheet'!$A:$G,6,0),"")</f>
        <v/>
      </c>
      <c r="Q132" s="47" t="str">
        <f>IFERROR(VLOOKUP(D132,'[1]Product Datasheet'!$A:$G,7,0), "")</f>
        <v/>
      </c>
      <c r="R132" s="48"/>
      <c r="S132" s="49" t="str">
        <f t="shared" si="7"/>
        <v>Accept</v>
      </c>
      <c r="T132" s="50"/>
      <c r="U132" s="51"/>
    </row>
    <row r="133" spans="1:21" ht="24.75" customHeight="1" x14ac:dyDescent="0.3">
      <c r="A133" s="38" t="str">
        <f>IFERROR(VLOOKUP(D133,'[1]Product Datasheet'!$A:$G,2,0),"")</f>
        <v/>
      </c>
      <c r="B133" s="39" t="str">
        <f>IFERROR(VLOOKUP(D133,'[1]Product Datasheet'!$A:$G,3,0),"")</f>
        <v/>
      </c>
      <c r="C133" s="40"/>
      <c r="D133" s="41"/>
      <c r="E133" s="41"/>
      <c r="F133" s="41"/>
      <c r="G133" s="42"/>
      <c r="H133" s="43"/>
      <c r="I133" s="42"/>
      <c r="J133" s="44"/>
      <c r="K133" s="44"/>
      <c r="L133" s="44"/>
      <c r="M133" s="45" t="str">
        <f t="shared" si="6"/>
        <v>Pass</v>
      </c>
      <c r="N133" s="46" t="str">
        <f>IFERROR(VLOOKUP(D133,'[1]Product Datasheet'!$A:$G,4,0),"")</f>
        <v/>
      </c>
      <c r="O133" s="47" t="str">
        <f>IFERROR(VLOOKUP(D133,'[1]Product Datasheet'!$A:$G,5,0),"")</f>
        <v/>
      </c>
      <c r="P133" s="47" t="str">
        <f>IFERROR(VLOOKUP(D133,'[1]Product Datasheet'!$A:$G,6,0),"")</f>
        <v/>
      </c>
      <c r="Q133" s="47" t="str">
        <f>IFERROR(VLOOKUP(D133,'[1]Product Datasheet'!$A:$G,7,0), "")</f>
        <v/>
      </c>
      <c r="R133" s="48"/>
      <c r="S133" s="49" t="str">
        <f t="shared" si="7"/>
        <v>Accept</v>
      </c>
      <c r="T133" s="50"/>
      <c r="U133" s="51"/>
    </row>
    <row r="134" spans="1:21" ht="24.75" customHeight="1" x14ac:dyDescent="0.3">
      <c r="A134" s="38" t="str">
        <f>IFERROR(VLOOKUP(D134,'[1]Product Datasheet'!$A:$G,2,0),"")</f>
        <v/>
      </c>
      <c r="B134" s="39" t="str">
        <f>IFERROR(VLOOKUP(D134,'[1]Product Datasheet'!$A:$G,3,0),"")</f>
        <v/>
      </c>
      <c r="C134" s="40"/>
      <c r="D134" s="41"/>
      <c r="E134" s="41"/>
      <c r="F134" s="41"/>
      <c r="G134" s="42"/>
      <c r="H134" s="43"/>
      <c r="I134" s="42"/>
      <c r="J134" s="44"/>
      <c r="K134" s="44"/>
      <c r="L134" s="44"/>
      <c r="M134" s="45" t="str">
        <f t="shared" si="6"/>
        <v>Pass</v>
      </c>
      <c r="N134" s="46" t="str">
        <f>IFERROR(VLOOKUP(D134,'[1]Product Datasheet'!$A:$G,4,0),"")</f>
        <v/>
      </c>
      <c r="O134" s="47" t="str">
        <f>IFERROR(VLOOKUP(D134,'[1]Product Datasheet'!$A:$G,5,0),"")</f>
        <v/>
      </c>
      <c r="P134" s="47" t="str">
        <f>IFERROR(VLOOKUP(D134,'[1]Product Datasheet'!$A:$G,6,0),"")</f>
        <v/>
      </c>
      <c r="Q134" s="47" t="str">
        <f>IFERROR(VLOOKUP(D134,'[1]Product Datasheet'!$A:$G,7,0), "")</f>
        <v/>
      </c>
      <c r="R134" s="48"/>
      <c r="S134" s="49" t="str">
        <f t="shared" si="7"/>
        <v>Accept</v>
      </c>
      <c r="T134" s="50"/>
      <c r="U134" s="51"/>
    </row>
    <row r="135" spans="1:21" ht="24.75" customHeight="1" x14ac:dyDescent="0.3">
      <c r="A135" s="38" t="str">
        <f>IFERROR(VLOOKUP(D135,'[1]Product Datasheet'!$A:$G,2,0),"")</f>
        <v/>
      </c>
      <c r="B135" s="39" t="str">
        <f>IFERROR(VLOOKUP(D135,'[1]Product Datasheet'!$A:$G,3,0),"")</f>
        <v/>
      </c>
      <c r="C135" s="40"/>
      <c r="D135" s="41"/>
      <c r="E135" s="41"/>
      <c r="F135" s="41"/>
      <c r="G135" s="42"/>
      <c r="H135" s="43"/>
      <c r="I135" s="42"/>
      <c r="J135" s="44"/>
      <c r="K135" s="44"/>
      <c r="L135" s="44"/>
      <c r="M135" s="45" t="str">
        <f t="shared" si="6"/>
        <v>Pass</v>
      </c>
      <c r="N135" s="46" t="str">
        <f>IFERROR(VLOOKUP(D135,'[1]Product Datasheet'!$A:$G,4,0),"")</f>
        <v/>
      </c>
      <c r="O135" s="47" t="str">
        <f>IFERROR(VLOOKUP(D135,'[1]Product Datasheet'!$A:$G,5,0),"")</f>
        <v/>
      </c>
      <c r="P135" s="47" t="str">
        <f>IFERROR(VLOOKUP(D135,'[1]Product Datasheet'!$A:$G,6,0),"")</f>
        <v/>
      </c>
      <c r="Q135" s="47" t="str">
        <f>IFERROR(VLOOKUP(D135,'[1]Product Datasheet'!$A:$G,7,0), "")</f>
        <v/>
      </c>
      <c r="R135" s="48"/>
      <c r="S135" s="49" t="str">
        <f t="shared" si="7"/>
        <v>Accept</v>
      </c>
      <c r="T135" s="50"/>
      <c r="U135" s="51"/>
    </row>
    <row r="136" spans="1:21" ht="24.75" customHeight="1" x14ac:dyDescent="0.3">
      <c r="A136" s="38" t="str">
        <f>IFERROR(VLOOKUP(D136,'[1]Product Datasheet'!$A:$G,2,0),"")</f>
        <v/>
      </c>
      <c r="B136" s="39" t="str">
        <f>IFERROR(VLOOKUP(D136,'[1]Product Datasheet'!$A:$G,3,0),"")</f>
        <v/>
      </c>
      <c r="C136" s="40"/>
      <c r="D136" s="41"/>
      <c r="E136" s="41"/>
      <c r="F136" s="41"/>
      <c r="G136" s="42"/>
      <c r="H136" s="43"/>
      <c r="I136" s="42"/>
      <c r="J136" s="44"/>
      <c r="K136" s="44"/>
      <c r="L136" s="44"/>
      <c r="M136" s="45" t="str">
        <f t="shared" ref="M136:M199" si="8">IF(AND(G136&lt;=O136,G136&gt;=N136,H136&lt;=Q136,H136&gt;=P136),"Pass","Fail")</f>
        <v>Pass</v>
      </c>
      <c r="N136" s="46" t="str">
        <f>IFERROR(VLOOKUP(D136,'[1]Product Datasheet'!$A:$G,4,0),"")</f>
        <v/>
      </c>
      <c r="O136" s="47" t="str">
        <f>IFERROR(VLOOKUP(D136,'[1]Product Datasheet'!$A:$G,5,0),"")</f>
        <v/>
      </c>
      <c r="P136" s="47" t="str">
        <f>IFERROR(VLOOKUP(D136,'[1]Product Datasheet'!$A:$G,6,0),"")</f>
        <v/>
      </c>
      <c r="Q136" s="47" t="str">
        <f>IFERROR(VLOOKUP(D136,'[1]Product Datasheet'!$A:$G,7,0), "")</f>
        <v/>
      </c>
      <c r="R136" s="48"/>
      <c r="S136" s="49" t="str">
        <f t="shared" si="7"/>
        <v>Accept</v>
      </c>
      <c r="T136" s="50"/>
      <c r="U136" s="51"/>
    </row>
    <row r="137" spans="1:21" ht="24.75" customHeight="1" x14ac:dyDescent="0.3">
      <c r="A137" s="38" t="str">
        <f>IFERROR(VLOOKUP(D137,'[1]Product Datasheet'!$A:$G,2,0),"")</f>
        <v/>
      </c>
      <c r="B137" s="39" t="str">
        <f>IFERROR(VLOOKUP(D137,'[1]Product Datasheet'!$A:$G,3,0),"")</f>
        <v/>
      </c>
      <c r="C137" s="40"/>
      <c r="D137" s="41"/>
      <c r="E137" s="41"/>
      <c r="F137" s="41"/>
      <c r="G137" s="42"/>
      <c r="H137" s="43"/>
      <c r="I137" s="42"/>
      <c r="J137" s="44"/>
      <c r="K137" s="44"/>
      <c r="L137" s="44"/>
      <c r="M137" s="45" t="str">
        <f t="shared" si="8"/>
        <v>Pass</v>
      </c>
      <c r="N137" s="46" t="str">
        <f>IFERROR(VLOOKUP(D137,'[1]Product Datasheet'!$A:$G,4,0),"")</f>
        <v/>
      </c>
      <c r="O137" s="47" t="str">
        <f>IFERROR(VLOOKUP(D137,'[1]Product Datasheet'!$A:$G,5,0),"")</f>
        <v/>
      </c>
      <c r="P137" s="47" t="str">
        <f>IFERROR(VLOOKUP(D137,'[1]Product Datasheet'!$A:$G,6,0),"")</f>
        <v/>
      </c>
      <c r="Q137" s="47" t="str">
        <f>IFERROR(VLOOKUP(D137,'[1]Product Datasheet'!$A:$G,7,0), "")</f>
        <v/>
      </c>
      <c r="R137" s="48"/>
      <c r="S137" s="49" t="str">
        <f t="shared" si="7"/>
        <v>Accept</v>
      </c>
      <c r="T137" s="50"/>
      <c r="U137" s="51"/>
    </row>
    <row r="138" spans="1:21" ht="24.75" customHeight="1" x14ac:dyDescent="0.3">
      <c r="A138" s="38" t="str">
        <f>IFERROR(VLOOKUP(D138,'[1]Product Datasheet'!$A:$G,2,0),"")</f>
        <v/>
      </c>
      <c r="B138" s="39" t="str">
        <f>IFERROR(VLOOKUP(D138,'[1]Product Datasheet'!$A:$G,3,0),"")</f>
        <v/>
      </c>
      <c r="C138" s="40"/>
      <c r="D138" s="41"/>
      <c r="E138" s="41"/>
      <c r="F138" s="41"/>
      <c r="G138" s="42"/>
      <c r="H138" s="43"/>
      <c r="I138" s="42"/>
      <c r="J138" s="44"/>
      <c r="K138" s="44"/>
      <c r="L138" s="44"/>
      <c r="M138" s="45" t="str">
        <f t="shared" si="8"/>
        <v>Pass</v>
      </c>
      <c r="N138" s="46" t="str">
        <f>IFERROR(VLOOKUP(D138,'[1]Product Datasheet'!$A:$G,4,0),"")</f>
        <v/>
      </c>
      <c r="O138" s="47" t="str">
        <f>IFERROR(VLOOKUP(D138,'[1]Product Datasheet'!$A:$G,5,0),"")</f>
        <v/>
      </c>
      <c r="P138" s="47" t="str">
        <f>IFERROR(VLOOKUP(D138,'[1]Product Datasheet'!$A:$G,6,0),"")</f>
        <v/>
      </c>
      <c r="Q138" s="47" t="str">
        <f>IFERROR(VLOOKUP(D138,'[1]Product Datasheet'!$A:$G,7,0), "")</f>
        <v/>
      </c>
      <c r="R138" s="48"/>
      <c r="S138" s="49" t="str">
        <f t="shared" si="7"/>
        <v>Accept</v>
      </c>
      <c r="T138" s="50"/>
      <c r="U138" s="51"/>
    </row>
    <row r="139" spans="1:21" ht="24.75" customHeight="1" x14ac:dyDescent="0.3">
      <c r="A139" s="38" t="str">
        <f>IFERROR(VLOOKUP(D139,'[1]Product Datasheet'!$A:$G,2,0),"")</f>
        <v/>
      </c>
      <c r="B139" s="39" t="str">
        <f>IFERROR(VLOOKUP(D139,'[1]Product Datasheet'!$A:$G,3,0),"")</f>
        <v/>
      </c>
      <c r="C139" s="40"/>
      <c r="D139" s="41"/>
      <c r="E139" s="41"/>
      <c r="F139" s="41"/>
      <c r="G139" s="42"/>
      <c r="H139" s="43"/>
      <c r="I139" s="42"/>
      <c r="J139" s="44"/>
      <c r="K139" s="44"/>
      <c r="L139" s="44"/>
      <c r="M139" s="45" t="str">
        <f t="shared" si="8"/>
        <v>Pass</v>
      </c>
      <c r="N139" s="46" t="str">
        <f>IFERROR(VLOOKUP(D139,'[1]Product Datasheet'!$A:$G,4,0),"")</f>
        <v/>
      </c>
      <c r="O139" s="47" t="str">
        <f>IFERROR(VLOOKUP(D139,'[1]Product Datasheet'!$A:$G,5,0),"")</f>
        <v/>
      </c>
      <c r="P139" s="47" t="str">
        <f>IFERROR(VLOOKUP(D139,'[1]Product Datasheet'!$A:$G,6,0),"")</f>
        <v/>
      </c>
      <c r="Q139" s="47" t="str">
        <f>IFERROR(VLOOKUP(D139,'[1]Product Datasheet'!$A:$G,7,0), "")</f>
        <v/>
      </c>
      <c r="R139" s="48"/>
      <c r="S139" s="49" t="str">
        <f t="shared" si="7"/>
        <v>Accept</v>
      </c>
      <c r="T139" s="50"/>
      <c r="U139" s="51"/>
    </row>
    <row r="140" spans="1:21" ht="24.75" customHeight="1" x14ac:dyDescent="0.3">
      <c r="A140" s="38" t="str">
        <f>IFERROR(VLOOKUP(D140,'[1]Product Datasheet'!$A:$G,2,0),"")</f>
        <v/>
      </c>
      <c r="B140" s="39" t="str">
        <f>IFERROR(VLOOKUP(D140,'[1]Product Datasheet'!$A:$G,3,0),"")</f>
        <v/>
      </c>
      <c r="C140" s="40"/>
      <c r="D140" s="41"/>
      <c r="E140" s="41"/>
      <c r="F140" s="41"/>
      <c r="G140" s="42"/>
      <c r="H140" s="43"/>
      <c r="I140" s="42"/>
      <c r="J140" s="44"/>
      <c r="K140" s="44"/>
      <c r="L140" s="44"/>
      <c r="M140" s="45" t="str">
        <f t="shared" si="8"/>
        <v>Pass</v>
      </c>
      <c r="N140" s="46" t="str">
        <f>IFERROR(VLOOKUP(D140,'[1]Product Datasheet'!$A:$G,4,0),"")</f>
        <v/>
      </c>
      <c r="O140" s="47" t="str">
        <f>IFERROR(VLOOKUP(D140,'[1]Product Datasheet'!$A:$G,5,0),"")</f>
        <v/>
      </c>
      <c r="P140" s="47" t="str">
        <f>IFERROR(VLOOKUP(D140,'[1]Product Datasheet'!$A:$G,6,0),"")</f>
        <v/>
      </c>
      <c r="Q140" s="47" t="str">
        <f>IFERROR(VLOOKUP(D140,'[1]Product Datasheet'!$A:$G,7,0), "")</f>
        <v/>
      </c>
      <c r="R140" s="48"/>
      <c r="S140" s="49" t="str">
        <f t="shared" si="7"/>
        <v>Accept</v>
      </c>
      <c r="T140" s="50"/>
      <c r="U140" s="51"/>
    </row>
    <row r="141" spans="1:21" ht="24.75" customHeight="1" x14ac:dyDescent="0.3">
      <c r="A141" s="38" t="str">
        <f>IFERROR(VLOOKUP(D141,'[1]Product Datasheet'!$A:$G,2,0),"")</f>
        <v/>
      </c>
      <c r="B141" s="39" t="str">
        <f>IFERROR(VLOOKUP(D141,'[1]Product Datasheet'!$A:$G,3,0),"")</f>
        <v/>
      </c>
      <c r="C141" s="40"/>
      <c r="D141" s="41"/>
      <c r="E141" s="41"/>
      <c r="F141" s="41"/>
      <c r="G141" s="42"/>
      <c r="H141" s="43"/>
      <c r="I141" s="42"/>
      <c r="J141" s="44"/>
      <c r="K141" s="44"/>
      <c r="L141" s="44"/>
      <c r="M141" s="45" t="str">
        <f t="shared" si="8"/>
        <v>Pass</v>
      </c>
      <c r="N141" s="46" t="str">
        <f>IFERROR(VLOOKUP(D141,'[1]Product Datasheet'!$A:$G,4,0),"")</f>
        <v/>
      </c>
      <c r="O141" s="47" t="str">
        <f>IFERROR(VLOOKUP(D141,'[1]Product Datasheet'!$A:$G,5,0),"")</f>
        <v/>
      </c>
      <c r="P141" s="47" t="str">
        <f>IFERROR(VLOOKUP(D141,'[1]Product Datasheet'!$A:$G,6,0),"")</f>
        <v/>
      </c>
      <c r="Q141" s="47" t="str">
        <f>IFERROR(VLOOKUP(D141,'[1]Product Datasheet'!$A:$G,7,0), "")</f>
        <v/>
      </c>
      <c r="R141" s="48"/>
      <c r="S141" s="49" t="str">
        <f t="shared" si="7"/>
        <v>Accept</v>
      </c>
      <c r="T141" s="50"/>
      <c r="U141" s="51"/>
    </row>
    <row r="142" spans="1:21" ht="24.75" customHeight="1" x14ac:dyDescent="0.3">
      <c r="A142" s="38" t="str">
        <f>IFERROR(VLOOKUP(D142,'[1]Product Datasheet'!$A:$G,2,0),"")</f>
        <v/>
      </c>
      <c r="B142" s="39" t="str">
        <f>IFERROR(VLOOKUP(D142,'[1]Product Datasheet'!$A:$G,3,0),"")</f>
        <v/>
      </c>
      <c r="C142" s="40"/>
      <c r="D142" s="41"/>
      <c r="E142" s="41"/>
      <c r="F142" s="41"/>
      <c r="G142" s="42"/>
      <c r="H142" s="43"/>
      <c r="I142" s="42"/>
      <c r="J142" s="44"/>
      <c r="K142" s="44"/>
      <c r="L142" s="44"/>
      <c r="M142" s="45" t="str">
        <f t="shared" si="8"/>
        <v>Pass</v>
      </c>
      <c r="N142" s="46" t="str">
        <f>IFERROR(VLOOKUP(D142,'[1]Product Datasheet'!$A:$G,4,0),"")</f>
        <v/>
      </c>
      <c r="O142" s="47" t="str">
        <f>IFERROR(VLOOKUP(D142,'[1]Product Datasheet'!$A:$G,5,0),"")</f>
        <v/>
      </c>
      <c r="P142" s="47" t="str">
        <f>IFERROR(VLOOKUP(D142,'[1]Product Datasheet'!$A:$G,6,0),"")</f>
        <v/>
      </c>
      <c r="Q142" s="47" t="str">
        <f>IFERROR(VLOOKUP(D142,'[1]Product Datasheet'!$A:$G,7,0), "")</f>
        <v/>
      </c>
      <c r="R142" s="48"/>
      <c r="S142" s="49" t="str">
        <f t="shared" si="7"/>
        <v>Accept</v>
      </c>
      <c r="T142" s="50"/>
      <c r="U142" s="51"/>
    </row>
    <row r="143" spans="1:21" ht="24.75" customHeight="1" x14ac:dyDescent="0.3">
      <c r="A143" s="38" t="str">
        <f>IFERROR(VLOOKUP(D143,'[1]Product Datasheet'!$A:$G,2,0),"")</f>
        <v/>
      </c>
      <c r="B143" s="39" t="str">
        <f>IFERROR(VLOOKUP(D143,'[1]Product Datasheet'!$A:$G,3,0),"")</f>
        <v/>
      </c>
      <c r="C143" s="40"/>
      <c r="D143" s="41"/>
      <c r="E143" s="41"/>
      <c r="F143" s="41"/>
      <c r="G143" s="42"/>
      <c r="H143" s="43"/>
      <c r="I143" s="42"/>
      <c r="J143" s="44"/>
      <c r="K143" s="44"/>
      <c r="L143" s="44"/>
      <c r="M143" s="45" t="str">
        <f t="shared" si="8"/>
        <v>Pass</v>
      </c>
      <c r="N143" s="46" t="str">
        <f>IFERROR(VLOOKUP(D143,'[1]Product Datasheet'!$A:$G,4,0),"")</f>
        <v/>
      </c>
      <c r="O143" s="47" t="str">
        <f>IFERROR(VLOOKUP(D143,'[1]Product Datasheet'!$A:$G,5,0),"")</f>
        <v/>
      </c>
      <c r="P143" s="47" t="str">
        <f>IFERROR(VLOOKUP(D143,'[1]Product Datasheet'!$A:$G,6,0),"")</f>
        <v/>
      </c>
      <c r="Q143" s="47" t="str">
        <f>IFERROR(VLOOKUP(D143,'[1]Product Datasheet'!$A:$G,7,0), "")</f>
        <v/>
      </c>
      <c r="R143" s="48"/>
      <c r="S143" s="49" t="str">
        <f t="shared" si="7"/>
        <v>Accept</v>
      </c>
      <c r="T143" s="50"/>
      <c r="U143" s="51"/>
    </row>
    <row r="144" spans="1:21" ht="24.75" customHeight="1" x14ac:dyDescent="0.3">
      <c r="A144" s="38" t="str">
        <f>IFERROR(VLOOKUP(D144,'[1]Product Datasheet'!$A:$G,2,0),"")</f>
        <v/>
      </c>
      <c r="B144" s="39" t="str">
        <f>IFERROR(VLOOKUP(D144,'[1]Product Datasheet'!$A:$G,3,0),"")</f>
        <v/>
      </c>
      <c r="C144" s="40"/>
      <c r="D144" s="41"/>
      <c r="E144" s="41"/>
      <c r="F144" s="41"/>
      <c r="G144" s="42"/>
      <c r="H144" s="43"/>
      <c r="I144" s="42"/>
      <c r="J144" s="44"/>
      <c r="K144" s="44"/>
      <c r="L144" s="44"/>
      <c r="M144" s="45" t="str">
        <f t="shared" si="8"/>
        <v>Pass</v>
      </c>
      <c r="N144" s="46" t="str">
        <f>IFERROR(VLOOKUP(D144,'[1]Product Datasheet'!$A:$G,4,0),"")</f>
        <v/>
      </c>
      <c r="O144" s="47" t="str">
        <f>IFERROR(VLOOKUP(D144,'[1]Product Datasheet'!$A:$G,5,0),"")</f>
        <v/>
      </c>
      <c r="P144" s="47" t="str">
        <f>IFERROR(VLOOKUP(D144,'[1]Product Datasheet'!$A:$G,6,0),"")</f>
        <v/>
      </c>
      <c r="Q144" s="47" t="str">
        <f>IFERROR(VLOOKUP(D144,'[1]Product Datasheet'!$A:$G,7,0), "")</f>
        <v/>
      </c>
      <c r="R144" s="48"/>
      <c r="S144" s="49" t="str">
        <f t="shared" si="7"/>
        <v>Accept</v>
      </c>
      <c r="T144" s="50"/>
      <c r="U144" s="51"/>
    </row>
    <row r="145" spans="1:21" ht="24.75" customHeight="1" x14ac:dyDescent="0.3">
      <c r="A145" s="38" t="str">
        <f>IFERROR(VLOOKUP(D145,'[1]Product Datasheet'!$A:$G,2,0),"")</f>
        <v/>
      </c>
      <c r="B145" s="39" t="str">
        <f>IFERROR(VLOOKUP(D145,'[1]Product Datasheet'!$A:$G,3,0),"")</f>
        <v/>
      </c>
      <c r="C145" s="40"/>
      <c r="D145" s="41"/>
      <c r="E145" s="41"/>
      <c r="F145" s="41"/>
      <c r="G145" s="42"/>
      <c r="H145" s="43"/>
      <c r="I145" s="42"/>
      <c r="J145" s="44"/>
      <c r="K145" s="44"/>
      <c r="L145" s="44"/>
      <c r="M145" s="45" t="str">
        <f t="shared" si="8"/>
        <v>Pass</v>
      </c>
      <c r="N145" s="46" t="str">
        <f>IFERROR(VLOOKUP(D145,'[1]Product Datasheet'!$A:$G,4,0),"")</f>
        <v/>
      </c>
      <c r="O145" s="47" t="str">
        <f>IFERROR(VLOOKUP(D145,'[1]Product Datasheet'!$A:$G,5,0),"")</f>
        <v/>
      </c>
      <c r="P145" s="47" t="str">
        <f>IFERROR(VLOOKUP(D145,'[1]Product Datasheet'!$A:$G,6,0),"")</f>
        <v/>
      </c>
      <c r="Q145" s="47" t="str">
        <f>IFERROR(VLOOKUP(D145,'[1]Product Datasheet'!$A:$G,7,0), "")</f>
        <v/>
      </c>
      <c r="R145" s="48"/>
      <c r="S145" s="49" t="str">
        <f t="shared" si="7"/>
        <v>Accept</v>
      </c>
      <c r="T145" s="50"/>
      <c r="U145" s="51"/>
    </row>
    <row r="146" spans="1:21" ht="24.75" customHeight="1" x14ac:dyDescent="0.3">
      <c r="A146" s="38" t="str">
        <f>IFERROR(VLOOKUP(D146,'[1]Product Datasheet'!$A:$G,2,0),"")</f>
        <v/>
      </c>
      <c r="B146" s="39" t="str">
        <f>IFERROR(VLOOKUP(D146,'[1]Product Datasheet'!$A:$G,3,0),"")</f>
        <v/>
      </c>
      <c r="C146" s="40"/>
      <c r="D146" s="41"/>
      <c r="E146" s="41"/>
      <c r="F146" s="41"/>
      <c r="G146" s="42"/>
      <c r="H146" s="43"/>
      <c r="I146" s="42"/>
      <c r="J146" s="44"/>
      <c r="K146" s="44"/>
      <c r="L146" s="44"/>
      <c r="M146" s="45" t="str">
        <f t="shared" si="8"/>
        <v>Pass</v>
      </c>
      <c r="N146" s="46" t="str">
        <f>IFERROR(VLOOKUP(D146,'[1]Product Datasheet'!$A:$G,4,0),"")</f>
        <v/>
      </c>
      <c r="O146" s="47" t="str">
        <f>IFERROR(VLOOKUP(D146,'[1]Product Datasheet'!$A:$G,5,0),"")</f>
        <v/>
      </c>
      <c r="P146" s="47" t="str">
        <f>IFERROR(VLOOKUP(D146,'[1]Product Datasheet'!$A:$G,6,0),"")</f>
        <v/>
      </c>
      <c r="Q146" s="47" t="str">
        <f>IFERROR(VLOOKUP(D146,'[1]Product Datasheet'!$A:$G,7,0), "")</f>
        <v/>
      </c>
      <c r="R146" s="48"/>
      <c r="S146" s="49" t="str">
        <f t="shared" si="7"/>
        <v>Accept</v>
      </c>
      <c r="T146" s="50"/>
      <c r="U146" s="51"/>
    </row>
    <row r="147" spans="1:21" ht="24.75" customHeight="1" x14ac:dyDescent="0.3">
      <c r="A147" s="38" t="str">
        <f>IFERROR(VLOOKUP(D147,'[1]Product Datasheet'!$A:$G,2,0),"")</f>
        <v/>
      </c>
      <c r="B147" s="39" t="str">
        <f>IFERROR(VLOOKUP(D147,'[1]Product Datasheet'!$A:$G,3,0),"")</f>
        <v/>
      </c>
      <c r="C147" s="40"/>
      <c r="D147" s="41"/>
      <c r="E147" s="41"/>
      <c r="F147" s="41"/>
      <c r="G147" s="42"/>
      <c r="H147" s="43"/>
      <c r="I147" s="42"/>
      <c r="J147" s="44"/>
      <c r="K147" s="44"/>
      <c r="L147" s="44"/>
      <c r="M147" s="45" t="str">
        <f t="shared" si="8"/>
        <v>Pass</v>
      </c>
      <c r="N147" s="46" t="str">
        <f>IFERROR(VLOOKUP(D147,'[1]Product Datasheet'!$A:$G,4,0),"")</f>
        <v/>
      </c>
      <c r="O147" s="47" t="str">
        <f>IFERROR(VLOOKUP(D147,'[1]Product Datasheet'!$A:$G,5,0),"")</f>
        <v/>
      </c>
      <c r="P147" s="47" t="str">
        <f>IFERROR(VLOOKUP(D147,'[1]Product Datasheet'!$A:$G,6,0),"")</f>
        <v/>
      </c>
      <c r="Q147" s="47" t="str">
        <f>IFERROR(VLOOKUP(D147,'[1]Product Datasheet'!$A:$G,7,0), "")</f>
        <v/>
      </c>
      <c r="R147" s="48"/>
      <c r="S147" s="49" t="str">
        <f t="shared" si="7"/>
        <v>Accept</v>
      </c>
      <c r="T147" s="50"/>
      <c r="U147" s="51"/>
    </row>
    <row r="148" spans="1:21" ht="24.75" customHeight="1" x14ac:dyDescent="0.3">
      <c r="A148" s="38" t="str">
        <f>IFERROR(VLOOKUP(D148,'[1]Product Datasheet'!$A:$G,2,0),"")</f>
        <v/>
      </c>
      <c r="B148" s="39" t="str">
        <f>IFERROR(VLOOKUP(D148,'[1]Product Datasheet'!$A:$G,3,0),"")</f>
        <v/>
      </c>
      <c r="C148" s="40"/>
      <c r="D148" s="41"/>
      <c r="E148" s="41"/>
      <c r="F148" s="41"/>
      <c r="G148" s="42"/>
      <c r="H148" s="43"/>
      <c r="I148" s="42"/>
      <c r="J148" s="44"/>
      <c r="K148" s="44"/>
      <c r="L148" s="44"/>
      <c r="M148" s="45" t="str">
        <f t="shared" si="8"/>
        <v>Pass</v>
      </c>
      <c r="N148" s="46" t="str">
        <f>IFERROR(VLOOKUP(D148,'[1]Product Datasheet'!$A:$G,4,0),"")</f>
        <v/>
      </c>
      <c r="O148" s="47" t="str">
        <f>IFERROR(VLOOKUP(D148,'[1]Product Datasheet'!$A:$G,5,0),"")</f>
        <v/>
      </c>
      <c r="P148" s="47" t="str">
        <f>IFERROR(VLOOKUP(D148,'[1]Product Datasheet'!$A:$G,6,0),"")</f>
        <v/>
      </c>
      <c r="Q148" s="47" t="str">
        <f>IFERROR(VLOOKUP(D148,'[1]Product Datasheet'!$A:$G,7,0), "")</f>
        <v/>
      </c>
      <c r="R148" s="48"/>
      <c r="S148" s="49" t="str">
        <f t="shared" si="7"/>
        <v>Accept</v>
      </c>
      <c r="T148" s="50"/>
      <c r="U148" s="51"/>
    </row>
    <row r="149" spans="1:21" ht="24.75" customHeight="1" x14ac:dyDescent="0.3">
      <c r="A149" s="38" t="str">
        <f>IFERROR(VLOOKUP(D149,'[1]Product Datasheet'!$A:$G,2,0),"")</f>
        <v/>
      </c>
      <c r="B149" s="39" t="str">
        <f>IFERROR(VLOOKUP(D149,'[1]Product Datasheet'!$A:$G,3,0),"")</f>
        <v/>
      </c>
      <c r="C149" s="40"/>
      <c r="D149" s="41"/>
      <c r="E149" s="41"/>
      <c r="F149" s="41"/>
      <c r="G149" s="42"/>
      <c r="H149" s="43"/>
      <c r="I149" s="42"/>
      <c r="J149" s="44"/>
      <c r="K149" s="44"/>
      <c r="L149" s="44"/>
      <c r="M149" s="45" t="str">
        <f t="shared" si="8"/>
        <v>Pass</v>
      </c>
      <c r="N149" s="46" t="str">
        <f>IFERROR(VLOOKUP(D149,'[1]Product Datasheet'!$A:$G,4,0),"")</f>
        <v/>
      </c>
      <c r="O149" s="47" t="str">
        <f>IFERROR(VLOOKUP(D149,'[1]Product Datasheet'!$A:$G,5,0),"")</f>
        <v/>
      </c>
      <c r="P149" s="47" t="str">
        <f>IFERROR(VLOOKUP(D149,'[1]Product Datasheet'!$A:$G,6,0),"")</f>
        <v/>
      </c>
      <c r="Q149" s="47" t="str">
        <f>IFERROR(VLOOKUP(D149,'[1]Product Datasheet'!$A:$G,7,0), "")</f>
        <v/>
      </c>
      <c r="R149" s="48"/>
      <c r="S149" s="49" t="str">
        <f t="shared" si="7"/>
        <v>Accept</v>
      </c>
      <c r="T149" s="50"/>
      <c r="U149" s="51"/>
    </row>
    <row r="150" spans="1:21" ht="24.75" customHeight="1" x14ac:dyDescent="0.3">
      <c r="A150" s="38" t="str">
        <f>IFERROR(VLOOKUP(D150,'[1]Product Datasheet'!$A:$G,2,0),"")</f>
        <v/>
      </c>
      <c r="B150" s="39" t="str">
        <f>IFERROR(VLOOKUP(D150,'[1]Product Datasheet'!$A:$G,3,0),"")</f>
        <v/>
      </c>
      <c r="C150" s="40"/>
      <c r="D150" s="41"/>
      <c r="E150" s="41"/>
      <c r="F150" s="41"/>
      <c r="G150" s="42"/>
      <c r="H150" s="43"/>
      <c r="I150" s="42"/>
      <c r="J150" s="44"/>
      <c r="K150" s="44"/>
      <c r="L150" s="44"/>
      <c r="M150" s="45" t="str">
        <f t="shared" si="8"/>
        <v>Pass</v>
      </c>
      <c r="N150" s="46" t="str">
        <f>IFERROR(VLOOKUP(D150,'[1]Product Datasheet'!$A:$G,4,0),"")</f>
        <v/>
      </c>
      <c r="O150" s="47" t="str">
        <f>IFERROR(VLOOKUP(D150,'[1]Product Datasheet'!$A:$G,5,0),"")</f>
        <v/>
      </c>
      <c r="P150" s="47" t="str">
        <f>IFERROR(VLOOKUP(D150,'[1]Product Datasheet'!$A:$G,6,0),"")</f>
        <v/>
      </c>
      <c r="Q150" s="47" t="str">
        <f>IFERROR(VLOOKUP(D150,'[1]Product Datasheet'!$A:$G,7,0), "")</f>
        <v/>
      </c>
      <c r="R150" s="48"/>
      <c r="S150" s="49" t="str">
        <f t="shared" si="7"/>
        <v>Accept</v>
      </c>
      <c r="T150" s="50"/>
      <c r="U150" s="51"/>
    </row>
    <row r="151" spans="1:21" ht="24.75" customHeight="1" x14ac:dyDescent="0.3">
      <c r="A151" s="38" t="str">
        <f>IFERROR(VLOOKUP(D151,'[1]Product Datasheet'!$A:$G,2,0),"")</f>
        <v/>
      </c>
      <c r="B151" s="39" t="str">
        <f>IFERROR(VLOOKUP(D151,'[1]Product Datasheet'!$A:$G,3,0),"")</f>
        <v/>
      </c>
      <c r="C151" s="40"/>
      <c r="D151" s="41"/>
      <c r="E151" s="41"/>
      <c r="F151" s="41"/>
      <c r="G151" s="42"/>
      <c r="H151" s="43"/>
      <c r="I151" s="42"/>
      <c r="J151" s="44"/>
      <c r="K151" s="44"/>
      <c r="L151" s="44"/>
      <c r="M151" s="45" t="str">
        <f t="shared" si="8"/>
        <v>Pass</v>
      </c>
      <c r="N151" s="46" t="str">
        <f>IFERROR(VLOOKUP(D151,'[1]Product Datasheet'!$A:$G,4,0),"")</f>
        <v/>
      </c>
      <c r="O151" s="47" t="str">
        <f>IFERROR(VLOOKUP(D151,'[1]Product Datasheet'!$A:$G,5,0),"")</f>
        <v/>
      </c>
      <c r="P151" s="47" t="str">
        <f>IFERROR(VLOOKUP(D151,'[1]Product Datasheet'!$A:$G,6,0),"")</f>
        <v/>
      </c>
      <c r="Q151" s="47" t="str">
        <f>IFERROR(VLOOKUP(D151,'[1]Product Datasheet'!$A:$G,7,0), "")</f>
        <v/>
      </c>
      <c r="R151" s="48"/>
      <c r="S151" s="49" t="str">
        <f t="shared" si="7"/>
        <v>Accept</v>
      </c>
      <c r="T151" s="50"/>
      <c r="U151" s="51"/>
    </row>
    <row r="152" spans="1:21" ht="24.75" customHeight="1" x14ac:dyDescent="0.3">
      <c r="A152" s="38" t="str">
        <f>IFERROR(VLOOKUP(D152,'[1]Product Datasheet'!$A:$G,2,0),"")</f>
        <v/>
      </c>
      <c r="B152" s="39" t="str">
        <f>IFERROR(VLOOKUP(D152,'[1]Product Datasheet'!$A:$G,3,0),"")</f>
        <v/>
      </c>
      <c r="C152" s="40"/>
      <c r="D152" s="41"/>
      <c r="E152" s="41"/>
      <c r="F152" s="41"/>
      <c r="G152" s="42"/>
      <c r="H152" s="43"/>
      <c r="I152" s="42"/>
      <c r="J152" s="44"/>
      <c r="K152" s="44"/>
      <c r="L152" s="44"/>
      <c r="M152" s="45" t="str">
        <f t="shared" si="8"/>
        <v>Pass</v>
      </c>
      <c r="N152" s="46" t="str">
        <f>IFERROR(VLOOKUP(D152,'[1]Product Datasheet'!$A:$G,4,0),"")</f>
        <v/>
      </c>
      <c r="O152" s="47" t="str">
        <f>IFERROR(VLOOKUP(D152,'[1]Product Datasheet'!$A:$G,5,0),"")</f>
        <v/>
      </c>
      <c r="P152" s="47" t="str">
        <f>IFERROR(VLOOKUP(D152,'[1]Product Datasheet'!$A:$G,6,0),"")</f>
        <v/>
      </c>
      <c r="Q152" s="47" t="str">
        <f>IFERROR(VLOOKUP(D152,'[1]Product Datasheet'!$A:$G,7,0), "")</f>
        <v/>
      </c>
      <c r="R152" s="48"/>
      <c r="S152" s="49" t="str">
        <f t="shared" si="7"/>
        <v>Accept</v>
      </c>
      <c r="T152" s="50"/>
      <c r="U152" s="51"/>
    </row>
    <row r="153" spans="1:21" ht="24.75" customHeight="1" x14ac:dyDescent="0.3">
      <c r="A153" s="38" t="str">
        <f>IFERROR(VLOOKUP(D153,'[1]Product Datasheet'!$A:$G,2,0),"")</f>
        <v/>
      </c>
      <c r="B153" s="39" t="str">
        <f>IFERROR(VLOOKUP(D153,'[1]Product Datasheet'!$A:$G,3,0),"")</f>
        <v/>
      </c>
      <c r="C153" s="40"/>
      <c r="D153" s="41"/>
      <c r="E153" s="41"/>
      <c r="F153" s="41"/>
      <c r="G153" s="42"/>
      <c r="H153" s="43"/>
      <c r="I153" s="42"/>
      <c r="J153" s="44"/>
      <c r="K153" s="44"/>
      <c r="L153" s="44"/>
      <c r="M153" s="45" t="str">
        <f t="shared" si="8"/>
        <v>Pass</v>
      </c>
      <c r="N153" s="46" t="str">
        <f>IFERROR(VLOOKUP(D153,'[1]Product Datasheet'!$A:$G,4,0),"")</f>
        <v/>
      </c>
      <c r="O153" s="47" t="str">
        <f>IFERROR(VLOOKUP(D153,'[1]Product Datasheet'!$A:$G,5,0),"")</f>
        <v/>
      </c>
      <c r="P153" s="47" t="str">
        <f>IFERROR(VLOOKUP(D153,'[1]Product Datasheet'!$A:$G,6,0),"")</f>
        <v/>
      </c>
      <c r="Q153" s="47" t="str">
        <f>IFERROR(VLOOKUP(D153,'[1]Product Datasheet'!$A:$G,7,0), "")</f>
        <v/>
      </c>
      <c r="R153" s="48"/>
      <c r="S153" s="49" t="str">
        <f t="shared" si="7"/>
        <v>Accept</v>
      </c>
      <c r="T153" s="50"/>
      <c r="U153" s="51"/>
    </row>
    <row r="154" spans="1:21" ht="24.75" customHeight="1" x14ac:dyDescent="0.3">
      <c r="A154" s="38" t="str">
        <f>IFERROR(VLOOKUP(D154,'[1]Product Datasheet'!$A:$G,2,0),"")</f>
        <v/>
      </c>
      <c r="B154" s="39" t="str">
        <f>IFERROR(VLOOKUP(D154,'[1]Product Datasheet'!$A:$G,3,0),"")</f>
        <v/>
      </c>
      <c r="C154" s="40"/>
      <c r="D154" s="41"/>
      <c r="E154" s="41"/>
      <c r="F154" s="41"/>
      <c r="G154" s="42"/>
      <c r="H154" s="43"/>
      <c r="I154" s="42"/>
      <c r="J154" s="44"/>
      <c r="K154" s="44"/>
      <c r="L154" s="44"/>
      <c r="M154" s="45" t="str">
        <f t="shared" si="8"/>
        <v>Pass</v>
      </c>
      <c r="N154" s="46" t="str">
        <f>IFERROR(VLOOKUP(D154,'[1]Product Datasheet'!$A:$G,4,0),"")</f>
        <v/>
      </c>
      <c r="O154" s="47" t="str">
        <f>IFERROR(VLOOKUP(D154,'[1]Product Datasheet'!$A:$G,5,0),"")</f>
        <v/>
      </c>
      <c r="P154" s="47" t="str">
        <f>IFERROR(VLOOKUP(D154,'[1]Product Datasheet'!$A:$G,6,0),"")</f>
        <v/>
      </c>
      <c r="Q154" s="47" t="str">
        <f>IFERROR(VLOOKUP(D154,'[1]Product Datasheet'!$A:$G,7,0), "")</f>
        <v/>
      </c>
      <c r="R154" s="48"/>
      <c r="S154" s="49" t="str">
        <f t="shared" ref="S154:S217" si="9">IFERROR(IF(AND(ROUND(H154, 2)&lt;=Q154, ROUND(G154,1)&lt;=O154), "Accept", "Reject"),"Reject")</f>
        <v>Accept</v>
      </c>
      <c r="T154" s="50"/>
      <c r="U154" s="51"/>
    </row>
    <row r="155" spans="1:21" ht="24.75" customHeight="1" x14ac:dyDescent="0.3">
      <c r="A155" s="38" t="str">
        <f>IFERROR(VLOOKUP(D155,'[1]Product Datasheet'!$A:$G,2,0),"")</f>
        <v/>
      </c>
      <c r="B155" s="39" t="str">
        <f>IFERROR(VLOOKUP(D155,'[1]Product Datasheet'!$A:$G,3,0),"")</f>
        <v/>
      </c>
      <c r="C155" s="40"/>
      <c r="D155" s="41"/>
      <c r="E155" s="41"/>
      <c r="F155" s="41"/>
      <c r="G155" s="42"/>
      <c r="H155" s="43"/>
      <c r="I155" s="42"/>
      <c r="J155" s="44"/>
      <c r="K155" s="44"/>
      <c r="L155" s="44"/>
      <c r="M155" s="45" t="str">
        <f t="shared" si="8"/>
        <v>Pass</v>
      </c>
      <c r="N155" s="46" t="str">
        <f>IFERROR(VLOOKUP(D155,'[1]Product Datasheet'!$A:$G,4,0),"")</f>
        <v/>
      </c>
      <c r="O155" s="47" t="str">
        <f>IFERROR(VLOOKUP(D155,'[1]Product Datasheet'!$A:$G,5,0),"")</f>
        <v/>
      </c>
      <c r="P155" s="47" t="str">
        <f>IFERROR(VLOOKUP(D155,'[1]Product Datasheet'!$A:$G,6,0),"")</f>
        <v/>
      </c>
      <c r="Q155" s="47" t="str">
        <f>IFERROR(VLOOKUP(D155,'[1]Product Datasheet'!$A:$G,7,0), "")</f>
        <v/>
      </c>
      <c r="R155" s="48"/>
      <c r="S155" s="49" t="str">
        <f t="shared" si="9"/>
        <v>Accept</v>
      </c>
      <c r="T155" s="50"/>
      <c r="U155" s="51"/>
    </row>
    <row r="156" spans="1:21" ht="24.75" customHeight="1" x14ac:dyDescent="0.3">
      <c r="A156" s="38" t="str">
        <f>IFERROR(VLOOKUP(D156,'[1]Product Datasheet'!$A:$G,2,0),"")</f>
        <v/>
      </c>
      <c r="B156" s="39" t="str">
        <f>IFERROR(VLOOKUP(D156,'[1]Product Datasheet'!$A:$G,3,0),"")</f>
        <v/>
      </c>
      <c r="C156" s="40"/>
      <c r="D156" s="41"/>
      <c r="E156" s="41"/>
      <c r="F156" s="41"/>
      <c r="G156" s="42"/>
      <c r="H156" s="43"/>
      <c r="I156" s="42"/>
      <c r="J156" s="44"/>
      <c r="K156" s="44"/>
      <c r="L156" s="44"/>
      <c r="M156" s="45" t="str">
        <f t="shared" si="8"/>
        <v>Pass</v>
      </c>
      <c r="N156" s="46" t="str">
        <f>IFERROR(VLOOKUP(D156,'[1]Product Datasheet'!$A:$G,4,0),"")</f>
        <v/>
      </c>
      <c r="O156" s="47" t="str">
        <f>IFERROR(VLOOKUP(D156,'[1]Product Datasheet'!$A:$G,5,0),"")</f>
        <v/>
      </c>
      <c r="P156" s="47" t="str">
        <f>IFERROR(VLOOKUP(D156,'[1]Product Datasheet'!$A:$G,6,0),"")</f>
        <v/>
      </c>
      <c r="Q156" s="47" t="str">
        <f>IFERROR(VLOOKUP(D156,'[1]Product Datasheet'!$A:$G,7,0), "")</f>
        <v/>
      </c>
      <c r="R156" s="48"/>
      <c r="S156" s="49" t="str">
        <f t="shared" si="9"/>
        <v>Accept</v>
      </c>
      <c r="T156" s="50"/>
      <c r="U156" s="51"/>
    </row>
    <row r="157" spans="1:21" ht="24.75" customHeight="1" x14ac:dyDescent="0.3">
      <c r="A157" s="38" t="str">
        <f>IFERROR(VLOOKUP(D157,'[1]Product Datasheet'!$A:$G,2,0),"")</f>
        <v/>
      </c>
      <c r="B157" s="39" t="str">
        <f>IFERROR(VLOOKUP(D157,'[1]Product Datasheet'!$A:$G,3,0),"")</f>
        <v/>
      </c>
      <c r="C157" s="40"/>
      <c r="D157" s="41"/>
      <c r="E157" s="41"/>
      <c r="F157" s="41"/>
      <c r="G157" s="42"/>
      <c r="H157" s="43"/>
      <c r="I157" s="42"/>
      <c r="J157" s="44"/>
      <c r="K157" s="44"/>
      <c r="L157" s="44"/>
      <c r="M157" s="45" t="str">
        <f t="shared" si="8"/>
        <v>Pass</v>
      </c>
      <c r="N157" s="46" t="str">
        <f>IFERROR(VLOOKUP(D157,'[1]Product Datasheet'!$A:$G,4,0),"")</f>
        <v/>
      </c>
      <c r="O157" s="47" t="str">
        <f>IFERROR(VLOOKUP(D157,'[1]Product Datasheet'!$A:$G,5,0),"")</f>
        <v/>
      </c>
      <c r="P157" s="47" t="str">
        <f>IFERROR(VLOOKUP(D157,'[1]Product Datasheet'!$A:$G,6,0),"")</f>
        <v/>
      </c>
      <c r="Q157" s="47" t="str">
        <f>IFERROR(VLOOKUP(D157,'[1]Product Datasheet'!$A:$G,7,0), "")</f>
        <v/>
      </c>
      <c r="R157" s="48"/>
      <c r="S157" s="49" t="str">
        <f t="shared" si="9"/>
        <v>Accept</v>
      </c>
      <c r="T157" s="50"/>
      <c r="U157" s="51"/>
    </row>
    <row r="158" spans="1:21" ht="24.75" customHeight="1" x14ac:dyDescent="0.3">
      <c r="A158" s="38" t="str">
        <f>IFERROR(VLOOKUP(D158,'[1]Product Datasheet'!$A:$G,2,0),"")</f>
        <v/>
      </c>
      <c r="B158" s="39" t="str">
        <f>IFERROR(VLOOKUP(D158,'[1]Product Datasheet'!$A:$G,3,0),"")</f>
        <v/>
      </c>
      <c r="C158" s="40"/>
      <c r="D158" s="41"/>
      <c r="E158" s="41"/>
      <c r="F158" s="41"/>
      <c r="G158" s="42"/>
      <c r="H158" s="43"/>
      <c r="I158" s="42"/>
      <c r="J158" s="44"/>
      <c r="K158" s="44"/>
      <c r="L158" s="44"/>
      <c r="M158" s="45" t="str">
        <f t="shared" si="8"/>
        <v>Pass</v>
      </c>
      <c r="N158" s="46" t="str">
        <f>IFERROR(VLOOKUP(D158,'[1]Product Datasheet'!$A:$G,4,0),"")</f>
        <v/>
      </c>
      <c r="O158" s="47" t="str">
        <f>IFERROR(VLOOKUP(D158,'[1]Product Datasheet'!$A:$G,5,0),"")</f>
        <v/>
      </c>
      <c r="P158" s="47" t="str">
        <f>IFERROR(VLOOKUP(D158,'[1]Product Datasheet'!$A:$G,6,0),"")</f>
        <v/>
      </c>
      <c r="Q158" s="47" t="str">
        <f>IFERROR(VLOOKUP(D158,'[1]Product Datasheet'!$A:$G,7,0), "")</f>
        <v/>
      </c>
      <c r="R158" s="48"/>
      <c r="S158" s="49" t="str">
        <f t="shared" si="9"/>
        <v>Accept</v>
      </c>
      <c r="T158" s="50"/>
      <c r="U158" s="51"/>
    </row>
    <row r="159" spans="1:21" ht="24.75" customHeight="1" x14ac:dyDescent="0.3">
      <c r="A159" s="38" t="str">
        <f>IFERROR(VLOOKUP(D159,'[1]Product Datasheet'!$A:$G,2,0),"")</f>
        <v/>
      </c>
      <c r="B159" s="39" t="str">
        <f>IFERROR(VLOOKUP(D159,'[1]Product Datasheet'!$A:$G,3,0),"")</f>
        <v/>
      </c>
      <c r="C159" s="40"/>
      <c r="D159" s="41"/>
      <c r="E159" s="41"/>
      <c r="F159" s="41"/>
      <c r="G159" s="42"/>
      <c r="H159" s="43"/>
      <c r="I159" s="42"/>
      <c r="J159" s="44"/>
      <c r="K159" s="44"/>
      <c r="L159" s="44"/>
      <c r="M159" s="45" t="str">
        <f t="shared" si="8"/>
        <v>Pass</v>
      </c>
      <c r="N159" s="46" t="str">
        <f>IFERROR(VLOOKUP(D159,'[1]Product Datasheet'!$A:$G,4,0),"")</f>
        <v/>
      </c>
      <c r="O159" s="47" t="str">
        <f>IFERROR(VLOOKUP(D159,'[1]Product Datasheet'!$A:$G,5,0),"")</f>
        <v/>
      </c>
      <c r="P159" s="47" t="str">
        <f>IFERROR(VLOOKUP(D159,'[1]Product Datasheet'!$A:$G,6,0),"")</f>
        <v/>
      </c>
      <c r="Q159" s="47" t="str">
        <f>IFERROR(VLOOKUP(D159,'[1]Product Datasheet'!$A:$G,7,0), "")</f>
        <v/>
      </c>
      <c r="R159" s="48"/>
      <c r="S159" s="49" t="str">
        <f t="shared" si="9"/>
        <v>Accept</v>
      </c>
      <c r="T159" s="50"/>
      <c r="U159" s="51"/>
    </row>
    <row r="160" spans="1:21" ht="24.75" customHeight="1" x14ac:dyDescent="0.3">
      <c r="A160" s="38" t="str">
        <f>IFERROR(VLOOKUP(D160,'[1]Product Datasheet'!$A:$G,2,0),"")</f>
        <v/>
      </c>
      <c r="B160" s="39" t="str">
        <f>IFERROR(VLOOKUP(D160,'[1]Product Datasheet'!$A:$G,3,0),"")</f>
        <v/>
      </c>
      <c r="C160" s="40"/>
      <c r="D160" s="41"/>
      <c r="E160" s="41"/>
      <c r="F160" s="41"/>
      <c r="G160" s="42"/>
      <c r="H160" s="43"/>
      <c r="I160" s="42"/>
      <c r="J160" s="44"/>
      <c r="K160" s="44"/>
      <c r="L160" s="44"/>
      <c r="M160" s="45" t="str">
        <f t="shared" si="8"/>
        <v>Pass</v>
      </c>
      <c r="N160" s="46" t="str">
        <f>IFERROR(VLOOKUP(D160,'[1]Product Datasheet'!$A:$G,4,0),"")</f>
        <v/>
      </c>
      <c r="O160" s="47" t="str">
        <f>IFERROR(VLOOKUP(D160,'[1]Product Datasheet'!$A:$G,5,0),"")</f>
        <v/>
      </c>
      <c r="P160" s="47" t="str">
        <f>IFERROR(VLOOKUP(D160,'[1]Product Datasheet'!$A:$G,6,0),"")</f>
        <v/>
      </c>
      <c r="Q160" s="47" t="str">
        <f>IFERROR(VLOOKUP(D160,'[1]Product Datasheet'!$A:$G,7,0), "")</f>
        <v/>
      </c>
      <c r="R160" s="48"/>
      <c r="S160" s="49" t="str">
        <f t="shared" si="9"/>
        <v>Accept</v>
      </c>
      <c r="T160" s="50"/>
      <c r="U160" s="51"/>
    </row>
    <row r="161" spans="1:21" ht="24.75" customHeight="1" x14ac:dyDescent="0.3">
      <c r="A161" s="38" t="str">
        <f>IFERROR(VLOOKUP(D161,'[1]Product Datasheet'!$A:$G,2,0),"")</f>
        <v/>
      </c>
      <c r="B161" s="39" t="str">
        <f>IFERROR(VLOOKUP(D161,'[1]Product Datasheet'!$A:$G,3,0),"")</f>
        <v/>
      </c>
      <c r="C161" s="40"/>
      <c r="D161" s="41"/>
      <c r="E161" s="41"/>
      <c r="F161" s="41"/>
      <c r="G161" s="42"/>
      <c r="H161" s="43"/>
      <c r="I161" s="42"/>
      <c r="J161" s="44"/>
      <c r="K161" s="44"/>
      <c r="L161" s="44"/>
      <c r="M161" s="45" t="str">
        <f t="shared" si="8"/>
        <v>Pass</v>
      </c>
      <c r="N161" s="46" t="str">
        <f>IFERROR(VLOOKUP(D161,'[1]Product Datasheet'!$A:$G,4,0),"")</f>
        <v/>
      </c>
      <c r="O161" s="47" t="str">
        <f>IFERROR(VLOOKUP(D161,'[1]Product Datasheet'!$A:$G,5,0),"")</f>
        <v/>
      </c>
      <c r="P161" s="47" t="str">
        <f>IFERROR(VLOOKUP(D161,'[1]Product Datasheet'!$A:$G,6,0),"")</f>
        <v/>
      </c>
      <c r="Q161" s="47" t="str">
        <f>IFERROR(VLOOKUP(D161,'[1]Product Datasheet'!$A:$G,7,0), "")</f>
        <v/>
      </c>
      <c r="R161" s="48"/>
      <c r="S161" s="49" t="str">
        <f t="shared" si="9"/>
        <v>Accept</v>
      </c>
      <c r="T161" s="50"/>
      <c r="U161" s="51"/>
    </row>
    <row r="162" spans="1:21" ht="24.75" customHeight="1" x14ac:dyDescent="0.3">
      <c r="A162" s="38" t="str">
        <f>IFERROR(VLOOKUP(D162,'[1]Product Datasheet'!$A:$G,2,0),"")</f>
        <v/>
      </c>
      <c r="B162" s="39" t="str">
        <f>IFERROR(VLOOKUP(D162,'[1]Product Datasheet'!$A:$G,3,0),"")</f>
        <v/>
      </c>
      <c r="C162" s="40"/>
      <c r="D162" s="41"/>
      <c r="E162" s="41"/>
      <c r="F162" s="41"/>
      <c r="G162" s="42"/>
      <c r="H162" s="43"/>
      <c r="I162" s="42"/>
      <c r="J162" s="44"/>
      <c r="K162" s="44"/>
      <c r="L162" s="44"/>
      <c r="M162" s="45" t="str">
        <f t="shared" si="8"/>
        <v>Pass</v>
      </c>
      <c r="N162" s="46" t="str">
        <f>IFERROR(VLOOKUP(D162,'[1]Product Datasheet'!$A:$G,4,0),"")</f>
        <v/>
      </c>
      <c r="O162" s="47" t="str">
        <f>IFERROR(VLOOKUP(D162,'[1]Product Datasheet'!$A:$G,5,0),"")</f>
        <v/>
      </c>
      <c r="P162" s="47" t="str">
        <f>IFERROR(VLOOKUP(D162,'[1]Product Datasheet'!$A:$G,6,0),"")</f>
        <v/>
      </c>
      <c r="Q162" s="47" t="str">
        <f>IFERROR(VLOOKUP(D162,'[1]Product Datasheet'!$A:$G,7,0), "")</f>
        <v/>
      </c>
      <c r="R162" s="48"/>
      <c r="S162" s="49" t="str">
        <f t="shared" si="9"/>
        <v>Accept</v>
      </c>
      <c r="T162" s="50"/>
      <c r="U162" s="51"/>
    </row>
    <row r="163" spans="1:21" ht="24.75" customHeight="1" x14ac:dyDescent="0.3">
      <c r="A163" s="38" t="str">
        <f>IFERROR(VLOOKUP(D163,'[1]Product Datasheet'!$A:$G,2,0),"")</f>
        <v/>
      </c>
      <c r="B163" s="39" t="str">
        <f>IFERROR(VLOOKUP(D163,'[1]Product Datasheet'!$A:$G,3,0),"")</f>
        <v/>
      </c>
      <c r="C163" s="40"/>
      <c r="D163" s="41"/>
      <c r="E163" s="41"/>
      <c r="F163" s="41"/>
      <c r="G163" s="42"/>
      <c r="H163" s="43"/>
      <c r="I163" s="42"/>
      <c r="J163" s="44"/>
      <c r="K163" s="44"/>
      <c r="L163" s="44"/>
      <c r="M163" s="45" t="str">
        <f t="shared" si="8"/>
        <v>Pass</v>
      </c>
      <c r="N163" s="46" t="str">
        <f>IFERROR(VLOOKUP(D163,'[1]Product Datasheet'!$A:$G,4,0),"")</f>
        <v/>
      </c>
      <c r="O163" s="47" t="str">
        <f>IFERROR(VLOOKUP(D163,'[1]Product Datasheet'!$A:$G,5,0),"")</f>
        <v/>
      </c>
      <c r="P163" s="47" t="str">
        <f>IFERROR(VLOOKUP(D163,'[1]Product Datasheet'!$A:$G,6,0),"")</f>
        <v/>
      </c>
      <c r="Q163" s="47" t="str">
        <f>IFERROR(VLOOKUP(D163,'[1]Product Datasheet'!$A:$G,7,0), "")</f>
        <v/>
      </c>
      <c r="R163" s="48"/>
      <c r="S163" s="49" t="str">
        <f t="shared" si="9"/>
        <v>Accept</v>
      </c>
      <c r="T163" s="50"/>
      <c r="U163" s="51"/>
    </row>
    <row r="164" spans="1:21" ht="24.75" customHeight="1" x14ac:dyDescent="0.3">
      <c r="A164" s="38" t="str">
        <f>IFERROR(VLOOKUP(D164,'[1]Product Datasheet'!$A:$G,2,0),"")</f>
        <v/>
      </c>
      <c r="B164" s="39" t="str">
        <f>IFERROR(VLOOKUP(D164,'[1]Product Datasheet'!$A:$G,3,0),"")</f>
        <v/>
      </c>
      <c r="C164" s="40"/>
      <c r="D164" s="41"/>
      <c r="E164" s="41"/>
      <c r="F164" s="41"/>
      <c r="G164" s="42"/>
      <c r="H164" s="43"/>
      <c r="I164" s="42"/>
      <c r="J164" s="44"/>
      <c r="K164" s="44"/>
      <c r="L164" s="44"/>
      <c r="M164" s="45" t="str">
        <f t="shared" si="8"/>
        <v>Pass</v>
      </c>
      <c r="N164" s="46" t="str">
        <f>IFERROR(VLOOKUP(D164,'[1]Product Datasheet'!$A:$G,4,0),"")</f>
        <v/>
      </c>
      <c r="O164" s="47" t="str">
        <f>IFERROR(VLOOKUP(D164,'[1]Product Datasheet'!$A:$G,5,0),"")</f>
        <v/>
      </c>
      <c r="P164" s="47" t="str">
        <f>IFERROR(VLOOKUP(D164,'[1]Product Datasheet'!$A:$G,6,0),"")</f>
        <v/>
      </c>
      <c r="Q164" s="47" t="str">
        <f>IFERROR(VLOOKUP(D164,'[1]Product Datasheet'!$A:$G,7,0), "")</f>
        <v/>
      </c>
      <c r="R164" s="48"/>
      <c r="S164" s="49" t="str">
        <f t="shared" si="9"/>
        <v>Accept</v>
      </c>
      <c r="T164" s="50"/>
      <c r="U164" s="51"/>
    </row>
    <row r="165" spans="1:21" ht="24.75" customHeight="1" x14ac:dyDescent="0.3">
      <c r="A165" s="38" t="str">
        <f>IFERROR(VLOOKUP(D165,'[1]Product Datasheet'!$A:$G,2,0),"")</f>
        <v/>
      </c>
      <c r="B165" s="39" t="str">
        <f>IFERROR(VLOOKUP(D165,'[1]Product Datasheet'!$A:$G,3,0),"")</f>
        <v/>
      </c>
      <c r="C165" s="40"/>
      <c r="D165" s="41"/>
      <c r="E165" s="41"/>
      <c r="F165" s="41"/>
      <c r="G165" s="42"/>
      <c r="H165" s="43"/>
      <c r="I165" s="42"/>
      <c r="J165" s="44"/>
      <c r="K165" s="44"/>
      <c r="L165" s="44"/>
      <c r="M165" s="45" t="str">
        <f t="shared" si="8"/>
        <v>Pass</v>
      </c>
      <c r="N165" s="46" t="str">
        <f>IFERROR(VLOOKUP(D165,'[1]Product Datasheet'!$A:$G,4,0),"")</f>
        <v/>
      </c>
      <c r="O165" s="47" t="str">
        <f>IFERROR(VLOOKUP(D165,'[1]Product Datasheet'!$A:$G,5,0),"")</f>
        <v/>
      </c>
      <c r="P165" s="47" t="str">
        <f>IFERROR(VLOOKUP(D165,'[1]Product Datasheet'!$A:$G,6,0),"")</f>
        <v/>
      </c>
      <c r="Q165" s="47" t="str">
        <f>IFERROR(VLOOKUP(D165,'[1]Product Datasheet'!$A:$G,7,0), "")</f>
        <v/>
      </c>
      <c r="R165" s="48"/>
      <c r="S165" s="49" t="str">
        <f t="shared" si="9"/>
        <v>Accept</v>
      </c>
      <c r="T165" s="50"/>
      <c r="U165" s="51"/>
    </row>
    <row r="166" spans="1:21" ht="24.75" customHeight="1" x14ac:dyDescent="0.3">
      <c r="A166" s="38" t="str">
        <f>IFERROR(VLOOKUP(D166,'[1]Product Datasheet'!$A:$G,2,0),"")</f>
        <v/>
      </c>
      <c r="B166" s="39" t="str">
        <f>IFERROR(VLOOKUP(D166,'[1]Product Datasheet'!$A:$G,3,0),"")</f>
        <v/>
      </c>
      <c r="C166" s="40"/>
      <c r="D166" s="41"/>
      <c r="E166" s="41"/>
      <c r="F166" s="41"/>
      <c r="G166" s="42"/>
      <c r="H166" s="43"/>
      <c r="I166" s="42"/>
      <c r="J166" s="44"/>
      <c r="K166" s="44"/>
      <c r="L166" s="44"/>
      <c r="M166" s="45" t="str">
        <f t="shared" si="8"/>
        <v>Pass</v>
      </c>
      <c r="N166" s="46" t="str">
        <f>IFERROR(VLOOKUP(D166,'[1]Product Datasheet'!$A:$G,4,0),"")</f>
        <v/>
      </c>
      <c r="O166" s="47" t="str">
        <f>IFERROR(VLOOKUP(D166,'[1]Product Datasheet'!$A:$G,5,0),"")</f>
        <v/>
      </c>
      <c r="P166" s="47" t="str">
        <f>IFERROR(VLOOKUP(D166,'[1]Product Datasheet'!$A:$G,6,0),"")</f>
        <v/>
      </c>
      <c r="Q166" s="47" t="str">
        <f>IFERROR(VLOOKUP(D166,'[1]Product Datasheet'!$A:$G,7,0), "")</f>
        <v/>
      </c>
      <c r="R166" s="48"/>
      <c r="S166" s="49" t="str">
        <f t="shared" si="9"/>
        <v>Accept</v>
      </c>
      <c r="T166" s="50"/>
      <c r="U166" s="51"/>
    </row>
    <row r="167" spans="1:21" ht="24.75" customHeight="1" x14ac:dyDescent="0.3">
      <c r="A167" s="38" t="str">
        <f>IFERROR(VLOOKUP(D167,'[1]Product Datasheet'!$A:$G,2,0),"")</f>
        <v/>
      </c>
      <c r="B167" s="39" t="str">
        <f>IFERROR(VLOOKUP(D167,'[1]Product Datasheet'!$A:$G,3,0),"")</f>
        <v/>
      </c>
      <c r="C167" s="40"/>
      <c r="D167" s="41"/>
      <c r="E167" s="41"/>
      <c r="F167" s="41"/>
      <c r="G167" s="42"/>
      <c r="H167" s="43"/>
      <c r="I167" s="42"/>
      <c r="J167" s="44"/>
      <c r="K167" s="44"/>
      <c r="L167" s="44"/>
      <c r="M167" s="45" t="str">
        <f t="shared" si="8"/>
        <v>Pass</v>
      </c>
      <c r="N167" s="46" t="str">
        <f>IFERROR(VLOOKUP(D167,'[1]Product Datasheet'!$A:$G,4,0),"")</f>
        <v/>
      </c>
      <c r="O167" s="47" t="str">
        <f>IFERROR(VLOOKUP(D167,'[1]Product Datasheet'!$A:$G,5,0),"")</f>
        <v/>
      </c>
      <c r="P167" s="47" t="str">
        <f>IFERROR(VLOOKUP(D167,'[1]Product Datasheet'!$A:$G,6,0),"")</f>
        <v/>
      </c>
      <c r="Q167" s="47" t="str">
        <f>IFERROR(VLOOKUP(D167,'[1]Product Datasheet'!$A:$G,7,0), "")</f>
        <v/>
      </c>
      <c r="R167" s="48"/>
      <c r="S167" s="49" t="str">
        <f t="shared" si="9"/>
        <v>Accept</v>
      </c>
      <c r="T167" s="50"/>
      <c r="U167" s="51"/>
    </row>
    <row r="168" spans="1:21" ht="24.75" customHeight="1" x14ac:dyDescent="0.3">
      <c r="A168" s="38" t="str">
        <f>IFERROR(VLOOKUP(D168,'[1]Product Datasheet'!$A:$G,2,0),"")</f>
        <v/>
      </c>
      <c r="B168" s="39" t="str">
        <f>IFERROR(VLOOKUP(D168,'[1]Product Datasheet'!$A:$G,3,0),"")</f>
        <v/>
      </c>
      <c r="C168" s="40"/>
      <c r="D168" s="41"/>
      <c r="E168" s="41"/>
      <c r="F168" s="41"/>
      <c r="G168" s="42"/>
      <c r="H168" s="43"/>
      <c r="I168" s="42"/>
      <c r="J168" s="44"/>
      <c r="K168" s="44"/>
      <c r="L168" s="44"/>
      <c r="M168" s="45" t="str">
        <f t="shared" si="8"/>
        <v>Pass</v>
      </c>
      <c r="N168" s="46" t="str">
        <f>IFERROR(VLOOKUP(D168,'[1]Product Datasheet'!$A:$G,4,0),"")</f>
        <v/>
      </c>
      <c r="O168" s="47" t="str">
        <f>IFERROR(VLOOKUP(D168,'[1]Product Datasheet'!$A:$G,5,0),"")</f>
        <v/>
      </c>
      <c r="P168" s="47" t="str">
        <f>IFERROR(VLOOKUP(D168,'[1]Product Datasheet'!$A:$G,6,0),"")</f>
        <v/>
      </c>
      <c r="Q168" s="47" t="str">
        <f>IFERROR(VLOOKUP(D168,'[1]Product Datasheet'!$A:$G,7,0), "")</f>
        <v/>
      </c>
      <c r="R168" s="48"/>
      <c r="S168" s="49" t="str">
        <f t="shared" si="9"/>
        <v>Accept</v>
      </c>
      <c r="T168" s="50"/>
      <c r="U168" s="51"/>
    </row>
    <row r="169" spans="1:21" ht="24.75" customHeight="1" x14ac:dyDescent="0.3">
      <c r="A169" s="38" t="str">
        <f>IFERROR(VLOOKUP(D169,'[1]Product Datasheet'!$A:$G,2,0),"")</f>
        <v/>
      </c>
      <c r="B169" s="39" t="str">
        <f>IFERROR(VLOOKUP(D169,'[1]Product Datasheet'!$A:$G,3,0),"")</f>
        <v/>
      </c>
      <c r="C169" s="40"/>
      <c r="D169" s="41"/>
      <c r="E169" s="41"/>
      <c r="F169" s="41"/>
      <c r="G169" s="42"/>
      <c r="H169" s="43"/>
      <c r="I169" s="42"/>
      <c r="J169" s="44"/>
      <c r="K169" s="44"/>
      <c r="L169" s="44"/>
      <c r="M169" s="45" t="str">
        <f t="shared" si="8"/>
        <v>Pass</v>
      </c>
      <c r="N169" s="46" t="str">
        <f>IFERROR(VLOOKUP(D169,'[1]Product Datasheet'!$A:$G,4,0),"")</f>
        <v/>
      </c>
      <c r="O169" s="47" t="str">
        <f>IFERROR(VLOOKUP(D169,'[1]Product Datasheet'!$A:$G,5,0),"")</f>
        <v/>
      </c>
      <c r="P169" s="47" t="str">
        <f>IFERROR(VLOOKUP(D169,'[1]Product Datasheet'!$A:$G,6,0),"")</f>
        <v/>
      </c>
      <c r="Q169" s="47" t="str">
        <f>IFERROR(VLOOKUP(D169,'[1]Product Datasheet'!$A:$G,7,0), "")</f>
        <v/>
      </c>
      <c r="R169" s="48"/>
      <c r="S169" s="49" t="str">
        <f t="shared" si="9"/>
        <v>Accept</v>
      </c>
      <c r="T169" s="50"/>
      <c r="U169" s="51"/>
    </row>
    <row r="170" spans="1:21" ht="24.75" customHeight="1" x14ac:dyDescent="0.3">
      <c r="A170" s="38" t="str">
        <f>IFERROR(VLOOKUP(D170,'[1]Product Datasheet'!$A:$G,2,0),"")</f>
        <v/>
      </c>
      <c r="B170" s="39" t="str">
        <f>IFERROR(VLOOKUP(D170,'[1]Product Datasheet'!$A:$G,3,0),"")</f>
        <v/>
      </c>
      <c r="C170" s="40"/>
      <c r="D170" s="41"/>
      <c r="E170" s="41"/>
      <c r="F170" s="41"/>
      <c r="G170" s="42"/>
      <c r="H170" s="43"/>
      <c r="I170" s="42"/>
      <c r="J170" s="44"/>
      <c r="K170" s="44"/>
      <c r="L170" s="44"/>
      <c r="M170" s="45" t="str">
        <f t="shared" si="8"/>
        <v>Pass</v>
      </c>
      <c r="N170" s="46" t="str">
        <f>IFERROR(VLOOKUP(D170,'[1]Product Datasheet'!$A:$G,4,0),"")</f>
        <v/>
      </c>
      <c r="O170" s="47" t="str">
        <f>IFERROR(VLOOKUP(D170,'[1]Product Datasheet'!$A:$G,5,0),"")</f>
        <v/>
      </c>
      <c r="P170" s="47" t="str">
        <f>IFERROR(VLOOKUP(D170,'[1]Product Datasheet'!$A:$G,6,0),"")</f>
        <v/>
      </c>
      <c r="Q170" s="47" t="str">
        <f>IFERROR(VLOOKUP(D170,'[1]Product Datasheet'!$A:$G,7,0), "")</f>
        <v/>
      </c>
      <c r="R170" s="48"/>
      <c r="S170" s="49" t="str">
        <f t="shared" si="9"/>
        <v>Accept</v>
      </c>
      <c r="T170" s="50"/>
      <c r="U170" s="51"/>
    </row>
    <row r="171" spans="1:21" ht="24.75" customHeight="1" x14ac:dyDescent="0.3">
      <c r="A171" s="38" t="str">
        <f>IFERROR(VLOOKUP(D171,'[1]Product Datasheet'!$A:$G,2,0),"")</f>
        <v/>
      </c>
      <c r="B171" s="39" t="str">
        <f>IFERROR(VLOOKUP(D171,'[1]Product Datasheet'!$A:$G,3,0),"")</f>
        <v/>
      </c>
      <c r="C171" s="40"/>
      <c r="D171" s="41"/>
      <c r="E171" s="41"/>
      <c r="F171" s="41"/>
      <c r="G171" s="42"/>
      <c r="H171" s="43"/>
      <c r="I171" s="42"/>
      <c r="J171" s="44"/>
      <c r="K171" s="44"/>
      <c r="L171" s="44"/>
      <c r="M171" s="45" t="str">
        <f t="shared" si="8"/>
        <v>Pass</v>
      </c>
      <c r="N171" s="46" t="str">
        <f>IFERROR(VLOOKUP(D171,'[1]Product Datasheet'!$A:$G,4,0),"")</f>
        <v/>
      </c>
      <c r="O171" s="47" t="str">
        <f>IFERROR(VLOOKUP(D171,'[1]Product Datasheet'!$A:$G,5,0),"")</f>
        <v/>
      </c>
      <c r="P171" s="47" t="str">
        <f>IFERROR(VLOOKUP(D171,'[1]Product Datasheet'!$A:$G,6,0),"")</f>
        <v/>
      </c>
      <c r="Q171" s="47" t="str">
        <f>IFERROR(VLOOKUP(D171,'[1]Product Datasheet'!$A:$G,7,0), "")</f>
        <v/>
      </c>
      <c r="R171" s="48"/>
      <c r="S171" s="49" t="str">
        <f t="shared" si="9"/>
        <v>Accept</v>
      </c>
      <c r="T171" s="50"/>
      <c r="U171" s="51"/>
    </row>
    <row r="172" spans="1:21" ht="24.75" customHeight="1" x14ac:dyDescent="0.3">
      <c r="A172" s="38" t="str">
        <f>IFERROR(VLOOKUP(D172,'[1]Product Datasheet'!$A:$G,2,0),"")</f>
        <v/>
      </c>
      <c r="B172" s="39" t="str">
        <f>IFERROR(VLOOKUP(D172,'[1]Product Datasheet'!$A:$G,3,0),"")</f>
        <v/>
      </c>
      <c r="C172" s="40"/>
      <c r="D172" s="41"/>
      <c r="E172" s="41"/>
      <c r="F172" s="41"/>
      <c r="G172" s="42"/>
      <c r="H172" s="43"/>
      <c r="I172" s="42"/>
      <c r="J172" s="44"/>
      <c r="K172" s="44"/>
      <c r="L172" s="44"/>
      <c r="M172" s="45" t="str">
        <f t="shared" si="8"/>
        <v>Pass</v>
      </c>
      <c r="N172" s="46" t="str">
        <f>IFERROR(VLOOKUP(D172,'[1]Product Datasheet'!$A:$G,4,0),"")</f>
        <v/>
      </c>
      <c r="O172" s="47" t="str">
        <f>IFERROR(VLOOKUP(D172,'[1]Product Datasheet'!$A:$G,5,0),"")</f>
        <v/>
      </c>
      <c r="P172" s="47" t="str">
        <f>IFERROR(VLOOKUP(D172,'[1]Product Datasheet'!$A:$G,6,0),"")</f>
        <v/>
      </c>
      <c r="Q172" s="47" t="str">
        <f>IFERROR(VLOOKUP(D172,'[1]Product Datasheet'!$A:$G,7,0), "")</f>
        <v/>
      </c>
      <c r="R172" s="48"/>
      <c r="S172" s="49" t="str">
        <f t="shared" si="9"/>
        <v>Accept</v>
      </c>
      <c r="T172" s="50"/>
      <c r="U172" s="51"/>
    </row>
    <row r="173" spans="1:21" ht="24.75" customHeight="1" x14ac:dyDescent="0.3">
      <c r="A173" s="38" t="str">
        <f>IFERROR(VLOOKUP(D173,'[1]Product Datasheet'!$A:$G,2,0),"")</f>
        <v/>
      </c>
      <c r="B173" s="39" t="str">
        <f>IFERROR(VLOOKUP(D173,'[1]Product Datasheet'!$A:$G,3,0),"")</f>
        <v/>
      </c>
      <c r="C173" s="40"/>
      <c r="D173" s="41"/>
      <c r="E173" s="41"/>
      <c r="F173" s="41"/>
      <c r="G173" s="42"/>
      <c r="H173" s="43"/>
      <c r="I173" s="42"/>
      <c r="J173" s="44"/>
      <c r="K173" s="44"/>
      <c r="L173" s="44"/>
      <c r="M173" s="45" t="str">
        <f t="shared" si="8"/>
        <v>Pass</v>
      </c>
      <c r="N173" s="46" t="str">
        <f>IFERROR(VLOOKUP(D173,'[1]Product Datasheet'!$A:$G,4,0),"")</f>
        <v/>
      </c>
      <c r="O173" s="47" t="str">
        <f>IFERROR(VLOOKUP(D173,'[1]Product Datasheet'!$A:$G,5,0),"")</f>
        <v/>
      </c>
      <c r="P173" s="47" t="str">
        <f>IFERROR(VLOOKUP(D173,'[1]Product Datasheet'!$A:$G,6,0),"")</f>
        <v/>
      </c>
      <c r="Q173" s="47" t="str">
        <f>IFERROR(VLOOKUP(D173,'[1]Product Datasheet'!$A:$G,7,0), "")</f>
        <v/>
      </c>
      <c r="R173" s="48"/>
      <c r="S173" s="49" t="str">
        <f t="shared" si="9"/>
        <v>Accept</v>
      </c>
      <c r="T173" s="50"/>
      <c r="U173" s="51"/>
    </row>
    <row r="174" spans="1:21" ht="24.75" customHeight="1" x14ac:dyDescent="0.3">
      <c r="A174" s="38" t="str">
        <f>IFERROR(VLOOKUP(D174,'[1]Product Datasheet'!$A:$G,2,0),"")</f>
        <v/>
      </c>
      <c r="B174" s="39" t="str">
        <f>IFERROR(VLOOKUP(D174,'[1]Product Datasheet'!$A:$G,3,0),"")</f>
        <v/>
      </c>
      <c r="C174" s="40"/>
      <c r="D174" s="41"/>
      <c r="E174" s="41"/>
      <c r="F174" s="41"/>
      <c r="G174" s="42"/>
      <c r="H174" s="43"/>
      <c r="I174" s="42"/>
      <c r="J174" s="44"/>
      <c r="K174" s="44"/>
      <c r="L174" s="44"/>
      <c r="M174" s="45" t="str">
        <f t="shared" si="8"/>
        <v>Pass</v>
      </c>
      <c r="N174" s="46" t="str">
        <f>IFERROR(VLOOKUP(D174,'[1]Product Datasheet'!$A:$G,4,0),"")</f>
        <v/>
      </c>
      <c r="O174" s="47" t="str">
        <f>IFERROR(VLOOKUP(D174,'[1]Product Datasheet'!$A:$G,5,0),"")</f>
        <v/>
      </c>
      <c r="P174" s="47" t="str">
        <f>IFERROR(VLOOKUP(D174,'[1]Product Datasheet'!$A:$G,6,0),"")</f>
        <v/>
      </c>
      <c r="Q174" s="47" t="str">
        <f>IFERROR(VLOOKUP(D174,'[1]Product Datasheet'!$A:$G,7,0), "")</f>
        <v/>
      </c>
      <c r="R174" s="48"/>
      <c r="S174" s="49" t="str">
        <f t="shared" si="9"/>
        <v>Accept</v>
      </c>
      <c r="T174" s="50"/>
      <c r="U174" s="51"/>
    </row>
    <row r="175" spans="1:21" ht="24.75" customHeight="1" x14ac:dyDescent="0.3">
      <c r="A175" s="38" t="str">
        <f>IFERROR(VLOOKUP(D175,'[1]Product Datasheet'!$A:$G,2,0),"")</f>
        <v/>
      </c>
      <c r="B175" s="39" t="str">
        <f>IFERROR(VLOOKUP(D175,'[1]Product Datasheet'!$A:$G,3,0),"")</f>
        <v/>
      </c>
      <c r="C175" s="40"/>
      <c r="D175" s="41"/>
      <c r="E175" s="41"/>
      <c r="F175" s="41"/>
      <c r="G175" s="42"/>
      <c r="H175" s="43"/>
      <c r="I175" s="42"/>
      <c r="J175" s="44"/>
      <c r="K175" s="44"/>
      <c r="L175" s="44"/>
      <c r="M175" s="45" t="str">
        <f t="shared" si="8"/>
        <v>Pass</v>
      </c>
      <c r="N175" s="46" t="str">
        <f>IFERROR(VLOOKUP(D175,'[1]Product Datasheet'!$A:$G,4,0),"")</f>
        <v/>
      </c>
      <c r="O175" s="47" t="str">
        <f>IFERROR(VLOOKUP(D175,'[1]Product Datasheet'!$A:$G,5,0),"")</f>
        <v/>
      </c>
      <c r="P175" s="47" t="str">
        <f>IFERROR(VLOOKUP(D175,'[1]Product Datasheet'!$A:$G,6,0),"")</f>
        <v/>
      </c>
      <c r="Q175" s="47" t="str">
        <f>IFERROR(VLOOKUP(D175,'[1]Product Datasheet'!$A:$G,7,0), "")</f>
        <v/>
      </c>
      <c r="R175" s="48"/>
      <c r="S175" s="49" t="str">
        <f t="shared" si="9"/>
        <v>Accept</v>
      </c>
      <c r="T175" s="50"/>
      <c r="U175" s="51"/>
    </row>
    <row r="176" spans="1:21" ht="24.75" customHeight="1" x14ac:dyDescent="0.3">
      <c r="A176" s="38" t="str">
        <f>IFERROR(VLOOKUP(D176,'[1]Product Datasheet'!$A:$G,2,0),"")</f>
        <v/>
      </c>
      <c r="B176" s="39" t="str">
        <f>IFERROR(VLOOKUP(D176,'[1]Product Datasheet'!$A:$G,3,0),"")</f>
        <v/>
      </c>
      <c r="C176" s="40"/>
      <c r="D176" s="41"/>
      <c r="E176" s="41"/>
      <c r="F176" s="41"/>
      <c r="G176" s="42"/>
      <c r="H176" s="43"/>
      <c r="I176" s="42"/>
      <c r="J176" s="44"/>
      <c r="K176" s="44"/>
      <c r="L176" s="44"/>
      <c r="M176" s="45" t="str">
        <f t="shared" si="8"/>
        <v>Pass</v>
      </c>
      <c r="N176" s="46" t="str">
        <f>IFERROR(VLOOKUP(D176,'[1]Product Datasheet'!$A:$G,4,0),"")</f>
        <v/>
      </c>
      <c r="O176" s="47" t="str">
        <f>IFERROR(VLOOKUP(D176,'[1]Product Datasheet'!$A:$G,5,0),"")</f>
        <v/>
      </c>
      <c r="P176" s="47" t="str">
        <f>IFERROR(VLOOKUP(D176,'[1]Product Datasheet'!$A:$G,6,0),"")</f>
        <v/>
      </c>
      <c r="Q176" s="47" t="str">
        <f>IFERROR(VLOOKUP(D176,'[1]Product Datasheet'!$A:$G,7,0), "")</f>
        <v/>
      </c>
      <c r="R176" s="48"/>
      <c r="S176" s="49" t="str">
        <f t="shared" si="9"/>
        <v>Accept</v>
      </c>
      <c r="T176" s="50"/>
      <c r="U176" s="51"/>
    </row>
    <row r="177" spans="1:21" ht="24.75" customHeight="1" x14ac:dyDescent="0.3">
      <c r="A177" s="38" t="str">
        <f>IFERROR(VLOOKUP(D177,'[1]Product Datasheet'!$A:$G,2,0),"")</f>
        <v/>
      </c>
      <c r="B177" s="39" t="str">
        <f>IFERROR(VLOOKUP(D177,'[1]Product Datasheet'!$A:$G,3,0),"")</f>
        <v/>
      </c>
      <c r="C177" s="40"/>
      <c r="D177" s="41"/>
      <c r="E177" s="41"/>
      <c r="F177" s="41"/>
      <c r="G177" s="42"/>
      <c r="H177" s="43"/>
      <c r="I177" s="42"/>
      <c r="J177" s="44"/>
      <c r="K177" s="44"/>
      <c r="L177" s="44"/>
      <c r="M177" s="45" t="str">
        <f t="shared" si="8"/>
        <v>Pass</v>
      </c>
      <c r="N177" s="46" t="str">
        <f>IFERROR(VLOOKUP(D177,'[1]Product Datasheet'!$A:$G,4,0),"")</f>
        <v/>
      </c>
      <c r="O177" s="47" t="str">
        <f>IFERROR(VLOOKUP(D177,'[1]Product Datasheet'!$A:$G,5,0),"")</f>
        <v/>
      </c>
      <c r="P177" s="47" t="str">
        <f>IFERROR(VLOOKUP(D177,'[1]Product Datasheet'!$A:$G,6,0),"")</f>
        <v/>
      </c>
      <c r="Q177" s="47" t="str">
        <f>IFERROR(VLOOKUP(D177,'[1]Product Datasheet'!$A:$G,7,0), "")</f>
        <v/>
      </c>
      <c r="R177" s="48"/>
      <c r="S177" s="49" t="str">
        <f t="shared" si="9"/>
        <v>Accept</v>
      </c>
      <c r="T177" s="50"/>
      <c r="U177" s="51"/>
    </row>
    <row r="178" spans="1:21" ht="24.75" customHeight="1" x14ac:dyDescent="0.3">
      <c r="A178" s="38" t="str">
        <f>IFERROR(VLOOKUP(D178,'[1]Product Datasheet'!$A:$G,2,0),"")</f>
        <v/>
      </c>
      <c r="B178" s="39" t="str">
        <f>IFERROR(VLOOKUP(D178,'[1]Product Datasheet'!$A:$G,3,0),"")</f>
        <v/>
      </c>
      <c r="C178" s="40"/>
      <c r="D178" s="41"/>
      <c r="E178" s="41"/>
      <c r="F178" s="41"/>
      <c r="G178" s="42"/>
      <c r="H178" s="43"/>
      <c r="I178" s="42"/>
      <c r="J178" s="44"/>
      <c r="K178" s="44"/>
      <c r="L178" s="44"/>
      <c r="M178" s="45" t="str">
        <f t="shared" si="8"/>
        <v>Pass</v>
      </c>
      <c r="N178" s="46" t="str">
        <f>IFERROR(VLOOKUP(D178,'[1]Product Datasheet'!$A:$G,4,0),"")</f>
        <v/>
      </c>
      <c r="O178" s="47" t="str">
        <f>IFERROR(VLOOKUP(D178,'[1]Product Datasheet'!$A:$G,5,0),"")</f>
        <v/>
      </c>
      <c r="P178" s="47" t="str">
        <f>IFERROR(VLOOKUP(D178,'[1]Product Datasheet'!$A:$G,6,0),"")</f>
        <v/>
      </c>
      <c r="Q178" s="47" t="str">
        <f>IFERROR(VLOOKUP(D178,'[1]Product Datasheet'!$A:$G,7,0), "")</f>
        <v/>
      </c>
      <c r="R178" s="48"/>
      <c r="S178" s="49" t="str">
        <f t="shared" si="9"/>
        <v>Accept</v>
      </c>
      <c r="T178" s="50"/>
      <c r="U178" s="51"/>
    </row>
    <row r="179" spans="1:21" ht="24.75" customHeight="1" x14ac:dyDescent="0.3">
      <c r="A179" s="38" t="str">
        <f>IFERROR(VLOOKUP(D179,'[1]Product Datasheet'!$A:$G,2,0),"")</f>
        <v/>
      </c>
      <c r="B179" s="39" t="str">
        <f>IFERROR(VLOOKUP(D179,'[1]Product Datasheet'!$A:$G,3,0),"")</f>
        <v/>
      </c>
      <c r="C179" s="40"/>
      <c r="D179" s="41"/>
      <c r="E179" s="41"/>
      <c r="F179" s="41"/>
      <c r="G179" s="42"/>
      <c r="H179" s="43"/>
      <c r="I179" s="42"/>
      <c r="J179" s="44"/>
      <c r="K179" s="44"/>
      <c r="L179" s="44"/>
      <c r="M179" s="45" t="str">
        <f t="shared" si="8"/>
        <v>Pass</v>
      </c>
      <c r="N179" s="46" t="str">
        <f>IFERROR(VLOOKUP(D179,'[1]Product Datasheet'!$A:$G,4,0),"")</f>
        <v/>
      </c>
      <c r="O179" s="47" t="str">
        <f>IFERROR(VLOOKUP(D179,'[1]Product Datasheet'!$A:$G,5,0),"")</f>
        <v/>
      </c>
      <c r="P179" s="47" t="str">
        <f>IFERROR(VLOOKUP(D179,'[1]Product Datasheet'!$A:$G,6,0),"")</f>
        <v/>
      </c>
      <c r="Q179" s="47" t="str">
        <f>IFERROR(VLOOKUP(D179,'[1]Product Datasheet'!$A:$G,7,0), "")</f>
        <v/>
      </c>
      <c r="R179" s="48"/>
      <c r="S179" s="49" t="str">
        <f t="shared" si="9"/>
        <v>Accept</v>
      </c>
      <c r="T179" s="50"/>
      <c r="U179" s="51"/>
    </row>
    <row r="180" spans="1:21" ht="24.75" customHeight="1" x14ac:dyDescent="0.3">
      <c r="A180" s="38" t="str">
        <f>IFERROR(VLOOKUP(D180,'[1]Product Datasheet'!$A:$G,2,0),"")</f>
        <v/>
      </c>
      <c r="B180" s="39" t="str">
        <f>IFERROR(VLOOKUP(D180,'[1]Product Datasheet'!$A:$G,3,0),"")</f>
        <v/>
      </c>
      <c r="C180" s="40"/>
      <c r="D180" s="41"/>
      <c r="E180" s="41"/>
      <c r="F180" s="41"/>
      <c r="G180" s="42"/>
      <c r="H180" s="43"/>
      <c r="I180" s="42"/>
      <c r="J180" s="44"/>
      <c r="K180" s="44"/>
      <c r="L180" s="44"/>
      <c r="M180" s="45" t="str">
        <f t="shared" si="8"/>
        <v>Pass</v>
      </c>
      <c r="N180" s="46" t="str">
        <f>IFERROR(VLOOKUP(D180,'[1]Product Datasheet'!$A:$G,4,0),"")</f>
        <v/>
      </c>
      <c r="O180" s="47" t="str">
        <f>IFERROR(VLOOKUP(D180,'[1]Product Datasheet'!$A:$G,5,0),"")</f>
        <v/>
      </c>
      <c r="P180" s="47" t="str">
        <f>IFERROR(VLOOKUP(D180,'[1]Product Datasheet'!$A:$G,6,0),"")</f>
        <v/>
      </c>
      <c r="Q180" s="47" t="str">
        <f>IFERROR(VLOOKUP(D180,'[1]Product Datasheet'!$A:$G,7,0), "")</f>
        <v/>
      </c>
      <c r="R180" s="48"/>
      <c r="S180" s="49" t="str">
        <f t="shared" si="9"/>
        <v>Accept</v>
      </c>
      <c r="T180" s="50"/>
      <c r="U180" s="51"/>
    </row>
    <row r="181" spans="1:21" ht="24.75" customHeight="1" x14ac:dyDescent="0.3">
      <c r="A181" s="38" t="str">
        <f>IFERROR(VLOOKUP(D181,'[1]Product Datasheet'!$A:$G,2,0),"")</f>
        <v/>
      </c>
      <c r="B181" s="39" t="str">
        <f>IFERROR(VLOOKUP(D181,'[1]Product Datasheet'!$A:$G,3,0),"")</f>
        <v/>
      </c>
      <c r="C181" s="40"/>
      <c r="D181" s="41"/>
      <c r="E181" s="41"/>
      <c r="F181" s="41"/>
      <c r="G181" s="42"/>
      <c r="H181" s="43"/>
      <c r="I181" s="42"/>
      <c r="J181" s="44"/>
      <c r="K181" s="44"/>
      <c r="L181" s="44"/>
      <c r="M181" s="45" t="str">
        <f t="shared" si="8"/>
        <v>Pass</v>
      </c>
      <c r="N181" s="46" t="str">
        <f>IFERROR(VLOOKUP(D181,'[1]Product Datasheet'!$A:$G,4,0),"")</f>
        <v/>
      </c>
      <c r="O181" s="47" t="str">
        <f>IFERROR(VLOOKUP(D181,'[1]Product Datasheet'!$A:$G,5,0),"")</f>
        <v/>
      </c>
      <c r="P181" s="47" t="str">
        <f>IFERROR(VLOOKUP(D181,'[1]Product Datasheet'!$A:$G,6,0),"")</f>
        <v/>
      </c>
      <c r="Q181" s="47" t="str">
        <f>IFERROR(VLOOKUP(D181,'[1]Product Datasheet'!$A:$G,7,0), "")</f>
        <v/>
      </c>
      <c r="R181" s="48"/>
      <c r="S181" s="49" t="str">
        <f t="shared" si="9"/>
        <v>Accept</v>
      </c>
      <c r="T181" s="50"/>
      <c r="U181" s="51"/>
    </row>
    <row r="182" spans="1:21" ht="24.75" customHeight="1" x14ac:dyDescent="0.3">
      <c r="A182" s="38" t="str">
        <f>IFERROR(VLOOKUP(D182,'[1]Product Datasheet'!$A:$G,2,0),"")</f>
        <v/>
      </c>
      <c r="B182" s="39" t="str">
        <f>IFERROR(VLOOKUP(D182,'[1]Product Datasheet'!$A:$G,3,0),"")</f>
        <v/>
      </c>
      <c r="C182" s="40"/>
      <c r="D182" s="41"/>
      <c r="E182" s="41"/>
      <c r="F182" s="41"/>
      <c r="G182" s="42"/>
      <c r="H182" s="43"/>
      <c r="I182" s="42"/>
      <c r="J182" s="44"/>
      <c r="K182" s="44"/>
      <c r="L182" s="44"/>
      <c r="M182" s="45" t="str">
        <f t="shared" si="8"/>
        <v>Pass</v>
      </c>
      <c r="N182" s="46" t="str">
        <f>IFERROR(VLOOKUP(D182,'[1]Product Datasheet'!$A:$G,4,0),"")</f>
        <v/>
      </c>
      <c r="O182" s="47" t="str">
        <f>IFERROR(VLOOKUP(D182,'[1]Product Datasheet'!$A:$G,5,0),"")</f>
        <v/>
      </c>
      <c r="P182" s="47" t="str">
        <f>IFERROR(VLOOKUP(D182,'[1]Product Datasheet'!$A:$G,6,0),"")</f>
        <v/>
      </c>
      <c r="Q182" s="47" t="str">
        <f>IFERROR(VLOOKUP(D182,'[1]Product Datasheet'!$A:$G,7,0), "")</f>
        <v/>
      </c>
      <c r="R182" s="48"/>
      <c r="S182" s="49" t="str">
        <f t="shared" si="9"/>
        <v>Accept</v>
      </c>
      <c r="T182" s="50"/>
      <c r="U182" s="51"/>
    </row>
    <row r="183" spans="1:21" ht="24.75" customHeight="1" x14ac:dyDescent="0.3">
      <c r="A183" s="38" t="str">
        <f>IFERROR(VLOOKUP(D183,'[1]Product Datasheet'!$A:$G,2,0),"")</f>
        <v/>
      </c>
      <c r="B183" s="39" t="str">
        <f>IFERROR(VLOOKUP(D183,'[1]Product Datasheet'!$A:$G,3,0),"")</f>
        <v/>
      </c>
      <c r="C183" s="40"/>
      <c r="D183" s="41"/>
      <c r="E183" s="41"/>
      <c r="F183" s="41"/>
      <c r="G183" s="42"/>
      <c r="H183" s="43"/>
      <c r="I183" s="42"/>
      <c r="J183" s="44"/>
      <c r="K183" s="44"/>
      <c r="L183" s="44"/>
      <c r="M183" s="45" t="str">
        <f t="shared" si="8"/>
        <v>Pass</v>
      </c>
      <c r="N183" s="46" t="str">
        <f>IFERROR(VLOOKUP(D183,'[1]Product Datasheet'!$A:$G,4,0),"")</f>
        <v/>
      </c>
      <c r="O183" s="47" t="str">
        <f>IFERROR(VLOOKUP(D183,'[1]Product Datasheet'!$A:$G,5,0),"")</f>
        <v/>
      </c>
      <c r="P183" s="47" t="str">
        <f>IFERROR(VLOOKUP(D183,'[1]Product Datasheet'!$A:$G,6,0),"")</f>
        <v/>
      </c>
      <c r="Q183" s="47" t="str">
        <f>IFERROR(VLOOKUP(D183,'[1]Product Datasheet'!$A:$G,7,0), "")</f>
        <v/>
      </c>
      <c r="R183" s="48"/>
      <c r="S183" s="49" t="str">
        <f t="shared" si="9"/>
        <v>Accept</v>
      </c>
      <c r="T183" s="50"/>
      <c r="U183" s="51"/>
    </row>
    <row r="184" spans="1:21" ht="24.75" customHeight="1" x14ac:dyDescent="0.3">
      <c r="A184" s="38" t="str">
        <f>IFERROR(VLOOKUP(D184,'[1]Product Datasheet'!$A:$G,2,0),"")</f>
        <v/>
      </c>
      <c r="B184" s="39" t="str">
        <f>IFERROR(VLOOKUP(D184,'[1]Product Datasheet'!$A:$G,3,0),"")</f>
        <v/>
      </c>
      <c r="C184" s="40"/>
      <c r="D184" s="41"/>
      <c r="E184" s="41"/>
      <c r="F184" s="41"/>
      <c r="G184" s="42"/>
      <c r="H184" s="43"/>
      <c r="I184" s="42"/>
      <c r="J184" s="44"/>
      <c r="K184" s="44"/>
      <c r="L184" s="44"/>
      <c r="M184" s="45" t="str">
        <f t="shared" si="8"/>
        <v>Pass</v>
      </c>
      <c r="N184" s="46" t="str">
        <f>IFERROR(VLOOKUP(D184,'[1]Product Datasheet'!$A:$G,4,0),"")</f>
        <v/>
      </c>
      <c r="O184" s="47" t="str">
        <f>IFERROR(VLOOKUP(D184,'[1]Product Datasheet'!$A:$G,5,0),"")</f>
        <v/>
      </c>
      <c r="P184" s="47" t="str">
        <f>IFERROR(VLOOKUP(D184,'[1]Product Datasheet'!$A:$G,6,0),"")</f>
        <v/>
      </c>
      <c r="Q184" s="47" t="str">
        <f>IFERROR(VLOOKUP(D184,'[1]Product Datasheet'!$A:$G,7,0), "")</f>
        <v/>
      </c>
      <c r="R184" s="48"/>
      <c r="S184" s="49" t="str">
        <f t="shared" si="9"/>
        <v>Accept</v>
      </c>
      <c r="T184" s="50"/>
      <c r="U184" s="51"/>
    </row>
    <row r="185" spans="1:21" ht="24.75" customHeight="1" x14ac:dyDescent="0.3">
      <c r="A185" s="38" t="str">
        <f>IFERROR(VLOOKUP(D185,'[1]Product Datasheet'!$A:$G,2,0),"")</f>
        <v/>
      </c>
      <c r="B185" s="39" t="str">
        <f>IFERROR(VLOOKUP(D185,'[1]Product Datasheet'!$A:$G,3,0),"")</f>
        <v/>
      </c>
      <c r="C185" s="40"/>
      <c r="D185" s="41"/>
      <c r="E185" s="41"/>
      <c r="F185" s="41"/>
      <c r="G185" s="42"/>
      <c r="H185" s="43"/>
      <c r="I185" s="42"/>
      <c r="J185" s="44"/>
      <c r="K185" s="44"/>
      <c r="L185" s="44"/>
      <c r="M185" s="45" t="str">
        <f t="shared" si="8"/>
        <v>Pass</v>
      </c>
      <c r="N185" s="46" t="str">
        <f>IFERROR(VLOOKUP(D185,'[1]Product Datasheet'!$A:$G,4,0),"")</f>
        <v/>
      </c>
      <c r="O185" s="47" t="str">
        <f>IFERROR(VLOOKUP(D185,'[1]Product Datasheet'!$A:$G,5,0),"")</f>
        <v/>
      </c>
      <c r="P185" s="47" t="str">
        <f>IFERROR(VLOOKUP(D185,'[1]Product Datasheet'!$A:$G,6,0),"")</f>
        <v/>
      </c>
      <c r="Q185" s="47" t="str">
        <f>IFERROR(VLOOKUP(D185,'[1]Product Datasheet'!$A:$G,7,0), "")</f>
        <v/>
      </c>
      <c r="R185" s="48"/>
      <c r="S185" s="49" t="str">
        <f t="shared" si="9"/>
        <v>Accept</v>
      </c>
      <c r="T185" s="50"/>
      <c r="U185" s="51"/>
    </row>
    <row r="186" spans="1:21" ht="24.75" customHeight="1" x14ac:dyDescent="0.3">
      <c r="A186" s="38" t="str">
        <f>IFERROR(VLOOKUP(D186,'[1]Product Datasheet'!$A:$G,2,0),"")</f>
        <v/>
      </c>
      <c r="B186" s="39" t="str">
        <f>IFERROR(VLOOKUP(D186,'[1]Product Datasheet'!$A:$G,3,0),"")</f>
        <v/>
      </c>
      <c r="C186" s="40"/>
      <c r="D186" s="41"/>
      <c r="E186" s="41"/>
      <c r="F186" s="41"/>
      <c r="G186" s="42"/>
      <c r="H186" s="43"/>
      <c r="I186" s="42"/>
      <c r="J186" s="44"/>
      <c r="K186" s="44"/>
      <c r="L186" s="44"/>
      <c r="M186" s="45" t="str">
        <f t="shared" si="8"/>
        <v>Pass</v>
      </c>
      <c r="N186" s="46" t="str">
        <f>IFERROR(VLOOKUP(D186,'[1]Product Datasheet'!$A:$G,4,0),"")</f>
        <v/>
      </c>
      <c r="O186" s="47" t="str">
        <f>IFERROR(VLOOKUP(D186,'[1]Product Datasheet'!$A:$G,5,0),"")</f>
        <v/>
      </c>
      <c r="P186" s="47" t="str">
        <f>IFERROR(VLOOKUP(D186,'[1]Product Datasheet'!$A:$G,6,0),"")</f>
        <v/>
      </c>
      <c r="Q186" s="47" t="str">
        <f>IFERROR(VLOOKUP(D186,'[1]Product Datasheet'!$A:$G,7,0), "")</f>
        <v/>
      </c>
      <c r="R186" s="48"/>
      <c r="S186" s="49" t="str">
        <f t="shared" si="9"/>
        <v>Accept</v>
      </c>
      <c r="T186" s="50"/>
      <c r="U186" s="51"/>
    </row>
    <row r="187" spans="1:21" ht="24.75" customHeight="1" x14ac:dyDescent="0.3">
      <c r="A187" s="38" t="str">
        <f>IFERROR(VLOOKUP(D187,'[1]Product Datasheet'!$A:$G,2,0),"")</f>
        <v/>
      </c>
      <c r="B187" s="39" t="str">
        <f>IFERROR(VLOOKUP(D187,'[1]Product Datasheet'!$A:$G,3,0),"")</f>
        <v/>
      </c>
      <c r="C187" s="40"/>
      <c r="D187" s="41"/>
      <c r="E187" s="41"/>
      <c r="F187" s="41"/>
      <c r="G187" s="42"/>
      <c r="H187" s="43"/>
      <c r="I187" s="42"/>
      <c r="J187" s="44"/>
      <c r="K187" s="44"/>
      <c r="L187" s="44"/>
      <c r="M187" s="45" t="str">
        <f t="shared" si="8"/>
        <v>Pass</v>
      </c>
      <c r="N187" s="46" t="str">
        <f>IFERROR(VLOOKUP(D187,'[1]Product Datasheet'!$A:$G,4,0),"")</f>
        <v/>
      </c>
      <c r="O187" s="47" t="str">
        <f>IFERROR(VLOOKUP(D187,'[1]Product Datasheet'!$A:$G,5,0),"")</f>
        <v/>
      </c>
      <c r="P187" s="47" t="str">
        <f>IFERROR(VLOOKUP(D187,'[1]Product Datasheet'!$A:$G,6,0),"")</f>
        <v/>
      </c>
      <c r="Q187" s="47" t="str">
        <f>IFERROR(VLOOKUP(D187,'[1]Product Datasheet'!$A:$G,7,0), "")</f>
        <v/>
      </c>
      <c r="R187" s="48"/>
      <c r="S187" s="49" t="str">
        <f t="shared" si="9"/>
        <v>Accept</v>
      </c>
      <c r="T187" s="50"/>
      <c r="U187" s="51"/>
    </row>
    <row r="188" spans="1:21" ht="24.75" customHeight="1" x14ac:dyDescent="0.3">
      <c r="A188" s="38" t="str">
        <f>IFERROR(VLOOKUP(D188,'[1]Product Datasheet'!$A:$G,2,0),"")</f>
        <v/>
      </c>
      <c r="B188" s="39" t="str">
        <f>IFERROR(VLOOKUP(D188,'[1]Product Datasheet'!$A:$G,3,0),"")</f>
        <v/>
      </c>
      <c r="C188" s="40"/>
      <c r="D188" s="41"/>
      <c r="E188" s="41"/>
      <c r="F188" s="41"/>
      <c r="G188" s="42"/>
      <c r="H188" s="43"/>
      <c r="I188" s="42"/>
      <c r="J188" s="44"/>
      <c r="K188" s="44"/>
      <c r="L188" s="44"/>
      <c r="M188" s="45" t="str">
        <f t="shared" si="8"/>
        <v>Pass</v>
      </c>
      <c r="N188" s="46" t="str">
        <f>IFERROR(VLOOKUP(D188,'[1]Product Datasheet'!$A:$G,4,0),"")</f>
        <v/>
      </c>
      <c r="O188" s="47" t="str">
        <f>IFERROR(VLOOKUP(D188,'[1]Product Datasheet'!$A:$G,5,0),"")</f>
        <v/>
      </c>
      <c r="P188" s="47" t="str">
        <f>IFERROR(VLOOKUP(D188,'[1]Product Datasheet'!$A:$G,6,0),"")</f>
        <v/>
      </c>
      <c r="Q188" s="47" t="str">
        <f>IFERROR(VLOOKUP(D188,'[1]Product Datasheet'!$A:$G,7,0), "")</f>
        <v/>
      </c>
      <c r="R188" s="48"/>
      <c r="S188" s="49" t="str">
        <f t="shared" si="9"/>
        <v>Accept</v>
      </c>
      <c r="T188" s="50"/>
      <c r="U188" s="51"/>
    </row>
    <row r="189" spans="1:21" ht="24.75" customHeight="1" x14ac:dyDescent="0.3">
      <c r="A189" s="38" t="str">
        <f>IFERROR(VLOOKUP(D189,'[1]Product Datasheet'!$A:$G,2,0),"")</f>
        <v/>
      </c>
      <c r="B189" s="39" t="str">
        <f>IFERROR(VLOOKUP(D189,'[1]Product Datasheet'!$A:$G,3,0),"")</f>
        <v/>
      </c>
      <c r="C189" s="40"/>
      <c r="D189" s="41"/>
      <c r="E189" s="41"/>
      <c r="F189" s="41"/>
      <c r="G189" s="42"/>
      <c r="H189" s="43"/>
      <c r="I189" s="42"/>
      <c r="J189" s="44"/>
      <c r="K189" s="44"/>
      <c r="L189" s="44"/>
      <c r="M189" s="45" t="str">
        <f t="shared" si="8"/>
        <v>Pass</v>
      </c>
      <c r="N189" s="46" t="str">
        <f>IFERROR(VLOOKUP(D189,'[1]Product Datasheet'!$A:$G,4,0),"")</f>
        <v/>
      </c>
      <c r="O189" s="47" t="str">
        <f>IFERROR(VLOOKUP(D189,'[1]Product Datasheet'!$A:$G,5,0),"")</f>
        <v/>
      </c>
      <c r="P189" s="47" t="str">
        <f>IFERROR(VLOOKUP(D189,'[1]Product Datasheet'!$A:$G,6,0),"")</f>
        <v/>
      </c>
      <c r="Q189" s="47" t="str">
        <f>IFERROR(VLOOKUP(D189,'[1]Product Datasheet'!$A:$G,7,0), "")</f>
        <v/>
      </c>
      <c r="R189" s="48"/>
      <c r="S189" s="49" t="str">
        <f t="shared" si="9"/>
        <v>Accept</v>
      </c>
      <c r="T189" s="50"/>
      <c r="U189" s="51"/>
    </row>
    <row r="190" spans="1:21" ht="24.75" customHeight="1" x14ac:dyDescent="0.3">
      <c r="A190" s="38" t="str">
        <f>IFERROR(VLOOKUP(D190,'[1]Product Datasheet'!$A:$G,2,0),"")</f>
        <v/>
      </c>
      <c r="B190" s="39" t="str">
        <f>IFERROR(VLOOKUP(D190,'[1]Product Datasheet'!$A:$G,3,0),"")</f>
        <v/>
      </c>
      <c r="C190" s="40"/>
      <c r="D190" s="41"/>
      <c r="E190" s="41"/>
      <c r="F190" s="41"/>
      <c r="G190" s="42"/>
      <c r="H190" s="43"/>
      <c r="I190" s="42"/>
      <c r="J190" s="44"/>
      <c r="K190" s="44"/>
      <c r="L190" s="44"/>
      <c r="M190" s="45" t="str">
        <f t="shared" si="8"/>
        <v>Pass</v>
      </c>
      <c r="N190" s="46" t="str">
        <f>IFERROR(VLOOKUP(D190,'[1]Product Datasheet'!$A:$G,4,0),"")</f>
        <v/>
      </c>
      <c r="O190" s="47" t="str">
        <f>IFERROR(VLOOKUP(D190,'[1]Product Datasheet'!$A:$G,5,0),"")</f>
        <v/>
      </c>
      <c r="P190" s="47" t="str">
        <f>IFERROR(VLOOKUP(D190,'[1]Product Datasheet'!$A:$G,6,0),"")</f>
        <v/>
      </c>
      <c r="Q190" s="47" t="str">
        <f>IFERROR(VLOOKUP(D190,'[1]Product Datasheet'!$A:$G,7,0), "")</f>
        <v/>
      </c>
      <c r="R190" s="48"/>
      <c r="S190" s="49" t="str">
        <f t="shared" si="9"/>
        <v>Accept</v>
      </c>
      <c r="T190" s="50"/>
      <c r="U190" s="51"/>
    </row>
    <row r="191" spans="1:21" ht="24.75" customHeight="1" x14ac:dyDescent="0.3">
      <c r="A191" s="38" t="str">
        <f>IFERROR(VLOOKUP(D191,'[1]Product Datasheet'!$A:$G,2,0),"")</f>
        <v/>
      </c>
      <c r="B191" s="39" t="str">
        <f>IFERROR(VLOOKUP(D191,'[1]Product Datasheet'!$A:$G,3,0),"")</f>
        <v/>
      </c>
      <c r="C191" s="40"/>
      <c r="D191" s="41"/>
      <c r="E191" s="41"/>
      <c r="F191" s="41"/>
      <c r="G191" s="42"/>
      <c r="H191" s="43"/>
      <c r="I191" s="42"/>
      <c r="J191" s="44"/>
      <c r="K191" s="44"/>
      <c r="L191" s="44"/>
      <c r="M191" s="45" t="str">
        <f t="shared" si="8"/>
        <v>Pass</v>
      </c>
      <c r="N191" s="46" t="str">
        <f>IFERROR(VLOOKUP(D191,'[1]Product Datasheet'!$A:$G,4,0),"")</f>
        <v/>
      </c>
      <c r="O191" s="47" t="str">
        <f>IFERROR(VLOOKUP(D191,'[1]Product Datasheet'!$A:$G,5,0),"")</f>
        <v/>
      </c>
      <c r="P191" s="47" t="str">
        <f>IFERROR(VLOOKUP(D191,'[1]Product Datasheet'!$A:$G,6,0),"")</f>
        <v/>
      </c>
      <c r="Q191" s="47" t="str">
        <f>IFERROR(VLOOKUP(D191,'[1]Product Datasheet'!$A:$G,7,0), "")</f>
        <v/>
      </c>
      <c r="R191" s="48"/>
      <c r="S191" s="49" t="str">
        <f t="shared" si="9"/>
        <v>Accept</v>
      </c>
      <c r="T191" s="50"/>
      <c r="U191" s="51"/>
    </row>
    <row r="192" spans="1:21" ht="24.75" customHeight="1" x14ac:dyDescent="0.3">
      <c r="A192" s="38" t="str">
        <f>IFERROR(VLOOKUP(D192,'[1]Product Datasheet'!$A:$G,2,0),"")</f>
        <v/>
      </c>
      <c r="B192" s="39" t="str">
        <f>IFERROR(VLOOKUP(D192,'[1]Product Datasheet'!$A:$G,3,0),"")</f>
        <v/>
      </c>
      <c r="C192" s="40"/>
      <c r="D192" s="41"/>
      <c r="E192" s="41"/>
      <c r="F192" s="41"/>
      <c r="G192" s="42"/>
      <c r="H192" s="43"/>
      <c r="I192" s="42"/>
      <c r="J192" s="44"/>
      <c r="K192" s="44"/>
      <c r="L192" s="44"/>
      <c r="M192" s="45" t="str">
        <f t="shared" si="8"/>
        <v>Pass</v>
      </c>
      <c r="N192" s="46" t="str">
        <f>IFERROR(VLOOKUP(D192,'[1]Product Datasheet'!$A:$G,4,0),"")</f>
        <v/>
      </c>
      <c r="O192" s="47" t="str">
        <f>IFERROR(VLOOKUP(D192,'[1]Product Datasheet'!$A:$G,5,0),"")</f>
        <v/>
      </c>
      <c r="P192" s="47" t="str">
        <f>IFERROR(VLOOKUP(D192,'[1]Product Datasheet'!$A:$G,6,0),"")</f>
        <v/>
      </c>
      <c r="Q192" s="47" t="str">
        <f>IFERROR(VLOOKUP(D192,'[1]Product Datasheet'!$A:$G,7,0), "")</f>
        <v/>
      </c>
      <c r="R192" s="48"/>
      <c r="S192" s="49" t="str">
        <f t="shared" si="9"/>
        <v>Accept</v>
      </c>
      <c r="T192" s="50"/>
      <c r="U192" s="51"/>
    </row>
    <row r="193" spans="1:21" ht="24.75" customHeight="1" x14ac:dyDescent="0.3">
      <c r="A193" s="38" t="str">
        <f>IFERROR(VLOOKUP(D193,'[1]Product Datasheet'!$A:$G,2,0),"")</f>
        <v/>
      </c>
      <c r="B193" s="39" t="str">
        <f>IFERROR(VLOOKUP(D193,'[1]Product Datasheet'!$A:$G,3,0),"")</f>
        <v/>
      </c>
      <c r="C193" s="40"/>
      <c r="D193" s="41"/>
      <c r="E193" s="41"/>
      <c r="F193" s="41"/>
      <c r="G193" s="42"/>
      <c r="H193" s="43"/>
      <c r="I193" s="42"/>
      <c r="J193" s="44"/>
      <c r="K193" s="44"/>
      <c r="L193" s="44"/>
      <c r="M193" s="45" t="str">
        <f t="shared" si="8"/>
        <v>Pass</v>
      </c>
      <c r="N193" s="46" t="str">
        <f>IFERROR(VLOOKUP(D193,'[1]Product Datasheet'!$A:$G,4,0),"")</f>
        <v/>
      </c>
      <c r="O193" s="47" t="str">
        <f>IFERROR(VLOOKUP(D193,'[1]Product Datasheet'!$A:$G,5,0),"")</f>
        <v/>
      </c>
      <c r="P193" s="47" t="str">
        <f>IFERROR(VLOOKUP(D193,'[1]Product Datasheet'!$A:$G,6,0),"")</f>
        <v/>
      </c>
      <c r="Q193" s="47" t="str">
        <f>IFERROR(VLOOKUP(D193,'[1]Product Datasheet'!$A:$G,7,0), "")</f>
        <v/>
      </c>
      <c r="R193" s="48"/>
      <c r="S193" s="49" t="str">
        <f t="shared" si="9"/>
        <v>Accept</v>
      </c>
      <c r="T193" s="50"/>
      <c r="U193" s="51"/>
    </row>
    <row r="194" spans="1:21" ht="24.75" customHeight="1" x14ac:dyDescent="0.3">
      <c r="A194" s="38" t="str">
        <f>IFERROR(VLOOKUP(D194,'[1]Product Datasheet'!$A:$G,2,0),"")</f>
        <v/>
      </c>
      <c r="B194" s="39" t="str">
        <f>IFERROR(VLOOKUP(D194,'[1]Product Datasheet'!$A:$G,3,0),"")</f>
        <v/>
      </c>
      <c r="C194" s="40"/>
      <c r="D194" s="41"/>
      <c r="E194" s="41"/>
      <c r="F194" s="41"/>
      <c r="G194" s="42"/>
      <c r="H194" s="43"/>
      <c r="I194" s="42"/>
      <c r="J194" s="44"/>
      <c r="K194" s="44"/>
      <c r="L194" s="44"/>
      <c r="M194" s="45" t="str">
        <f t="shared" si="8"/>
        <v>Pass</v>
      </c>
      <c r="N194" s="46" t="str">
        <f>IFERROR(VLOOKUP(D194,'[1]Product Datasheet'!$A:$G,4,0),"")</f>
        <v/>
      </c>
      <c r="O194" s="47" t="str">
        <f>IFERROR(VLOOKUP(D194,'[1]Product Datasheet'!$A:$G,5,0),"")</f>
        <v/>
      </c>
      <c r="P194" s="47" t="str">
        <f>IFERROR(VLOOKUP(D194,'[1]Product Datasheet'!$A:$G,6,0),"")</f>
        <v/>
      </c>
      <c r="Q194" s="47" t="str">
        <f>IFERROR(VLOOKUP(D194,'[1]Product Datasheet'!$A:$G,7,0), "")</f>
        <v/>
      </c>
      <c r="R194" s="48"/>
      <c r="S194" s="49" t="str">
        <f t="shared" si="9"/>
        <v>Accept</v>
      </c>
      <c r="T194" s="50"/>
      <c r="U194" s="51"/>
    </row>
    <row r="195" spans="1:21" ht="24.75" customHeight="1" x14ac:dyDescent="0.3">
      <c r="A195" s="38" t="str">
        <f>IFERROR(VLOOKUP(D195,'[1]Product Datasheet'!$A:$G,2,0),"")</f>
        <v/>
      </c>
      <c r="B195" s="39" t="str">
        <f>IFERROR(VLOOKUP(D195,'[1]Product Datasheet'!$A:$G,3,0),"")</f>
        <v/>
      </c>
      <c r="C195" s="40"/>
      <c r="D195" s="41"/>
      <c r="E195" s="41"/>
      <c r="F195" s="41"/>
      <c r="G195" s="42"/>
      <c r="H195" s="43"/>
      <c r="I195" s="42"/>
      <c r="J195" s="44"/>
      <c r="K195" s="44"/>
      <c r="L195" s="44"/>
      <c r="M195" s="45" t="str">
        <f t="shared" si="8"/>
        <v>Pass</v>
      </c>
      <c r="N195" s="46" t="str">
        <f>IFERROR(VLOOKUP(D195,'[1]Product Datasheet'!$A:$G,4,0),"")</f>
        <v/>
      </c>
      <c r="O195" s="47" t="str">
        <f>IFERROR(VLOOKUP(D195,'[1]Product Datasheet'!$A:$G,5,0),"")</f>
        <v/>
      </c>
      <c r="P195" s="47" t="str">
        <f>IFERROR(VLOOKUP(D195,'[1]Product Datasheet'!$A:$G,6,0),"")</f>
        <v/>
      </c>
      <c r="Q195" s="47" t="str">
        <f>IFERROR(VLOOKUP(D195,'[1]Product Datasheet'!$A:$G,7,0), "")</f>
        <v/>
      </c>
      <c r="R195" s="48"/>
      <c r="S195" s="49" t="str">
        <f t="shared" si="9"/>
        <v>Accept</v>
      </c>
      <c r="T195" s="50"/>
      <c r="U195" s="51"/>
    </row>
    <row r="196" spans="1:21" ht="24.75" customHeight="1" x14ac:dyDescent="0.3">
      <c r="A196" s="38" t="str">
        <f>IFERROR(VLOOKUP(D196,'[1]Product Datasheet'!$A:$G,2,0),"")</f>
        <v/>
      </c>
      <c r="B196" s="39" t="str">
        <f>IFERROR(VLOOKUP(D196,'[1]Product Datasheet'!$A:$G,3,0),"")</f>
        <v/>
      </c>
      <c r="C196" s="40"/>
      <c r="D196" s="41"/>
      <c r="E196" s="41"/>
      <c r="F196" s="41"/>
      <c r="G196" s="42"/>
      <c r="H196" s="43"/>
      <c r="I196" s="42"/>
      <c r="J196" s="44"/>
      <c r="K196" s="44"/>
      <c r="L196" s="44"/>
      <c r="M196" s="45" t="str">
        <f t="shared" si="8"/>
        <v>Pass</v>
      </c>
      <c r="N196" s="46" t="str">
        <f>IFERROR(VLOOKUP(D196,'[1]Product Datasheet'!$A:$G,4,0),"")</f>
        <v/>
      </c>
      <c r="O196" s="47" t="str">
        <f>IFERROR(VLOOKUP(D196,'[1]Product Datasheet'!$A:$G,5,0),"")</f>
        <v/>
      </c>
      <c r="P196" s="47" t="str">
        <f>IFERROR(VLOOKUP(D196,'[1]Product Datasheet'!$A:$G,6,0),"")</f>
        <v/>
      </c>
      <c r="Q196" s="47" t="str">
        <f>IFERROR(VLOOKUP(D196,'[1]Product Datasheet'!$A:$G,7,0), "")</f>
        <v/>
      </c>
      <c r="R196" s="48"/>
      <c r="S196" s="49" t="str">
        <f t="shared" si="9"/>
        <v>Accept</v>
      </c>
      <c r="T196" s="50"/>
      <c r="U196" s="51"/>
    </row>
    <row r="197" spans="1:21" ht="24.75" customHeight="1" x14ac:dyDescent="0.3">
      <c r="A197" s="38" t="str">
        <f>IFERROR(VLOOKUP(D197,'[1]Product Datasheet'!$A:$G,2,0),"")</f>
        <v/>
      </c>
      <c r="B197" s="39" t="str">
        <f>IFERROR(VLOOKUP(D197,'[1]Product Datasheet'!$A:$G,3,0),"")</f>
        <v/>
      </c>
      <c r="C197" s="40"/>
      <c r="D197" s="41"/>
      <c r="E197" s="41"/>
      <c r="F197" s="41"/>
      <c r="G197" s="42"/>
      <c r="H197" s="43"/>
      <c r="I197" s="42"/>
      <c r="J197" s="44"/>
      <c r="K197" s="44"/>
      <c r="L197" s="44"/>
      <c r="M197" s="45" t="str">
        <f t="shared" si="8"/>
        <v>Pass</v>
      </c>
      <c r="N197" s="46" t="str">
        <f>IFERROR(VLOOKUP(D197,'[1]Product Datasheet'!$A:$G,4,0),"")</f>
        <v/>
      </c>
      <c r="O197" s="47" t="str">
        <f>IFERROR(VLOOKUP(D197,'[1]Product Datasheet'!$A:$G,5,0),"")</f>
        <v/>
      </c>
      <c r="P197" s="47" t="str">
        <f>IFERROR(VLOOKUP(D197,'[1]Product Datasheet'!$A:$G,6,0),"")</f>
        <v/>
      </c>
      <c r="Q197" s="47" t="str">
        <f>IFERROR(VLOOKUP(D197,'[1]Product Datasheet'!$A:$G,7,0), "")</f>
        <v/>
      </c>
      <c r="R197" s="48"/>
      <c r="S197" s="49" t="str">
        <f t="shared" si="9"/>
        <v>Accept</v>
      </c>
      <c r="T197" s="50"/>
      <c r="U197" s="51"/>
    </row>
    <row r="198" spans="1:21" ht="24.75" customHeight="1" x14ac:dyDescent="0.3">
      <c r="A198" s="38" t="str">
        <f>IFERROR(VLOOKUP(D198,'[1]Product Datasheet'!$A:$G,2,0),"")</f>
        <v/>
      </c>
      <c r="B198" s="39" t="str">
        <f>IFERROR(VLOOKUP(D198,'[1]Product Datasheet'!$A:$G,3,0),"")</f>
        <v/>
      </c>
      <c r="C198" s="40"/>
      <c r="D198" s="41"/>
      <c r="E198" s="41"/>
      <c r="F198" s="41"/>
      <c r="G198" s="42"/>
      <c r="H198" s="43"/>
      <c r="I198" s="42"/>
      <c r="J198" s="44"/>
      <c r="K198" s="44"/>
      <c r="L198" s="44"/>
      <c r="M198" s="45" t="str">
        <f t="shared" si="8"/>
        <v>Pass</v>
      </c>
      <c r="N198" s="46" t="str">
        <f>IFERROR(VLOOKUP(D198,'[1]Product Datasheet'!$A:$G,4,0),"")</f>
        <v/>
      </c>
      <c r="O198" s="47" t="str">
        <f>IFERROR(VLOOKUP(D198,'[1]Product Datasheet'!$A:$G,5,0),"")</f>
        <v/>
      </c>
      <c r="P198" s="47" t="str">
        <f>IFERROR(VLOOKUP(D198,'[1]Product Datasheet'!$A:$G,6,0),"")</f>
        <v/>
      </c>
      <c r="Q198" s="47" t="str">
        <f>IFERROR(VLOOKUP(D198,'[1]Product Datasheet'!$A:$G,7,0), "")</f>
        <v/>
      </c>
      <c r="R198" s="48"/>
      <c r="S198" s="49" t="str">
        <f t="shared" si="9"/>
        <v>Accept</v>
      </c>
      <c r="T198" s="50"/>
      <c r="U198" s="51"/>
    </row>
    <row r="199" spans="1:21" ht="24.75" customHeight="1" x14ac:dyDescent="0.3">
      <c r="A199" s="38" t="str">
        <f>IFERROR(VLOOKUP(D199,'[1]Product Datasheet'!$A:$G,2,0),"")</f>
        <v/>
      </c>
      <c r="B199" s="39" t="str">
        <f>IFERROR(VLOOKUP(D199,'[1]Product Datasheet'!$A:$G,3,0),"")</f>
        <v/>
      </c>
      <c r="C199" s="40"/>
      <c r="D199" s="41"/>
      <c r="E199" s="41"/>
      <c r="F199" s="41"/>
      <c r="G199" s="42"/>
      <c r="H199" s="43"/>
      <c r="I199" s="42"/>
      <c r="J199" s="44"/>
      <c r="K199" s="44"/>
      <c r="L199" s="44"/>
      <c r="M199" s="45" t="str">
        <f t="shared" si="8"/>
        <v>Pass</v>
      </c>
      <c r="N199" s="46" t="str">
        <f>IFERROR(VLOOKUP(D199,'[1]Product Datasheet'!$A:$G,4,0),"")</f>
        <v/>
      </c>
      <c r="O199" s="47" t="str">
        <f>IFERROR(VLOOKUP(D199,'[1]Product Datasheet'!$A:$G,5,0),"")</f>
        <v/>
      </c>
      <c r="P199" s="47" t="str">
        <f>IFERROR(VLOOKUP(D199,'[1]Product Datasheet'!$A:$G,6,0),"")</f>
        <v/>
      </c>
      <c r="Q199" s="47" t="str">
        <f>IFERROR(VLOOKUP(D199,'[1]Product Datasheet'!$A:$G,7,0), "")</f>
        <v/>
      </c>
      <c r="R199" s="48"/>
      <c r="S199" s="49" t="str">
        <f t="shared" si="9"/>
        <v>Accept</v>
      </c>
      <c r="T199" s="50"/>
      <c r="U199" s="51"/>
    </row>
    <row r="200" spans="1:21" ht="24.75" customHeight="1" x14ac:dyDescent="0.3">
      <c r="A200" s="38" t="str">
        <f>IFERROR(VLOOKUP(D200,'[1]Product Datasheet'!$A:$G,2,0),"")</f>
        <v/>
      </c>
      <c r="B200" s="39" t="str">
        <f>IFERROR(VLOOKUP(D200,'[1]Product Datasheet'!$A:$G,3,0),"")</f>
        <v/>
      </c>
      <c r="C200" s="40"/>
      <c r="D200" s="41"/>
      <c r="E200" s="41"/>
      <c r="F200" s="41"/>
      <c r="G200" s="42"/>
      <c r="H200" s="43"/>
      <c r="I200" s="42"/>
      <c r="J200" s="44"/>
      <c r="K200" s="44"/>
      <c r="L200" s="44"/>
      <c r="M200" s="45" t="str">
        <f t="shared" ref="M200:M263" si="10">IF(AND(G200&lt;=O200,G200&gt;=N200,H200&lt;=Q200,H200&gt;=P200),"Pass","Fail")</f>
        <v>Pass</v>
      </c>
      <c r="N200" s="46" t="str">
        <f>IFERROR(VLOOKUP(D200,'[1]Product Datasheet'!$A:$G,4,0),"")</f>
        <v/>
      </c>
      <c r="O200" s="47" t="str">
        <f>IFERROR(VLOOKUP(D200,'[1]Product Datasheet'!$A:$G,5,0),"")</f>
        <v/>
      </c>
      <c r="P200" s="47" t="str">
        <f>IFERROR(VLOOKUP(D200,'[1]Product Datasheet'!$A:$G,6,0),"")</f>
        <v/>
      </c>
      <c r="Q200" s="47" t="str">
        <f>IFERROR(VLOOKUP(D200,'[1]Product Datasheet'!$A:$G,7,0), "")</f>
        <v/>
      </c>
      <c r="R200" s="48"/>
      <c r="S200" s="49" t="str">
        <f t="shared" si="9"/>
        <v>Accept</v>
      </c>
      <c r="T200" s="50"/>
      <c r="U200" s="51"/>
    </row>
    <row r="201" spans="1:21" ht="24.75" customHeight="1" x14ac:dyDescent="0.3">
      <c r="A201" s="38" t="str">
        <f>IFERROR(VLOOKUP(D201,'[1]Product Datasheet'!$A:$G,2,0),"")</f>
        <v/>
      </c>
      <c r="B201" s="39" t="str">
        <f>IFERROR(VLOOKUP(D201,'[1]Product Datasheet'!$A:$G,3,0),"")</f>
        <v/>
      </c>
      <c r="C201" s="40"/>
      <c r="D201" s="41"/>
      <c r="E201" s="41"/>
      <c r="F201" s="41"/>
      <c r="G201" s="42"/>
      <c r="H201" s="43"/>
      <c r="I201" s="42"/>
      <c r="J201" s="44"/>
      <c r="K201" s="44"/>
      <c r="L201" s="44"/>
      <c r="M201" s="45" t="str">
        <f t="shared" si="10"/>
        <v>Pass</v>
      </c>
      <c r="N201" s="46" t="str">
        <f>IFERROR(VLOOKUP(D201,'[1]Product Datasheet'!$A:$G,4,0),"")</f>
        <v/>
      </c>
      <c r="O201" s="47" t="str">
        <f>IFERROR(VLOOKUP(D201,'[1]Product Datasheet'!$A:$G,5,0),"")</f>
        <v/>
      </c>
      <c r="P201" s="47" t="str">
        <f>IFERROR(VLOOKUP(D201,'[1]Product Datasheet'!$A:$G,6,0),"")</f>
        <v/>
      </c>
      <c r="Q201" s="47" t="str">
        <f>IFERROR(VLOOKUP(D201,'[1]Product Datasheet'!$A:$G,7,0), "")</f>
        <v/>
      </c>
      <c r="R201" s="48"/>
      <c r="S201" s="49" t="str">
        <f t="shared" si="9"/>
        <v>Accept</v>
      </c>
      <c r="T201" s="50"/>
      <c r="U201" s="51"/>
    </row>
    <row r="202" spans="1:21" ht="24.75" customHeight="1" x14ac:dyDescent="0.3">
      <c r="A202" s="38" t="str">
        <f>IFERROR(VLOOKUP(D202,'[1]Product Datasheet'!$A:$G,2,0),"")</f>
        <v/>
      </c>
      <c r="B202" s="39" t="str">
        <f>IFERROR(VLOOKUP(D202,'[1]Product Datasheet'!$A:$G,3,0),"")</f>
        <v/>
      </c>
      <c r="C202" s="40"/>
      <c r="D202" s="41"/>
      <c r="E202" s="41"/>
      <c r="F202" s="41"/>
      <c r="G202" s="42"/>
      <c r="H202" s="43"/>
      <c r="I202" s="42"/>
      <c r="J202" s="44"/>
      <c r="K202" s="44"/>
      <c r="L202" s="44"/>
      <c r="M202" s="45" t="str">
        <f t="shared" si="10"/>
        <v>Pass</v>
      </c>
      <c r="N202" s="46" t="str">
        <f>IFERROR(VLOOKUP(D202,'[1]Product Datasheet'!$A:$G,4,0),"")</f>
        <v/>
      </c>
      <c r="O202" s="47" t="str">
        <f>IFERROR(VLOOKUP(D202,'[1]Product Datasheet'!$A:$G,5,0),"")</f>
        <v/>
      </c>
      <c r="P202" s="47" t="str">
        <f>IFERROR(VLOOKUP(D202,'[1]Product Datasheet'!$A:$G,6,0),"")</f>
        <v/>
      </c>
      <c r="Q202" s="47" t="str">
        <f>IFERROR(VLOOKUP(D202,'[1]Product Datasheet'!$A:$G,7,0), "")</f>
        <v/>
      </c>
      <c r="R202" s="48"/>
      <c r="S202" s="49" t="str">
        <f t="shared" si="9"/>
        <v>Accept</v>
      </c>
      <c r="T202" s="50"/>
      <c r="U202" s="51"/>
    </row>
    <row r="203" spans="1:21" ht="24.75" customHeight="1" x14ac:dyDescent="0.3">
      <c r="A203" s="38" t="str">
        <f>IFERROR(VLOOKUP(D203,'[1]Product Datasheet'!$A:$G,2,0),"")</f>
        <v/>
      </c>
      <c r="B203" s="39" t="str">
        <f>IFERROR(VLOOKUP(D203,'[1]Product Datasheet'!$A:$G,3,0),"")</f>
        <v/>
      </c>
      <c r="C203" s="40"/>
      <c r="D203" s="41"/>
      <c r="E203" s="41"/>
      <c r="F203" s="41"/>
      <c r="G203" s="42"/>
      <c r="H203" s="43"/>
      <c r="I203" s="42"/>
      <c r="J203" s="44"/>
      <c r="K203" s="44"/>
      <c r="L203" s="44"/>
      <c r="M203" s="45" t="str">
        <f t="shared" si="10"/>
        <v>Pass</v>
      </c>
      <c r="N203" s="46" t="str">
        <f>IFERROR(VLOOKUP(D203,'[1]Product Datasheet'!$A:$G,4,0),"")</f>
        <v/>
      </c>
      <c r="O203" s="47" t="str">
        <f>IFERROR(VLOOKUP(D203,'[1]Product Datasheet'!$A:$G,5,0),"")</f>
        <v/>
      </c>
      <c r="P203" s="47" t="str">
        <f>IFERROR(VLOOKUP(D203,'[1]Product Datasheet'!$A:$G,6,0),"")</f>
        <v/>
      </c>
      <c r="Q203" s="47" t="str">
        <f>IFERROR(VLOOKUP(D203,'[1]Product Datasheet'!$A:$G,7,0), "")</f>
        <v/>
      </c>
      <c r="R203" s="48"/>
      <c r="S203" s="49" t="str">
        <f t="shared" si="9"/>
        <v>Accept</v>
      </c>
      <c r="T203" s="50"/>
      <c r="U203" s="51"/>
    </row>
    <row r="204" spans="1:21" ht="24.75" customHeight="1" x14ac:dyDescent="0.3">
      <c r="A204" s="38" t="str">
        <f>IFERROR(VLOOKUP(D204,'[1]Product Datasheet'!$A:$G,2,0),"")</f>
        <v/>
      </c>
      <c r="B204" s="39" t="str">
        <f>IFERROR(VLOOKUP(D204,'[1]Product Datasheet'!$A:$G,3,0),"")</f>
        <v/>
      </c>
      <c r="C204" s="40"/>
      <c r="D204" s="41"/>
      <c r="E204" s="41"/>
      <c r="F204" s="41"/>
      <c r="G204" s="42"/>
      <c r="H204" s="43"/>
      <c r="I204" s="42"/>
      <c r="J204" s="44"/>
      <c r="K204" s="44"/>
      <c r="L204" s="44"/>
      <c r="M204" s="45" t="str">
        <f t="shared" si="10"/>
        <v>Pass</v>
      </c>
      <c r="N204" s="46" t="str">
        <f>IFERROR(VLOOKUP(D204,'[1]Product Datasheet'!$A:$G,4,0),"")</f>
        <v/>
      </c>
      <c r="O204" s="47" t="str">
        <f>IFERROR(VLOOKUP(D204,'[1]Product Datasheet'!$A:$G,5,0),"")</f>
        <v/>
      </c>
      <c r="P204" s="47" t="str">
        <f>IFERROR(VLOOKUP(D204,'[1]Product Datasheet'!$A:$G,6,0),"")</f>
        <v/>
      </c>
      <c r="Q204" s="47" t="str">
        <f>IFERROR(VLOOKUP(D204,'[1]Product Datasheet'!$A:$G,7,0), "")</f>
        <v/>
      </c>
      <c r="R204" s="48"/>
      <c r="S204" s="49" t="str">
        <f t="shared" si="9"/>
        <v>Accept</v>
      </c>
      <c r="T204" s="50"/>
      <c r="U204" s="51"/>
    </row>
    <row r="205" spans="1:21" ht="24.75" customHeight="1" x14ac:dyDescent="0.3">
      <c r="A205" s="38" t="str">
        <f>IFERROR(VLOOKUP(D205,'[1]Product Datasheet'!$A:$G,2,0),"")</f>
        <v/>
      </c>
      <c r="B205" s="39" t="str">
        <f>IFERROR(VLOOKUP(D205,'[1]Product Datasheet'!$A:$G,3,0),"")</f>
        <v/>
      </c>
      <c r="C205" s="40"/>
      <c r="D205" s="41"/>
      <c r="E205" s="41"/>
      <c r="F205" s="41"/>
      <c r="G205" s="42"/>
      <c r="H205" s="43"/>
      <c r="I205" s="42"/>
      <c r="J205" s="44"/>
      <c r="K205" s="44"/>
      <c r="L205" s="44"/>
      <c r="M205" s="45" t="str">
        <f t="shared" si="10"/>
        <v>Pass</v>
      </c>
      <c r="N205" s="46" t="str">
        <f>IFERROR(VLOOKUP(D205,'[1]Product Datasheet'!$A:$G,4,0),"")</f>
        <v/>
      </c>
      <c r="O205" s="47" t="str">
        <f>IFERROR(VLOOKUP(D205,'[1]Product Datasheet'!$A:$G,5,0),"")</f>
        <v/>
      </c>
      <c r="P205" s="47" t="str">
        <f>IFERROR(VLOOKUP(D205,'[1]Product Datasheet'!$A:$G,6,0),"")</f>
        <v/>
      </c>
      <c r="Q205" s="47" t="str">
        <f>IFERROR(VLOOKUP(D205,'[1]Product Datasheet'!$A:$G,7,0), "")</f>
        <v/>
      </c>
      <c r="R205" s="48"/>
      <c r="S205" s="49" t="str">
        <f t="shared" si="9"/>
        <v>Accept</v>
      </c>
      <c r="T205" s="50"/>
      <c r="U205" s="51"/>
    </row>
    <row r="206" spans="1:21" ht="24.75" customHeight="1" x14ac:dyDescent="0.3">
      <c r="A206" s="38" t="str">
        <f>IFERROR(VLOOKUP(D206,'[1]Product Datasheet'!$A:$G,2,0),"")</f>
        <v/>
      </c>
      <c r="B206" s="39" t="str">
        <f>IFERROR(VLOOKUP(D206,'[1]Product Datasheet'!$A:$G,3,0),"")</f>
        <v/>
      </c>
      <c r="C206" s="40"/>
      <c r="D206" s="41"/>
      <c r="E206" s="41"/>
      <c r="F206" s="41"/>
      <c r="G206" s="42"/>
      <c r="H206" s="43"/>
      <c r="I206" s="42"/>
      <c r="J206" s="44"/>
      <c r="K206" s="44"/>
      <c r="L206" s="44"/>
      <c r="M206" s="45" t="str">
        <f t="shared" si="10"/>
        <v>Pass</v>
      </c>
      <c r="N206" s="46" t="str">
        <f>IFERROR(VLOOKUP(D206,'[1]Product Datasheet'!$A:$G,4,0),"")</f>
        <v/>
      </c>
      <c r="O206" s="47" t="str">
        <f>IFERROR(VLOOKUP(D206,'[1]Product Datasheet'!$A:$G,5,0),"")</f>
        <v/>
      </c>
      <c r="P206" s="47" t="str">
        <f>IFERROR(VLOOKUP(D206,'[1]Product Datasheet'!$A:$G,6,0),"")</f>
        <v/>
      </c>
      <c r="Q206" s="47" t="str">
        <f>IFERROR(VLOOKUP(D206,'[1]Product Datasheet'!$A:$G,7,0), "")</f>
        <v/>
      </c>
      <c r="R206" s="48"/>
      <c r="S206" s="49" t="str">
        <f t="shared" si="9"/>
        <v>Accept</v>
      </c>
      <c r="T206" s="50"/>
      <c r="U206" s="51"/>
    </row>
    <row r="207" spans="1:21" ht="24.75" customHeight="1" x14ac:dyDescent="0.3">
      <c r="A207" s="38" t="str">
        <f>IFERROR(VLOOKUP(D207,'[1]Product Datasheet'!$A:$G,2,0),"")</f>
        <v/>
      </c>
      <c r="B207" s="39" t="str">
        <f>IFERROR(VLOOKUP(D207,'[1]Product Datasheet'!$A:$G,3,0),"")</f>
        <v/>
      </c>
      <c r="C207" s="40"/>
      <c r="D207" s="41"/>
      <c r="E207" s="41"/>
      <c r="F207" s="41"/>
      <c r="G207" s="42"/>
      <c r="H207" s="43"/>
      <c r="I207" s="42"/>
      <c r="J207" s="44"/>
      <c r="K207" s="44"/>
      <c r="L207" s="44"/>
      <c r="M207" s="45" t="str">
        <f t="shared" si="10"/>
        <v>Pass</v>
      </c>
      <c r="N207" s="46" t="str">
        <f>IFERROR(VLOOKUP(D207,'[1]Product Datasheet'!$A:$G,4,0),"")</f>
        <v/>
      </c>
      <c r="O207" s="47" t="str">
        <f>IFERROR(VLOOKUP(D207,'[1]Product Datasheet'!$A:$G,5,0),"")</f>
        <v/>
      </c>
      <c r="P207" s="47" t="str">
        <f>IFERROR(VLOOKUP(D207,'[1]Product Datasheet'!$A:$G,6,0),"")</f>
        <v/>
      </c>
      <c r="Q207" s="47" t="str">
        <f>IFERROR(VLOOKUP(D207,'[1]Product Datasheet'!$A:$G,7,0), "")</f>
        <v/>
      </c>
      <c r="R207" s="48"/>
      <c r="S207" s="49" t="str">
        <f t="shared" si="9"/>
        <v>Accept</v>
      </c>
      <c r="T207" s="50"/>
      <c r="U207" s="51"/>
    </row>
    <row r="208" spans="1:21" ht="24.75" customHeight="1" x14ac:dyDescent="0.3">
      <c r="A208" s="38" t="str">
        <f>IFERROR(VLOOKUP(D208,'[1]Product Datasheet'!$A:$G,2,0),"")</f>
        <v/>
      </c>
      <c r="B208" s="39" t="str">
        <f>IFERROR(VLOOKUP(D208,'[1]Product Datasheet'!$A:$G,3,0),"")</f>
        <v/>
      </c>
      <c r="C208" s="40"/>
      <c r="D208" s="41"/>
      <c r="E208" s="41"/>
      <c r="F208" s="41"/>
      <c r="G208" s="42"/>
      <c r="H208" s="43"/>
      <c r="I208" s="42"/>
      <c r="J208" s="44"/>
      <c r="K208" s="44"/>
      <c r="L208" s="44"/>
      <c r="M208" s="45" t="str">
        <f t="shared" si="10"/>
        <v>Pass</v>
      </c>
      <c r="N208" s="46" t="str">
        <f>IFERROR(VLOOKUP(D208,'[1]Product Datasheet'!$A:$G,4,0),"")</f>
        <v/>
      </c>
      <c r="O208" s="47" t="str">
        <f>IFERROR(VLOOKUP(D208,'[1]Product Datasheet'!$A:$G,5,0),"")</f>
        <v/>
      </c>
      <c r="P208" s="47" t="str">
        <f>IFERROR(VLOOKUP(D208,'[1]Product Datasheet'!$A:$G,6,0),"")</f>
        <v/>
      </c>
      <c r="Q208" s="47" t="str">
        <f>IFERROR(VLOOKUP(D208,'[1]Product Datasheet'!$A:$G,7,0), "")</f>
        <v/>
      </c>
      <c r="R208" s="48"/>
      <c r="S208" s="49" t="str">
        <f t="shared" si="9"/>
        <v>Accept</v>
      </c>
      <c r="T208" s="50"/>
      <c r="U208" s="51"/>
    </row>
    <row r="209" spans="1:21" ht="24.75" customHeight="1" x14ac:dyDescent="0.3">
      <c r="A209" s="38" t="str">
        <f>IFERROR(VLOOKUP(D209,'[1]Product Datasheet'!$A:$G,2,0),"")</f>
        <v/>
      </c>
      <c r="B209" s="39" t="str">
        <f>IFERROR(VLOOKUP(D209,'[1]Product Datasheet'!$A:$G,3,0),"")</f>
        <v/>
      </c>
      <c r="C209" s="40"/>
      <c r="D209" s="41"/>
      <c r="E209" s="41"/>
      <c r="F209" s="41"/>
      <c r="G209" s="42"/>
      <c r="H209" s="43"/>
      <c r="I209" s="42"/>
      <c r="J209" s="44"/>
      <c r="K209" s="44"/>
      <c r="L209" s="44"/>
      <c r="M209" s="45" t="str">
        <f t="shared" si="10"/>
        <v>Pass</v>
      </c>
      <c r="N209" s="46" t="str">
        <f>IFERROR(VLOOKUP(D209,'[1]Product Datasheet'!$A:$G,4,0),"")</f>
        <v/>
      </c>
      <c r="O209" s="47" t="str">
        <f>IFERROR(VLOOKUP(D209,'[1]Product Datasheet'!$A:$G,5,0),"")</f>
        <v/>
      </c>
      <c r="P209" s="47" t="str">
        <f>IFERROR(VLOOKUP(D209,'[1]Product Datasheet'!$A:$G,6,0),"")</f>
        <v/>
      </c>
      <c r="Q209" s="47" t="str">
        <f>IFERROR(VLOOKUP(D209,'[1]Product Datasheet'!$A:$G,7,0), "")</f>
        <v/>
      </c>
      <c r="R209" s="48"/>
      <c r="S209" s="49" t="str">
        <f t="shared" si="9"/>
        <v>Accept</v>
      </c>
      <c r="T209" s="50"/>
      <c r="U209" s="51"/>
    </row>
    <row r="210" spans="1:21" ht="24.75" customHeight="1" x14ac:dyDescent="0.3">
      <c r="A210" s="38" t="str">
        <f>IFERROR(VLOOKUP(D210,'[1]Product Datasheet'!$A:$G,2,0),"")</f>
        <v/>
      </c>
      <c r="B210" s="39" t="str">
        <f>IFERROR(VLOOKUP(D210,'[1]Product Datasheet'!$A:$G,3,0),"")</f>
        <v/>
      </c>
      <c r="C210" s="40"/>
      <c r="D210" s="41"/>
      <c r="E210" s="41"/>
      <c r="F210" s="41"/>
      <c r="G210" s="42"/>
      <c r="H210" s="43"/>
      <c r="I210" s="42"/>
      <c r="J210" s="44"/>
      <c r="K210" s="44"/>
      <c r="L210" s="44"/>
      <c r="M210" s="45" t="str">
        <f t="shared" si="10"/>
        <v>Pass</v>
      </c>
      <c r="N210" s="46" t="str">
        <f>IFERROR(VLOOKUP(D210,'[1]Product Datasheet'!$A:$G,4,0),"")</f>
        <v/>
      </c>
      <c r="O210" s="47" t="str">
        <f>IFERROR(VLOOKUP(D210,'[1]Product Datasheet'!$A:$G,5,0),"")</f>
        <v/>
      </c>
      <c r="P210" s="47" t="str">
        <f>IFERROR(VLOOKUP(D210,'[1]Product Datasheet'!$A:$G,6,0),"")</f>
        <v/>
      </c>
      <c r="Q210" s="47" t="str">
        <f>IFERROR(VLOOKUP(D210,'[1]Product Datasheet'!$A:$G,7,0), "")</f>
        <v/>
      </c>
      <c r="R210" s="48"/>
      <c r="S210" s="49" t="str">
        <f t="shared" si="9"/>
        <v>Accept</v>
      </c>
      <c r="T210" s="50"/>
      <c r="U210" s="51"/>
    </row>
    <row r="211" spans="1:21" ht="24.75" customHeight="1" x14ac:dyDescent="0.3">
      <c r="A211" s="38" t="str">
        <f>IFERROR(VLOOKUP(D211,'[1]Product Datasheet'!$A:$G,2,0),"")</f>
        <v/>
      </c>
      <c r="B211" s="39" t="str">
        <f>IFERROR(VLOOKUP(D211,'[1]Product Datasheet'!$A:$G,3,0),"")</f>
        <v/>
      </c>
      <c r="C211" s="40"/>
      <c r="D211" s="41"/>
      <c r="E211" s="41"/>
      <c r="F211" s="41"/>
      <c r="G211" s="42"/>
      <c r="H211" s="43"/>
      <c r="I211" s="42"/>
      <c r="J211" s="44"/>
      <c r="K211" s="44"/>
      <c r="L211" s="44"/>
      <c r="M211" s="45" t="str">
        <f t="shared" si="10"/>
        <v>Pass</v>
      </c>
      <c r="N211" s="46" t="str">
        <f>IFERROR(VLOOKUP(D211,'[1]Product Datasheet'!$A:$G,4,0),"")</f>
        <v/>
      </c>
      <c r="O211" s="47" t="str">
        <f>IFERROR(VLOOKUP(D211,'[1]Product Datasheet'!$A:$G,5,0),"")</f>
        <v/>
      </c>
      <c r="P211" s="47" t="str">
        <f>IFERROR(VLOOKUP(D211,'[1]Product Datasheet'!$A:$G,6,0),"")</f>
        <v/>
      </c>
      <c r="Q211" s="47" t="str">
        <f>IFERROR(VLOOKUP(D211,'[1]Product Datasheet'!$A:$G,7,0), "")</f>
        <v/>
      </c>
      <c r="R211" s="48"/>
      <c r="S211" s="49" t="str">
        <f t="shared" si="9"/>
        <v>Accept</v>
      </c>
      <c r="T211" s="50"/>
      <c r="U211" s="51"/>
    </row>
    <row r="212" spans="1:21" ht="24.75" customHeight="1" x14ac:dyDescent="0.3">
      <c r="A212" s="38" t="str">
        <f>IFERROR(VLOOKUP(D212,'[1]Product Datasheet'!$A:$G,2,0),"")</f>
        <v/>
      </c>
      <c r="B212" s="39" t="str">
        <f>IFERROR(VLOOKUP(D212,'[1]Product Datasheet'!$A:$G,3,0),"")</f>
        <v/>
      </c>
      <c r="C212" s="40"/>
      <c r="D212" s="41"/>
      <c r="E212" s="41"/>
      <c r="F212" s="41"/>
      <c r="G212" s="42"/>
      <c r="H212" s="43"/>
      <c r="I212" s="42"/>
      <c r="J212" s="44"/>
      <c r="K212" s="44"/>
      <c r="L212" s="44"/>
      <c r="M212" s="45" t="str">
        <f t="shared" si="10"/>
        <v>Pass</v>
      </c>
      <c r="N212" s="46" t="str">
        <f>IFERROR(VLOOKUP(D212,'[1]Product Datasheet'!$A:$G,4,0),"")</f>
        <v/>
      </c>
      <c r="O212" s="47" t="str">
        <f>IFERROR(VLOOKUP(D212,'[1]Product Datasheet'!$A:$G,5,0),"")</f>
        <v/>
      </c>
      <c r="P212" s="47" t="str">
        <f>IFERROR(VLOOKUP(D212,'[1]Product Datasheet'!$A:$G,6,0),"")</f>
        <v/>
      </c>
      <c r="Q212" s="47" t="str">
        <f>IFERROR(VLOOKUP(D212,'[1]Product Datasheet'!$A:$G,7,0), "")</f>
        <v/>
      </c>
      <c r="R212" s="48"/>
      <c r="S212" s="49" t="str">
        <f t="shared" si="9"/>
        <v>Accept</v>
      </c>
      <c r="T212" s="50"/>
      <c r="U212" s="51"/>
    </row>
    <row r="213" spans="1:21" ht="24.75" customHeight="1" x14ac:dyDescent="0.3">
      <c r="A213" s="38" t="str">
        <f>IFERROR(VLOOKUP(D213,'[1]Product Datasheet'!$A:$G,2,0),"")</f>
        <v/>
      </c>
      <c r="B213" s="39" t="str">
        <f>IFERROR(VLOOKUP(D213,'[1]Product Datasheet'!$A:$G,3,0),"")</f>
        <v/>
      </c>
      <c r="C213" s="40"/>
      <c r="D213" s="41"/>
      <c r="E213" s="41"/>
      <c r="F213" s="41"/>
      <c r="G213" s="42"/>
      <c r="H213" s="43"/>
      <c r="I213" s="42"/>
      <c r="J213" s="44"/>
      <c r="K213" s="44"/>
      <c r="L213" s="44"/>
      <c r="M213" s="45" t="str">
        <f t="shared" si="10"/>
        <v>Pass</v>
      </c>
      <c r="N213" s="46" t="str">
        <f>IFERROR(VLOOKUP(D213,'[1]Product Datasheet'!$A:$G,4,0),"")</f>
        <v/>
      </c>
      <c r="O213" s="47" t="str">
        <f>IFERROR(VLOOKUP(D213,'[1]Product Datasheet'!$A:$G,5,0),"")</f>
        <v/>
      </c>
      <c r="P213" s="47" t="str">
        <f>IFERROR(VLOOKUP(D213,'[1]Product Datasheet'!$A:$G,6,0),"")</f>
        <v/>
      </c>
      <c r="Q213" s="47" t="str">
        <f>IFERROR(VLOOKUP(D213,'[1]Product Datasheet'!$A:$G,7,0), "")</f>
        <v/>
      </c>
      <c r="R213" s="48"/>
      <c r="S213" s="49" t="str">
        <f t="shared" si="9"/>
        <v>Accept</v>
      </c>
      <c r="T213" s="50"/>
      <c r="U213" s="51"/>
    </row>
    <row r="214" spans="1:21" ht="24.75" customHeight="1" x14ac:dyDescent="0.3">
      <c r="A214" s="38" t="str">
        <f>IFERROR(VLOOKUP(D214,'[1]Product Datasheet'!$A:$G,2,0),"")</f>
        <v/>
      </c>
      <c r="B214" s="39" t="str">
        <f>IFERROR(VLOOKUP(D214,'[1]Product Datasheet'!$A:$G,3,0),"")</f>
        <v/>
      </c>
      <c r="C214" s="40"/>
      <c r="D214" s="41"/>
      <c r="E214" s="41"/>
      <c r="F214" s="41"/>
      <c r="G214" s="42"/>
      <c r="H214" s="43"/>
      <c r="I214" s="42"/>
      <c r="J214" s="44"/>
      <c r="K214" s="44"/>
      <c r="L214" s="44"/>
      <c r="M214" s="45" t="str">
        <f t="shared" si="10"/>
        <v>Pass</v>
      </c>
      <c r="N214" s="46" t="str">
        <f>IFERROR(VLOOKUP(D214,'[1]Product Datasheet'!$A:$G,4,0),"")</f>
        <v/>
      </c>
      <c r="O214" s="47" t="str">
        <f>IFERROR(VLOOKUP(D214,'[1]Product Datasheet'!$A:$G,5,0),"")</f>
        <v/>
      </c>
      <c r="P214" s="47" t="str">
        <f>IFERROR(VLOOKUP(D214,'[1]Product Datasheet'!$A:$G,6,0),"")</f>
        <v/>
      </c>
      <c r="Q214" s="47" t="str">
        <f>IFERROR(VLOOKUP(D214,'[1]Product Datasheet'!$A:$G,7,0), "")</f>
        <v/>
      </c>
      <c r="R214" s="48"/>
      <c r="S214" s="49" t="str">
        <f t="shared" si="9"/>
        <v>Accept</v>
      </c>
      <c r="T214" s="50"/>
      <c r="U214" s="51"/>
    </row>
    <row r="215" spans="1:21" ht="24.75" customHeight="1" x14ac:dyDescent="0.3">
      <c r="A215" s="38" t="str">
        <f>IFERROR(VLOOKUP(D215,'[1]Product Datasheet'!$A:$G,2,0),"")</f>
        <v/>
      </c>
      <c r="B215" s="39" t="str">
        <f>IFERROR(VLOOKUP(D215,'[1]Product Datasheet'!$A:$G,3,0),"")</f>
        <v/>
      </c>
      <c r="C215" s="40"/>
      <c r="D215" s="41"/>
      <c r="E215" s="41"/>
      <c r="F215" s="41"/>
      <c r="G215" s="42"/>
      <c r="H215" s="43"/>
      <c r="I215" s="42"/>
      <c r="J215" s="44"/>
      <c r="K215" s="44"/>
      <c r="L215" s="44"/>
      <c r="M215" s="45" t="str">
        <f t="shared" si="10"/>
        <v>Pass</v>
      </c>
      <c r="N215" s="46" t="str">
        <f>IFERROR(VLOOKUP(D215,'[1]Product Datasheet'!$A:$G,4,0),"")</f>
        <v/>
      </c>
      <c r="O215" s="47" t="str">
        <f>IFERROR(VLOOKUP(D215,'[1]Product Datasheet'!$A:$G,5,0),"")</f>
        <v/>
      </c>
      <c r="P215" s="47" t="str">
        <f>IFERROR(VLOOKUP(D215,'[1]Product Datasheet'!$A:$G,6,0),"")</f>
        <v/>
      </c>
      <c r="Q215" s="47" t="str">
        <f>IFERROR(VLOOKUP(D215,'[1]Product Datasheet'!$A:$G,7,0), "")</f>
        <v/>
      </c>
      <c r="R215" s="48"/>
      <c r="S215" s="49" t="str">
        <f t="shared" si="9"/>
        <v>Accept</v>
      </c>
      <c r="T215" s="50"/>
      <c r="U215" s="51"/>
    </row>
    <row r="216" spans="1:21" ht="24.75" customHeight="1" x14ac:dyDescent="0.3">
      <c r="A216" s="38" t="str">
        <f>IFERROR(VLOOKUP(D216,'[1]Product Datasheet'!$A:$G,2,0),"")</f>
        <v/>
      </c>
      <c r="B216" s="39" t="str">
        <f>IFERROR(VLOOKUP(D216,'[1]Product Datasheet'!$A:$G,3,0),"")</f>
        <v/>
      </c>
      <c r="C216" s="40"/>
      <c r="D216" s="41"/>
      <c r="E216" s="41"/>
      <c r="F216" s="41"/>
      <c r="G216" s="42"/>
      <c r="H216" s="43"/>
      <c r="I216" s="42"/>
      <c r="J216" s="44"/>
      <c r="K216" s="44"/>
      <c r="L216" s="44"/>
      <c r="M216" s="45" t="str">
        <f t="shared" si="10"/>
        <v>Pass</v>
      </c>
      <c r="N216" s="46" t="str">
        <f>IFERROR(VLOOKUP(D216,'[1]Product Datasheet'!$A:$G,4,0),"")</f>
        <v/>
      </c>
      <c r="O216" s="47" t="str">
        <f>IFERROR(VLOOKUP(D216,'[1]Product Datasheet'!$A:$G,5,0),"")</f>
        <v/>
      </c>
      <c r="P216" s="47" t="str">
        <f>IFERROR(VLOOKUP(D216,'[1]Product Datasheet'!$A:$G,6,0),"")</f>
        <v/>
      </c>
      <c r="Q216" s="47" t="str">
        <f>IFERROR(VLOOKUP(D216,'[1]Product Datasheet'!$A:$G,7,0), "")</f>
        <v/>
      </c>
      <c r="R216" s="48"/>
      <c r="S216" s="49" t="str">
        <f t="shared" si="9"/>
        <v>Accept</v>
      </c>
      <c r="T216" s="50"/>
      <c r="U216" s="51"/>
    </row>
    <row r="217" spans="1:21" ht="24.75" customHeight="1" x14ac:dyDescent="0.3">
      <c r="A217" s="38" t="str">
        <f>IFERROR(VLOOKUP(D217,'[1]Product Datasheet'!$A:$G,2,0),"")</f>
        <v/>
      </c>
      <c r="B217" s="39" t="str">
        <f>IFERROR(VLOOKUP(D217,'[1]Product Datasheet'!$A:$G,3,0),"")</f>
        <v/>
      </c>
      <c r="C217" s="40"/>
      <c r="D217" s="41"/>
      <c r="E217" s="41"/>
      <c r="F217" s="41"/>
      <c r="G217" s="42"/>
      <c r="H217" s="43"/>
      <c r="I217" s="42"/>
      <c r="J217" s="44"/>
      <c r="K217" s="44"/>
      <c r="L217" s="44"/>
      <c r="M217" s="45" t="str">
        <f t="shared" si="10"/>
        <v>Pass</v>
      </c>
      <c r="N217" s="46" t="str">
        <f>IFERROR(VLOOKUP(D217,'[1]Product Datasheet'!$A:$G,4,0),"")</f>
        <v/>
      </c>
      <c r="O217" s="47" t="str">
        <f>IFERROR(VLOOKUP(D217,'[1]Product Datasheet'!$A:$G,5,0),"")</f>
        <v/>
      </c>
      <c r="P217" s="47" t="str">
        <f>IFERROR(VLOOKUP(D217,'[1]Product Datasheet'!$A:$G,6,0),"")</f>
        <v/>
      </c>
      <c r="Q217" s="47" t="str">
        <f>IFERROR(VLOOKUP(D217,'[1]Product Datasheet'!$A:$G,7,0), "")</f>
        <v/>
      </c>
      <c r="R217" s="48"/>
      <c r="S217" s="49" t="str">
        <f t="shared" si="9"/>
        <v>Accept</v>
      </c>
      <c r="T217" s="50"/>
      <c r="U217" s="51"/>
    </row>
    <row r="218" spans="1:21" ht="24.75" customHeight="1" x14ac:dyDescent="0.3">
      <c r="A218" s="38" t="str">
        <f>IFERROR(VLOOKUP(D218,'[1]Product Datasheet'!$A:$G,2,0),"")</f>
        <v/>
      </c>
      <c r="B218" s="39" t="str">
        <f>IFERROR(VLOOKUP(D218,'[1]Product Datasheet'!$A:$G,3,0),"")</f>
        <v/>
      </c>
      <c r="C218" s="40"/>
      <c r="D218" s="41"/>
      <c r="E218" s="41"/>
      <c r="F218" s="41"/>
      <c r="G218" s="42"/>
      <c r="H218" s="43"/>
      <c r="I218" s="42"/>
      <c r="J218" s="44"/>
      <c r="K218" s="44"/>
      <c r="L218" s="44"/>
      <c r="M218" s="45" t="str">
        <f t="shared" si="10"/>
        <v>Pass</v>
      </c>
      <c r="N218" s="46" t="str">
        <f>IFERROR(VLOOKUP(D218,'[1]Product Datasheet'!$A:$G,4,0),"")</f>
        <v/>
      </c>
      <c r="O218" s="47" t="str">
        <f>IFERROR(VLOOKUP(D218,'[1]Product Datasheet'!$A:$G,5,0),"")</f>
        <v/>
      </c>
      <c r="P218" s="47" t="str">
        <f>IFERROR(VLOOKUP(D218,'[1]Product Datasheet'!$A:$G,6,0),"")</f>
        <v/>
      </c>
      <c r="Q218" s="47" t="str">
        <f>IFERROR(VLOOKUP(D218,'[1]Product Datasheet'!$A:$G,7,0), "")</f>
        <v/>
      </c>
      <c r="R218" s="48"/>
      <c r="S218" s="49" t="str">
        <f t="shared" ref="S218:S281" si="11">IFERROR(IF(AND(ROUND(H218, 2)&lt;=Q218, ROUND(G218,1)&lt;=O218), "Accept", "Reject"),"Reject")</f>
        <v>Accept</v>
      </c>
      <c r="T218" s="50"/>
      <c r="U218" s="51"/>
    </row>
    <row r="219" spans="1:21" ht="24.75" customHeight="1" x14ac:dyDescent="0.3">
      <c r="A219" s="38" t="str">
        <f>IFERROR(VLOOKUP(D219,'[1]Product Datasheet'!$A:$G,2,0),"")</f>
        <v/>
      </c>
      <c r="B219" s="39" t="str">
        <f>IFERROR(VLOOKUP(D219,'[1]Product Datasheet'!$A:$G,3,0),"")</f>
        <v/>
      </c>
      <c r="C219" s="40"/>
      <c r="D219" s="41"/>
      <c r="E219" s="41"/>
      <c r="F219" s="41"/>
      <c r="G219" s="42"/>
      <c r="H219" s="43"/>
      <c r="I219" s="42"/>
      <c r="J219" s="44"/>
      <c r="K219" s="44"/>
      <c r="L219" s="44"/>
      <c r="M219" s="45" t="str">
        <f t="shared" si="10"/>
        <v>Pass</v>
      </c>
      <c r="N219" s="46" t="str">
        <f>IFERROR(VLOOKUP(D219,'[1]Product Datasheet'!$A:$G,4,0),"")</f>
        <v/>
      </c>
      <c r="O219" s="47" t="str">
        <f>IFERROR(VLOOKUP(D219,'[1]Product Datasheet'!$A:$G,5,0),"")</f>
        <v/>
      </c>
      <c r="P219" s="47" t="str">
        <f>IFERROR(VLOOKUP(D219,'[1]Product Datasheet'!$A:$G,6,0),"")</f>
        <v/>
      </c>
      <c r="Q219" s="47" t="str">
        <f>IFERROR(VLOOKUP(D219,'[1]Product Datasheet'!$A:$G,7,0), "")</f>
        <v/>
      </c>
      <c r="R219" s="48"/>
      <c r="S219" s="49" t="str">
        <f t="shared" si="11"/>
        <v>Accept</v>
      </c>
      <c r="T219" s="50"/>
      <c r="U219" s="51"/>
    </row>
    <row r="220" spans="1:21" ht="24.75" customHeight="1" x14ac:dyDescent="0.3">
      <c r="A220" s="38" t="str">
        <f>IFERROR(VLOOKUP(D220,'[1]Product Datasheet'!$A:$G,2,0),"")</f>
        <v/>
      </c>
      <c r="B220" s="39" t="str">
        <f>IFERROR(VLOOKUP(D220,'[1]Product Datasheet'!$A:$G,3,0),"")</f>
        <v/>
      </c>
      <c r="C220" s="40"/>
      <c r="D220" s="41"/>
      <c r="E220" s="41"/>
      <c r="F220" s="41"/>
      <c r="G220" s="42"/>
      <c r="H220" s="43"/>
      <c r="I220" s="42"/>
      <c r="J220" s="44"/>
      <c r="K220" s="44"/>
      <c r="L220" s="44"/>
      <c r="M220" s="45" t="str">
        <f t="shared" si="10"/>
        <v>Pass</v>
      </c>
      <c r="N220" s="46" t="str">
        <f>IFERROR(VLOOKUP(D220,'[1]Product Datasheet'!$A:$G,4,0),"")</f>
        <v/>
      </c>
      <c r="O220" s="47" t="str">
        <f>IFERROR(VLOOKUP(D220,'[1]Product Datasheet'!$A:$G,5,0),"")</f>
        <v/>
      </c>
      <c r="P220" s="47" t="str">
        <f>IFERROR(VLOOKUP(D220,'[1]Product Datasheet'!$A:$G,6,0),"")</f>
        <v/>
      </c>
      <c r="Q220" s="47" t="str">
        <f>IFERROR(VLOOKUP(D220,'[1]Product Datasheet'!$A:$G,7,0), "")</f>
        <v/>
      </c>
      <c r="R220" s="48"/>
      <c r="S220" s="49" t="str">
        <f t="shared" si="11"/>
        <v>Accept</v>
      </c>
      <c r="T220" s="50"/>
      <c r="U220" s="51"/>
    </row>
    <row r="221" spans="1:21" ht="24.75" customHeight="1" x14ac:dyDescent="0.3">
      <c r="A221" s="38" t="str">
        <f>IFERROR(VLOOKUP(D221,'[1]Product Datasheet'!$A:$G,2,0),"")</f>
        <v/>
      </c>
      <c r="B221" s="39" t="str">
        <f>IFERROR(VLOOKUP(D221,'[1]Product Datasheet'!$A:$G,3,0),"")</f>
        <v/>
      </c>
      <c r="C221" s="40"/>
      <c r="D221" s="41"/>
      <c r="E221" s="41"/>
      <c r="F221" s="41"/>
      <c r="G221" s="42"/>
      <c r="H221" s="43"/>
      <c r="I221" s="42"/>
      <c r="J221" s="44"/>
      <c r="K221" s="44"/>
      <c r="L221" s="44"/>
      <c r="M221" s="45" t="str">
        <f t="shared" si="10"/>
        <v>Pass</v>
      </c>
      <c r="N221" s="46" t="str">
        <f>IFERROR(VLOOKUP(D221,'[1]Product Datasheet'!$A:$G,4,0),"")</f>
        <v/>
      </c>
      <c r="O221" s="47" t="str">
        <f>IFERROR(VLOOKUP(D221,'[1]Product Datasheet'!$A:$G,5,0),"")</f>
        <v/>
      </c>
      <c r="P221" s="47" t="str">
        <f>IFERROR(VLOOKUP(D221,'[1]Product Datasheet'!$A:$G,6,0),"")</f>
        <v/>
      </c>
      <c r="Q221" s="47" t="str">
        <f>IFERROR(VLOOKUP(D221,'[1]Product Datasheet'!$A:$G,7,0), "")</f>
        <v/>
      </c>
      <c r="R221" s="48"/>
      <c r="S221" s="49" t="str">
        <f t="shared" si="11"/>
        <v>Accept</v>
      </c>
      <c r="T221" s="50"/>
      <c r="U221" s="51"/>
    </row>
    <row r="222" spans="1:21" ht="24.75" customHeight="1" x14ac:dyDescent="0.3">
      <c r="A222" s="38" t="str">
        <f>IFERROR(VLOOKUP(D222,'[1]Product Datasheet'!$A:$G,2,0),"")</f>
        <v/>
      </c>
      <c r="B222" s="39" t="str">
        <f>IFERROR(VLOOKUP(D222,'[1]Product Datasheet'!$A:$G,3,0),"")</f>
        <v/>
      </c>
      <c r="C222" s="40"/>
      <c r="D222" s="41"/>
      <c r="E222" s="41"/>
      <c r="F222" s="41"/>
      <c r="G222" s="42"/>
      <c r="H222" s="43"/>
      <c r="I222" s="42"/>
      <c r="J222" s="44"/>
      <c r="K222" s="44"/>
      <c r="L222" s="44"/>
      <c r="M222" s="45" t="str">
        <f t="shared" si="10"/>
        <v>Pass</v>
      </c>
      <c r="N222" s="46" t="str">
        <f>IFERROR(VLOOKUP(D222,'[1]Product Datasheet'!$A:$G,4,0),"")</f>
        <v/>
      </c>
      <c r="O222" s="47" t="str">
        <f>IFERROR(VLOOKUP(D222,'[1]Product Datasheet'!$A:$G,5,0),"")</f>
        <v/>
      </c>
      <c r="P222" s="47" t="str">
        <f>IFERROR(VLOOKUP(D222,'[1]Product Datasheet'!$A:$G,6,0),"")</f>
        <v/>
      </c>
      <c r="Q222" s="47" t="str">
        <f>IFERROR(VLOOKUP(D222,'[1]Product Datasheet'!$A:$G,7,0), "")</f>
        <v/>
      </c>
      <c r="R222" s="48"/>
      <c r="S222" s="49" t="str">
        <f t="shared" si="11"/>
        <v>Accept</v>
      </c>
      <c r="T222" s="50"/>
      <c r="U222" s="51"/>
    </row>
    <row r="223" spans="1:21" ht="24.75" customHeight="1" x14ac:dyDescent="0.3">
      <c r="A223" s="38" t="str">
        <f>IFERROR(VLOOKUP(D223,'[1]Product Datasheet'!$A:$G,2,0),"")</f>
        <v/>
      </c>
      <c r="B223" s="39" t="str">
        <f>IFERROR(VLOOKUP(D223,'[1]Product Datasheet'!$A:$G,3,0),"")</f>
        <v/>
      </c>
      <c r="C223" s="40"/>
      <c r="D223" s="41"/>
      <c r="E223" s="41"/>
      <c r="F223" s="41"/>
      <c r="G223" s="42"/>
      <c r="H223" s="43"/>
      <c r="I223" s="42"/>
      <c r="J223" s="44"/>
      <c r="K223" s="44"/>
      <c r="L223" s="44"/>
      <c r="M223" s="45" t="str">
        <f t="shared" si="10"/>
        <v>Pass</v>
      </c>
      <c r="N223" s="46" t="str">
        <f>IFERROR(VLOOKUP(D223,'[1]Product Datasheet'!$A:$G,4,0),"")</f>
        <v/>
      </c>
      <c r="O223" s="47" t="str">
        <f>IFERROR(VLOOKUP(D223,'[1]Product Datasheet'!$A:$G,5,0),"")</f>
        <v/>
      </c>
      <c r="P223" s="47" t="str">
        <f>IFERROR(VLOOKUP(D223,'[1]Product Datasheet'!$A:$G,6,0),"")</f>
        <v/>
      </c>
      <c r="Q223" s="47" t="str">
        <f>IFERROR(VLOOKUP(D223,'[1]Product Datasheet'!$A:$G,7,0), "")</f>
        <v/>
      </c>
      <c r="R223" s="48"/>
      <c r="S223" s="49" t="str">
        <f t="shared" si="11"/>
        <v>Accept</v>
      </c>
      <c r="T223" s="50"/>
      <c r="U223" s="51"/>
    </row>
    <row r="224" spans="1:21" ht="24.75" customHeight="1" x14ac:dyDescent="0.3">
      <c r="A224" s="38" t="str">
        <f>IFERROR(VLOOKUP(D224,'[1]Product Datasheet'!$A:$G,2,0),"")</f>
        <v/>
      </c>
      <c r="B224" s="39" t="str">
        <f>IFERROR(VLOOKUP(D224,'[1]Product Datasheet'!$A:$G,3,0),"")</f>
        <v/>
      </c>
      <c r="C224" s="40"/>
      <c r="D224" s="41"/>
      <c r="E224" s="41"/>
      <c r="F224" s="41"/>
      <c r="G224" s="42"/>
      <c r="H224" s="43"/>
      <c r="I224" s="42"/>
      <c r="J224" s="44"/>
      <c r="K224" s="44"/>
      <c r="L224" s="44"/>
      <c r="M224" s="45" t="str">
        <f t="shared" si="10"/>
        <v>Pass</v>
      </c>
      <c r="N224" s="46" t="str">
        <f>IFERROR(VLOOKUP(D224,'[1]Product Datasheet'!$A:$G,4,0),"")</f>
        <v/>
      </c>
      <c r="O224" s="47" t="str">
        <f>IFERROR(VLOOKUP(D224,'[1]Product Datasheet'!$A:$G,5,0),"")</f>
        <v/>
      </c>
      <c r="P224" s="47" t="str">
        <f>IFERROR(VLOOKUP(D224,'[1]Product Datasheet'!$A:$G,6,0),"")</f>
        <v/>
      </c>
      <c r="Q224" s="47" t="str">
        <f>IFERROR(VLOOKUP(D224,'[1]Product Datasheet'!$A:$G,7,0), "")</f>
        <v/>
      </c>
      <c r="R224" s="48"/>
      <c r="S224" s="49" t="str">
        <f t="shared" si="11"/>
        <v>Accept</v>
      </c>
      <c r="T224" s="50"/>
      <c r="U224" s="51"/>
    </row>
    <row r="225" spans="1:21" ht="24.75" customHeight="1" x14ac:dyDescent="0.3">
      <c r="A225" s="38" t="str">
        <f>IFERROR(VLOOKUP(D225,'[1]Product Datasheet'!$A:$G,2,0),"")</f>
        <v/>
      </c>
      <c r="B225" s="39" t="str">
        <f>IFERROR(VLOOKUP(D225,'[1]Product Datasheet'!$A:$G,3,0),"")</f>
        <v/>
      </c>
      <c r="C225" s="40"/>
      <c r="D225" s="41"/>
      <c r="E225" s="41"/>
      <c r="F225" s="41"/>
      <c r="G225" s="42"/>
      <c r="H225" s="43"/>
      <c r="I225" s="42"/>
      <c r="J225" s="44"/>
      <c r="K225" s="44"/>
      <c r="L225" s="44"/>
      <c r="M225" s="45" t="str">
        <f t="shared" si="10"/>
        <v>Pass</v>
      </c>
      <c r="N225" s="46" t="str">
        <f>IFERROR(VLOOKUP(D225,'[1]Product Datasheet'!$A:$G,4,0),"")</f>
        <v/>
      </c>
      <c r="O225" s="47" t="str">
        <f>IFERROR(VLOOKUP(D225,'[1]Product Datasheet'!$A:$G,5,0),"")</f>
        <v/>
      </c>
      <c r="P225" s="47" t="str">
        <f>IFERROR(VLOOKUP(D225,'[1]Product Datasheet'!$A:$G,6,0),"")</f>
        <v/>
      </c>
      <c r="Q225" s="47" t="str">
        <f>IFERROR(VLOOKUP(D225,'[1]Product Datasheet'!$A:$G,7,0), "")</f>
        <v/>
      </c>
      <c r="R225" s="48"/>
      <c r="S225" s="49" t="str">
        <f t="shared" si="11"/>
        <v>Accept</v>
      </c>
      <c r="T225" s="50"/>
      <c r="U225" s="51"/>
    </row>
    <row r="226" spans="1:21" ht="24.75" customHeight="1" x14ac:dyDescent="0.3">
      <c r="A226" s="38" t="str">
        <f>IFERROR(VLOOKUP(D226,'[1]Product Datasheet'!$A:$G,2,0),"")</f>
        <v/>
      </c>
      <c r="B226" s="39" t="str">
        <f>IFERROR(VLOOKUP(D226,'[1]Product Datasheet'!$A:$G,3,0),"")</f>
        <v/>
      </c>
      <c r="C226" s="40"/>
      <c r="D226" s="41"/>
      <c r="E226" s="41"/>
      <c r="F226" s="41"/>
      <c r="G226" s="42"/>
      <c r="H226" s="43"/>
      <c r="I226" s="42"/>
      <c r="J226" s="44"/>
      <c r="K226" s="44"/>
      <c r="L226" s="44"/>
      <c r="M226" s="45" t="str">
        <f t="shared" si="10"/>
        <v>Pass</v>
      </c>
      <c r="N226" s="46" t="str">
        <f>IFERROR(VLOOKUP(D226,'[1]Product Datasheet'!$A:$G,4,0),"")</f>
        <v/>
      </c>
      <c r="O226" s="47" t="str">
        <f>IFERROR(VLOOKUP(D226,'[1]Product Datasheet'!$A:$G,5,0),"")</f>
        <v/>
      </c>
      <c r="P226" s="47" t="str">
        <f>IFERROR(VLOOKUP(D226,'[1]Product Datasheet'!$A:$G,6,0),"")</f>
        <v/>
      </c>
      <c r="Q226" s="47" t="str">
        <f>IFERROR(VLOOKUP(D226,'[1]Product Datasheet'!$A:$G,7,0), "")</f>
        <v/>
      </c>
      <c r="R226" s="48"/>
      <c r="S226" s="49" t="str">
        <f t="shared" si="11"/>
        <v>Accept</v>
      </c>
      <c r="T226" s="50"/>
      <c r="U226" s="51"/>
    </row>
    <row r="227" spans="1:21" ht="24.75" customHeight="1" x14ac:dyDescent="0.3">
      <c r="A227" s="38" t="str">
        <f>IFERROR(VLOOKUP(D227,'[1]Product Datasheet'!$A:$G,2,0),"")</f>
        <v/>
      </c>
      <c r="B227" s="39" t="str">
        <f>IFERROR(VLOOKUP(D227,'[1]Product Datasheet'!$A:$G,3,0),"")</f>
        <v/>
      </c>
      <c r="C227" s="40"/>
      <c r="D227" s="41"/>
      <c r="E227" s="41"/>
      <c r="F227" s="41"/>
      <c r="G227" s="42"/>
      <c r="H227" s="43"/>
      <c r="I227" s="42"/>
      <c r="J227" s="44"/>
      <c r="K227" s="44"/>
      <c r="L227" s="44"/>
      <c r="M227" s="45" t="str">
        <f t="shared" si="10"/>
        <v>Pass</v>
      </c>
      <c r="N227" s="46" t="str">
        <f>IFERROR(VLOOKUP(D227,'[1]Product Datasheet'!$A:$G,4,0),"")</f>
        <v/>
      </c>
      <c r="O227" s="47" t="str">
        <f>IFERROR(VLOOKUP(D227,'[1]Product Datasheet'!$A:$G,5,0),"")</f>
        <v/>
      </c>
      <c r="P227" s="47" t="str">
        <f>IFERROR(VLOOKUP(D227,'[1]Product Datasheet'!$A:$G,6,0),"")</f>
        <v/>
      </c>
      <c r="Q227" s="47" t="str">
        <f>IFERROR(VLOOKUP(D227,'[1]Product Datasheet'!$A:$G,7,0), "")</f>
        <v/>
      </c>
      <c r="R227" s="48"/>
      <c r="S227" s="49" t="str">
        <f t="shared" si="11"/>
        <v>Accept</v>
      </c>
      <c r="T227" s="50"/>
      <c r="U227" s="51"/>
    </row>
    <row r="228" spans="1:21" ht="24.75" customHeight="1" x14ac:dyDescent="0.3">
      <c r="A228" s="38" t="str">
        <f>IFERROR(VLOOKUP(D228,'[1]Product Datasheet'!$A:$G,2,0),"")</f>
        <v/>
      </c>
      <c r="B228" s="39" t="str">
        <f>IFERROR(VLOOKUP(D228,'[1]Product Datasheet'!$A:$G,3,0),"")</f>
        <v/>
      </c>
      <c r="C228" s="40"/>
      <c r="D228" s="41"/>
      <c r="E228" s="41"/>
      <c r="F228" s="41"/>
      <c r="G228" s="42"/>
      <c r="H228" s="43"/>
      <c r="I228" s="42"/>
      <c r="J228" s="44"/>
      <c r="K228" s="44"/>
      <c r="L228" s="44"/>
      <c r="M228" s="45" t="str">
        <f t="shared" si="10"/>
        <v>Pass</v>
      </c>
      <c r="N228" s="46" t="str">
        <f>IFERROR(VLOOKUP(D228,'[1]Product Datasheet'!$A:$G,4,0),"")</f>
        <v/>
      </c>
      <c r="O228" s="47" t="str">
        <f>IFERROR(VLOOKUP(D228,'[1]Product Datasheet'!$A:$G,5,0),"")</f>
        <v/>
      </c>
      <c r="P228" s="47" t="str">
        <f>IFERROR(VLOOKUP(D228,'[1]Product Datasheet'!$A:$G,6,0),"")</f>
        <v/>
      </c>
      <c r="Q228" s="47" t="str">
        <f>IFERROR(VLOOKUP(D228,'[1]Product Datasheet'!$A:$G,7,0), "")</f>
        <v/>
      </c>
      <c r="R228" s="48"/>
      <c r="S228" s="49" t="str">
        <f t="shared" si="11"/>
        <v>Accept</v>
      </c>
      <c r="T228" s="50"/>
      <c r="U228" s="51"/>
    </row>
    <row r="229" spans="1:21" ht="24.75" customHeight="1" x14ac:dyDescent="0.3">
      <c r="A229" s="38" t="str">
        <f>IFERROR(VLOOKUP(D229,'[1]Product Datasheet'!$A:$G,2,0),"")</f>
        <v/>
      </c>
      <c r="B229" s="39" t="str">
        <f>IFERROR(VLOOKUP(D229,'[1]Product Datasheet'!$A:$G,3,0),"")</f>
        <v/>
      </c>
      <c r="C229" s="40"/>
      <c r="D229" s="41"/>
      <c r="E229" s="41"/>
      <c r="F229" s="41"/>
      <c r="G229" s="42"/>
      <c r="H229" s="43"/>
      <c r="I229" s="42"/>
      <c r="J229" s="44"/>
      <c r="K229" s="44"/>
      <c r="L229" s="44"/>
      <c r="M229" s="45" t="str">
        <f t="shared" si="10"/>
        <v>Pass</v>
      </c>
      <c r="N229" s="46" t="str">
        <f>IFERROR(VLOOKUP(D229,'[1]Product Datasheet'!$A:$G,4,0),"")</f>
        <v/>
      </c>
      <c r="O229" s="47" t="str">
        <f>IFERROR(VLOOKUP(D229,'[1]Product Datasheet'!$A:$G,5,0),"")</f>
        <v/>
      </c>
      <c r="P229" s="47" t="str">
        <f>IFERROR(VLOOKUP(D229,'[1]Product Datasheet'!$A:$G,6,0),"")</f>
        <v/>
      </c>
      <c r="Q229" s="47" t="str">
        <f>IFERROR(VLOOKUP(D229,'[1]Product Datasheet'!$A:$G,7,0), "")</f>
        <v/>
      </c>
      <c r="R229" s="48"/>
      <c r="S229" s="49" t="str">
        <f t="shared" si="11"/>
        <v>Accept</v>
      </c>
      <c r="T229" s="50"/>
      <c r="U229" s="51"/>
    </row>
    <row r="230" spans="1:21" ht="24.75" customHeight="1" x14ac:dyDescent="0.3">
      <c r="A230" s="38" t="str">
        <f>IFERROR(VLOOKUP(D230,'[1]Product Datasheet'!$A:$G,2,0),"")</f>
        <v/>
      </c>
      <c r="B230" s="39" t="str">
        <f>IFERROR(VLOOKUP(D230,'[1]Product Datasheet'!$A:$G,3,0),"")</f>
        <v/>
      </c>
      <c r="C230" s="40"/>
      <c r="D230" s="41"/>
      <c r="E230" s="41"/>
      <c r="F230" s="41"/>
      <c r="G230" s="42"/>
      <c r="H230" s="43"/>
      <c r="I230" s="42"/>
      <c r="J230" s="44"/>
      <c r="K230" s="44"/>
      <c r="L230" s="44"/>
      <c r="M230" s="45" t="str">
        <f t="shared" si="10"/>
        <v>Pass</v>
      </c>
      <c r="N230" s="46" t="str">
        <f>IFERROR(VLOOKUP(D230,'[1]Product Datasheet'!$A:$G,4,0),"")</f>
        <v/>
      </c>
      <c r="O230" s="47" t="str">
        <f>IFERROR(VLOOKUP(D230,'[1]Product Datasheet'!$A:$G,5,0),"")</f>
        <v/>
      </c>
      <c r="P230" s="47" t="str">
        <f>IFERROR(VLOOKUP(D230,'[1]Product Datasheet'!$A:$G,6,0),"")</f>
        <v/>
      </c>
      <c r="Q230" s="47" t="str">
        <f>IFERROR(VLOOKUP(D230,'[1]Product Datasheet'!$A:$G,7,0), "")</f>
        <v/>
      </c>
      <c r="R230" s="48"/>
      <c r="S230" s="49" t="str">
        <f t="shared" si="11"/>
        <v>Accept</v>
      </c>
      <c r="T230" s="50"/>
      <c r="U230" s="51"/>
    </row>
    <row r="231" spans="1:21" ht="24.75" customHeight="1" x14ac:dyDescent="0.3">
      <c r="A231" s="38" t="str">
        <f>IFERROR(VLOOKUP(D231,'[1]Product Datasheet'!$A:$G,2,0),"")</f>
        <v/>
      </c>
      <c r="B231" s="39" t="str">
        <f>IFERROR(VLOOKUP(D231,'[1]Product Datasheet'!$A:$G,3,0),"")</f>
        <v/>
      </c>
      <c r="C231" s="40"/>
      <c r="D231" s="41"/>
      <c r="E231" s="41"/>
      <c r="F231" s="41"/>
      <c r="G231" s="42"/>
      <c r="H231" s="43"/>
      <c r="I231" s="42"/>
      <c r="J231" s="44"/>
      <c r="K231" s="44"/>
      <c r="L231" s="44"/>
      <c r="M231" s="45" t="str">
        <f t="shared" si="10"/>
        <v>Pass</v>
      </c>
      <c r="N231" s="46" t="str">
        <f>IFERROR(VLOOKUP(D231,'[1]Product Datasheet'!$A:$G,4,0),"")</f>
        <v/>
      </c>
      <c r="O231" s="47" t="str">
        <f>IFERROR(VLOOKUP(D231,'[1]Product Datasheet'!$A:$G,5,0),"")</f>
        <v/>
      </c>
      <c r="P231" s="47" t="str">
        <f>IFERROR(VLOOKUP(D231,'[1]Product Datasheet'!$A:$G,6,0),"")</f>
        <v/>
      </c>
      <c r="Q231" s="47" t="str">
        <f>IFERROR(VLOOKUP(D231,'[1]Product Datasheet'!$A:$G,7,0), "")</f>
        <v/>
      </c>
      <c r="R231" s="48"/>
      <c r="S231" s="49" t="str">
        <f t="shared" si="11"/>
        <v>Accept</v>
      </c>
      <c r="T231" s="50"/>
      <c r="U231" s="51"/>
    </row>
    <row r="232" spans="1:21" ht="24.75" customHeight="1" x14ac:dyDescent="0.3">
      <c r="A232" s="38" t="str">
        <f>IFERROR(VLOOKUP(D232,'[1]Product Datasheet'!$A:$G,2,0),"")</f>
        <v/>
      </c>
      <c r="B232" s="39" t="str">
        <f>IFERROR(VLOOKUP(D232,'[1]Product Datasheet'!$A:$G,3,0),"")</f>
        <v/>
      </c>
      <c r="C232" s="40"/>
      <c r="D232" s="41"/>
      <c r="E232" s="41"/>
      <c r="F232" s="41"/>
      <c r="G232" s="42"/>
      <c r="H232" s="43"/>
      <c r="I232" s="42"/>
      <c r="J232" s="44"/>
      <c r="K232" s="44"/>
      <c r="L232" s="44"/>
      <c r="M232" s="45" t="str">
        <f t="shared" si="10"/>
        <v>Pass</v>
      </c>
      <c r="N232" s="46" t="str">
        <f>IFERROR(VLOOKUP(D232,'[1]Product Datasheet'!$A:$G,4,0),"")</f>
        <v/>
      </c>
      <c r="O232" s="47" t="str">
        <f>IFERROR(VLOOKUP(D232,'[1]Product Datasheet'!$A:$G,5,0),"")</f>
        <v/>
      </c>
      <c r="P232" s="47" t="str">
        <f>IFERROR(VLOOKUP(D232,'[1]Product Datasheet'!$A:$G,6,0),"")</f>
        <v/>
      </c>
      <c r="Q232" s="47" t="str">
        <f>IFERROR(VLOOKUP(D232,'[1]Product Datasheet'!$A:$G,7,0), "")</f>
        <v/>
      </c>
      <c r="R232" s="48"/>
      <c r="S232" s="49" t="str">
        <f t="shared" si="11"/>
        <v>Accept</v>
      </c>
      <c r="T232" s="50"/>
      <c r="U232" s="51"/>
    </row>
    <row r="233" spans="1:21" ht="24.75" customHeight="1" x14ac:dyDescent="0.3">
      <c r="A233" s="38" t="str">
        <f>IFERROR(VLOOKUP(D233,'[1]Product Datasheet'!$A:$G,2,0),"")</f>
        <v/>
      </c>
      <c r="B233" s="39" t="str">
        <f>IFERROR(VLOOKUP(D233,'[1]Product Datasheet'!$A:$G,3,0),"")</f>
        <v/>
      </c>
      <c r="C233" s="40"/>
      <c r="D233" s="41"/>
      <c r="E233" s="41"/>
      <c r="F233" s="41"/>
      <c r="G233" s="42"/>
      <c r="H233" s="43"/>
      <c r="I233" s="42"/>
      <c r="J233" s="44"/>
      <c r="K233" s="44"/>
      <c r="L233" s="44"/>
      <c r="M233" s="45" t="str">
        <f t="shared" si="10"/>
        <v>Pass</v>
      </c>
      <c r="N233" s="46" t="str">
        <f>IFERROR(VLOOKUP(D233,'[1]Product Datasheet'!$A:$G,4,0),"")</f>
        <v/>
      </c>
      <c r="O233" s="47" t="str">
        <f>IFERROR(VLOOKUP(D233,'[1]Product Datasheet'!$A:$G,5,0),"")</f>
        <v/>
      </c>
      <c r="P233" s="47" t="str">
        <f>IFERROR(VLOOKUP(D233,'[1]Product Datasheet'!$A:$G,6,0),"")</f>
        <v/>
      </c>
      <c r="Q233" s="47" t="str">
        <f>IFERROR(VLOOKUP(D233,'[1]Product Datasheet'!$A:$G,7,0), "")</f>
        <v/>
      </c>
      <c r="R233" s="48"/>
      <c r="S233" s="49" t="str">
        <f t="shared" si="11"/>
        <v>Accept</v>
      </c>
      <c r="T233" s="50"/>
      <c r="U233" s="51"/>
    </row>
    <row r="234" spans="1:21" ht="24.75" customHeight="1" x14ac:dyDescent="0.3">
      <c r="A234" s="38" t="str">
        <f>IFERROR(VLOOKUP(D234,'[1]Product Datasheet'!$A:$G,2,0),"")</f>
        <v/>
      </c>
      <c r="B234" s="39" t="str">
        <f>IFERROR(VLOOKUP(D234,'[1]Product Datasheet'!$A:$G,3,0),"")</f>
        <v/>
      </c>
      <c r="C234" s="40"/>
      <c r="D234" s="41"/>
      <c r="E234" s="41"/>
      <c r="F234" s="41"/>
      <c r="G234" s="42"/>
      <c r="H234" s="43"/>
      <c r="I234" s="42"/>
      <c r="J234" s="44"/>
      <c r="K234" s="44"/>
      <c r="L234" s="44"/>
      <c r="M234" s="45" t="str">
        <f t="shared" si="10"/>
        <v>Pass</v>
      </c>
      <c r="N234" s="46" t="str">
        <f>IFERROR(VLOOKUP(D234,'[1]Product Datasheet'!$A:$G,4,0),"")</f>
        <v/>
      </c>
      <c r="O234" s="47" t="str">
        <f>IFERROR(VLOOKUP(D234,'[1]Product Datasheet'!$A:$G,5,0),"")</f>
        <v/>
      </c>
      <c r="P234" s="47" t="str">
        <f>IFERROR(VLOOKUP(D234,'[1]Product Datasheet'!$A:$G,6,0),"")</f>
        <v/>
      </c>
      <c r="Q234" s="47" t="str">
        <f>IFERROR(VLOOKUP(D234,'[1]Product Datasheet'!$A:$G,7,0), "")</f>
        <v/>
      </c>
      <c r="R234" s="48"/>
      <c r="S234" s="49" t="str">
        <f t="shared" si="11"/>
        <v>Accept</v>
      </c>
      <c r="T234" s="50"/>
      <c r="U234" s="51"/>
    </row>
    <row r="235" spans="1:21" ht="24.75" customHeight="1" x14ac:dyDescent="0.3">
      <c r="A235" s="38" t="str">
        <f>IFERROR(VLOOKUP(D235,'[1]Product Datasheet'!$A:$G,2,0),"")</f>
        <v/>
      </c>
      <c r="B235" s="39" t="str">
        <f>IFERROR(VLOOKUP(D235,'[1]Product Datasheet'!$A:$G,3,0),"")</f>
        <v/>
      </c>
      <c r="C235" s="40"/>
      <c r="D235" s="41"/>
      <c r="E235" s="41"/>
      <c r="F235" s="41"/>
      <c r="G235" s="42"/>
      <c r="H235" s="43"/>
      <c r="I235" s="42"/>
      <c r="J235" s="44"/>
      <c r="K235" s="44"/>
      <c r="L235" s="44"/>
      <c r="M235" s="45" t="str">
        <f t="shared" si="10"/>
        <v>Pass</v>
      </c>
      <c r="N235" s="46" t="str">
        <f>IFERROR(VLOOKUP(D235,'[1]Product Datasheet'!$A:$G,4,0),"")</f>
        <v/>
      </c>
      <c r="O235" s="47" t="str">
        <f>IFERROR(VLOOKUP(D235,'[1]Product Datasheet'!$A:$G,5,0),"")</f>
        <v/>
      </c>
      <c r="P235" s="47" t="str">
        <f>IFERROR(VLOOKUP(D235,'[1]Product Datasheet'!$A:$G,6,0),"")</f>
        <v/>
      </c>
      <c r="Q235" s="47" t="str">
        <f>IFERROR(VLOOKUP(D235,'[1]Product Datasheet'!$A:$G,7,0), "")</f>
        <v/>
      </c>
      <c r="R235" s="48"/>
      <c r="S235" s="49" t="str">
        <f t="shared" si="11"/>
        <v>Accept</v>
      </c>
      <c r="T235" s="50"/>
      <c r="U235" s="51"/>
    </row>
    <row r="236" spans="1:21" ht="24.75" customHeight="1" x14ac:dyDescent="0.3">
      <c r="A236" s="38" t="str">
        <f>IFERROR(VLOOKUP(D236,'[1]Product Datasheet'!$A:$G,2,0),"")</f>
        <v/>
      </c>
      <c r="B236" s="39" t="str">
        <f>IFERROR(VLOOKUP(D236,'[1]Product Datasheet'!$A:$G,3,0),"")</f>
        <v/>
      </c>
      <c r="C236" s="40"/>
      <c r="D236" s="41"/>
      <c r="E236" s="41"/>
      <c r="F236" s="41"/>
      <c r="G236" s="42"/>
      <c r="H236" s="43"/>
      <c r="I236" s="42"/>
      <c r="J236" s="44"/>
      <c r="K236" s="44"/>
      <c r="L236" s="44"/>
      <c r="M236" s="45" t="str">
        <f t="shared" si="10"/>
        <v>Pass</v>
      </c>
      <c r="N236" s="46" t="str">
        <f>IFERROR(VLOOKUP(D236,'[1]Product Datasheet'!$A:$G,4,0),"")</f>
        <v/>
      </c>
      <c r="O236" s="47" t="str">
        <f>IFERROR(VLOOKUP(D236,'[1]Product Datasheet'!$A:$G,5,0),"")</f>
        <v/>
      </c>
      <c r="P236" s="47" t="str">
        <f>IFERROR(VLOOKUP(D236,'[1]Product Datasheet'!$A:$G,6,0),"")</f>
        <v/>
      </c>
      <c r="Q236" s="47" t="str">
        <f>IFERROR(VLOOKUP(D236,'[1]Product Datasheet'!$A:$G,7,0), "")</f>
        <v/>
      </c>
      <c r="R236" s="48"/>
      <c r="S236" s="49" t="str">
        <f t="shared" si="11"/>
        <v>Accept</v>
      </c>
      <c r="T236" s="50"/>
      <c r="U236" s="51"/>
    </row>
    <row r="237" spans="1:21" ht="24.75" customHeight="1" x14ac:dyDescent="0.3">
      <c r="A237" s="38" t="str">
        <f>IFERROR(VLOOKUP(D237,'[1]Product Datasheet'!$A:$G,2,0),"")</f>
        <v/>
      </c>
      <c r="B237" s="39" t="str">
        <f>IFERROR(VLOOKUP(D237,'[1]Product Datasheet'!$A:$G,3,0),"")</f>
        <v/>
      </c>
      <c r="C237" s="40"/>
      <c r="D237" s="41"/>
      <c r="E237" s="41"/>
      <c r="F237" s="41"/>
      <c r="G237" s="42"/>
      <c r="H237" s="43"/>
      <c r="I237" s="42"/>
      <c r="J237" s="44"/>
      <c r="K237" s="44"/>
      <c r="L237" s="44"/>
      <c r="M237" s="45" t="str">
        <f t="shared" si="10"/>
        <v>Pass</v>
      </c>
      <c r="N237" s="46" t="str">
        <f>IFERROR(VLOOKUP(D237,'[1]Product Datasheet'!$A:$G,4,0),"")</f>
        <v/>
      </c>
      <c r="O237" s="47" t="str">
        <f>IFERROR(VLOOKUP(D237,'[1]Product Datasheet'!$A:$G,5,0),"")</f>
        <v/>
      </c>
      <c r="P237" s="47" t="str">
        <f>IFERROR(VLOOKUP(D237,'[1]Product Datasheet'!$A:$G,6,0),"")</f>
        <v/>
      </c>
      <c r="Q237" s="47" t="str">
        <f>IFERROR(VLOOKUP(D237,'[1]Product Datasheet'!$A:$G,7,0), "")</f>
        <v/>
      </c>
      <c r="R237" s="48"/>
      <c r="S237" s="49" t="str">
        <f t="shared" si="11"/>
        <v>Accept</v>
      </c>
      <c r="T237" s="50"/>
      <c r="U237" s="51"/>
    </row>
    <row r="238" spans="1:21" ht="24.75" customHeight="1" x14ac:dyDescent="0.3">
      <c r="A238" s="38" t="str">
        <f>IFERROR(VLOOKUP(D238,'[1]Product Datasheet'!$A:$G,2,0),"")</f>
        <v/>
      </c>
      <c r="B238" s="39" t="str">
        <f>IFERROR(VLOOKUP(D238,'[1]Product Datasheet'!$A:$G,3,0),"")</f>
        <v/>
      </c>
      <c r="C238" s="40"/>
      <c r="D238" s="41"/>
      <c r="E238" s="41"/>
      <c r="F238" s="41"/>
      <c r="G238" s="42"/>
      <c r="H238" s="43"/>
      <c r="I238" s="42"/>
      <c r="J238" s="44"/>
      <c r="K238" s="44"/>
      <c r="L238" s="44"/>
      <c r="M238" s="45" t="str">
        <f t="shared" si="10"/>
        <v>Pass</v>
      </c>
      <c r="N238" s="46" t="str">
        <f>IFERROR(VLOOKUP(D238,'[1]Product Datasheet'!$A:$G,4,0),"")</f>
        <v/>
      </c>
      <c r="O238" s="47" t="str">
        <f>IFERROR(VLOOKUP(D238,'[1]Product Datasheet'!$A:$G,5,0),"")</f>
        <v/>
      </c>
      <c r="P238" s="47" t="str">
        <f>IFERROR(VLOOKUP(D238,'[1]Product Datasheet'!$A:$G,6,0),"")</f>
        <v/>
      </c>
      <c r="Q238" s="47" t="str">
        <f>IFERROR(VLOOKUP(D238,'[1]Product Datasheet'!$A:$G,7,0), "")</f>
        <v/>
      </c>
      <c r="R238" s="48"/>
      <c r="S238" s="49" t="str">
        <f t="shared" si="11"/>
        <v>Accept</v>
      </c>
      <c r="T238" s="50"/>
      <c r="U238" s="51"/>
    </row>
    <row r="239" spans="1:21" ht="24.75" customHeight="1" x14ac:dyDescent="0.3">
      <c r="A239" s="38" t="str">
        <f>IFERROR(VLOOKUP(D239,'[1]Product Datasheet'!$A:$G,2,0),"")</f>
        <v/>
      </c>
      <c r="B239" s="39" t="str">
        <f>IFERROR(VLOOKUP(D239,'[1]Product Datasheet'!$A:$G,3,0),"")</f>
        <v/>
      </c>
      <c r="C239" s="40"/>
      <c r="D239" s="41"/>
      <c r="E239" s="41"/>
      <c r="F239" s="41"/>
      <c r="G239" s="42"/>
      <c r="H239" s="43"/>
      <c r="I239" s="42"/>
      <c r="J239" s="44"/>
      <c r="K239" s="44"/>
      <c r="L239" s="44"/>
      <c r="M239" s="45" t="str">
        <f t="shared" si="10"/>
        <v>Pass</v>
      </c>
      <c r="N239" s="46" t="str">
        <f>IFERROR(VLOOKUP(D239,'[1]Product Datasheet'!$A:$G,4,0),"")</f>
        <v/>
      </c>
      <c r="O239" s="47" t="str">
        <f>IFERROR(VLOOKUP(D239,'[1]Product Datasheet'!$A:$G,5,0),"")</f>
        <v/>
      </c>
      <c r="P239" s="47" t="str">
        <f>IFERROR(VLOOKUP(D239,'[1]Product Datasheet'!$A:$G,6,0),"")</f>
        <v/>
      </c>
      <c r="Q239" s="47" t="str">
        <f>IFERROR(VLOOKUP(D239,'[1]Product Datasheet'!$A:$G,7,0), "")</f>
        <v/>
      </c>
      <c r="R239" s="48"/>
      <c r="S239" s="49" t="str">
        <f t="shared" si="11"/>
        <v>Accept</v>
      </c>
      <c r="T239" s="50"/>
      <c r="U239" s="51"/>
    </row>
    <row r="240" spans="1:21" ht="24.75" customHeight="1" x14ac:dyDescent="0.3">
      <c r="A240" s="38" t="str">
        <f>IFERROR(VLOOKUP(D240,'[1]Product Datasheet'!$A:$G,2,0),"")</f>
        <v/>
      </c>
      <c r="B240" s="39" t="str">
        <f>IFERROR(VLOOKUP(D240,'[1]Product Datasheet'!$A:$G,3,0),"")</f>
        <v/>
      </c>
      <c r="C240" s="40"/>
      <c r="D240" s="41"/>
      <c r="E240" s="41"/>
      <c r="F240" s="41"/>
      <c r="G240" s="42"/>
      <c r="H240" s="43"/>
      <c r="I240" s="42"/>
      <c r="J240" s="44"/>
      <c r="K240" s="44"/>
      <c r="L240" s="44"/>
      <c r="M240" s="45" t="str">
        <f t="shared" si="10"/>
        <v>Pass</v>
      </c>
      <c r="N240" s="46" t="str">
        <f>IFERROR(VLOOKUP(D240,'[1]Product Datasheet'!$A:$G,4,0),"")</f>
        <v/>
      </c>
      <c r="O240" s="47" t="str">
        <f>IFERROR(VLOOKUP(D240,'[1]Product Datasheet'!$A:$G,5,0),"")</f>
        <v/>
      </c>
      <c r="P240" s="47" t="str">
        <f>IFERROR(VLOOKUP(D240,'[1]Product Datasheet'!$A:$G,6,0),"")</f>
        <v/>
      </c>
      <c r="Q240" s="47" t="str">
        <f>IFERROR(VLOOKUP(D240,'[1]Product Datasheet'!$A:$G,7,0), "")</f>
        <v/>
      </c>
      <c r="R240" s="48"/>
      <c r="S240" s="49" t="str">
        <f t="shared" si="11"/>
        <v>Accept</v>
      </c>
      <c r="T240" s="50"/>
      <c r="U240" s="51"/>
    </row>
    <row r="241" spans="1:21" ht="24.75" customHeight="1" x14ac:dyDescent="0.3">
      <c r="A241" s="38" t="str">
        <f>IFERROR(VLOOKUP(D241,'[1]Product Datasheet'!$A:$G,2,0),"")</f>
        <v/>
      </c>
      <c r="B241" s="39" t="str">
        <f>IFERROR(VLOOKUP(D241,'[1]Product Datasheet'!$A:$G,3,0),"")</f>
        <v/>
      </c>
      <c r="C241" s="40"/>
      <c r="D241" s="41"/>
      <c r="E241" s="41"/>
      <c r="F241" s="41"/>
      <c r="G241" s="42"/>
      <c r="H241" s="43"/>
      <c r="I241" s="42"/>
      <c r="J241" s="44"/>
      <c r="K241" s="44"/>
      <c r="L241" s="44"/>
      <c r="M241" s="45" t="str">
        <f t="shared" si="10"/>
        <v>Pass</v>
      </c>
      <c r="N241" s="46" t="str">
        <f>IFERROR(VLOOKUP(D241,'[1]Product Datasheet'!$A:$G,4,0),"")</f>
        <v/>
      </c>
      <c r="O241" s="47" t="str">
        <f>IFERROR(VLOOKUP(D241,'[1]Product Datasheet'!$A:$G,5,0),"")</f>
        <v/>
      </c>
      <c r="P241" s="47" t="str">
        <f>IFERROR(VLOOKUP(D241,'[1]Product Datasheet'!$A:$G,6,0),"")</f>
        <v/>
      </c>
      <c r="Q241" s="47" t="str">
        <f>IFERROR(VLOOKUP(D241,'[1]Product Datasheet'!$A:$G,7,0), "")</f>
        <v/>
      </c>
      <c r="R241" s="48"/>
      <c r="S241" s="49" t="str">
        <f t="shared" si="11"/>
        <v>Accept</v>
      </c>
      <c r="T241" s="50"/>
      <c r="U241" s="51"/>
    </row>
    <row r="242" spans="1:21" ht="24.75" customHeight="1" x14ac:dyDescent="0.3">
      <c r="A242" s="38" t="str">
        <f>IFERROR(VLOOKUP(D242,'[1]Product Datasheet'!$A:$G,2,0),"")</f>
        <v/>
      </c>
      <c r="B242" s="39" t="str">
        <f>IFERROR(VLOOKUP(D242,'[1]Product Datasheet'!$A:$G,3,0),"")</f>
        <v/>
      </c>
      <c r="C242" s="40"/>
      <c r="D242" s="41"/>
      <c r="E242" s="41"/>
      <c r="F242" s="41"/>
      <c r="G242" s="42"/>
      <c r="H242" s="43"/>
      <c r="I242" s="42"/>
      <c r="J242" s="44"/>
      <c r="K242" s="44"/>
      <c r="L242" s="44"/>
      <c r="M242" s="45" t="str">
        <f t="shared" si="10"/>
        <v>Pass</v>
      </c>
      <c r="N242" s="46" t="str">
        <f>IFERROR(VLOOKUP(D242,'[1]Product Datasheet'!$A:$G,4,0),"")</f>
        <v/>
      </c>
      <c r="O242" s="47" t="str">
        <f>IFERROR(VLOOKUP(D242,'[1]Product Datasheet'!$A:$G,5,0),"")</f>
        <v/>
      </c>
      <c r="P242" s="47" t="str">
        <f>IFERROR(VLOOKUP(D242,'[1]Product Datasheet'!$A:$G,6,0),"")</f>
        <v/>
      </c>
      <c r="Q242" s="47" t="str">
        <f>IFERROR(VLOOKUP(D242,'[1]Product Datasheet'!$A:$G,7,0), "")</f>
        <v/>
      </c>
      <c r="R242" s="48"/>
      <c r="S242" s="49" t="str">
        <f t="shared" si="11"/>
        <v>Accept</v>
      </c>
      <c r="T242" s="50"/>
      <c r="U242" s="51"/>
    </row>
    <row r="243" spans="1:21" ht="24.75" customHeight="1" x14ac:dyDescent="0.3">
      <c r="A243" s="38" t="str">
        <f>IFERROR(VLOOKUP(D243,'[1]Product Datasheet'!$A:$G,2,0),"")</f>
        <v/>
      </c>
      <c r="B243" s="39" t="str">
        <f>IFERROR(VLOOKUP(D243,'[1]Product Datasheet'!$A:$G,3,0),"")</f>
        <v/>
      </c>
      <c r="C243" s="40"/>
      <c r="D243" s="41"/>
      <c r="E243" s="41"/>
      <c r="F243" s="41"/>
      <c r="G243" s="42"/>
      <c r="H243" s="43"/>
      <c r="I243" s="42"/>
      <c r="J243" s="44"/>
      <c r="K243" s="44"/>
      <c r="L243" s="44"/>
      <c r="M243" s="45" t="str">
        <f t="shared" si="10"/>
        <v>Pass</v>
      </c>
      <c r="N243" s="46" t="str">
        <f>IFERROR(VLOOKUP(D243,'[1]Product Datasheet'!$A:$G,4,0),"")</f>
        <v/>
      </c>
      <c r="O243" s="47" t="str">
        <f>IFERROR(VLOOKUP(D243,'[1]Product Datasheet'!$A:$G,5,0),"")</f>
        <v/>
      </c>
      <c r="P243" s="47" t="str">
        <f>IFERROR(VLOOKUP(D243,'[1]Product Datasheet'!$A:$G,6,0),"")</f>
        <v/>
      </c>
      <c r="Q243" s="47" t="str">
        <f>IFERROR(VLOOKUP(D243,'[1]Product Datasheet'!$A:$G,7,0), "")</f>
        <v/>
      </c>
      <c r="R243" s="48"/>
      <c r="S243" s="49" t="str">
        <f t="shared" si="11"/>
        <v>Accept</v>
      </c>
      <c r="T243" s="50"/>
      <c r="U243" s="51"/>
    </row>
    <row r="244" spans="1:21" ht="24.75" customHeight="1" x14ac:dyDescent="0.3">
      <c r="A244" s="38" t="str">
        <f>IFERROR(VLOOKUP(D244,'[1]Product Datasheet'!$A:$G,2,0),"")</f>
        <v/>
      </c>
      <c r="B244" s="39" t="str">
        <f>IFERROR(VLOOKUP(D244,'[1]Product Datasheet'!$A:$G,3,0),"")</f>
        <v/>
      </c>
      <c r="C244" s="40"/>
      <c r="D244" s="41"/>
      <c r="E244" s="41"/>
      <c r="F244" s="41"/>
      <c r="G244" s="42"/>
      <c r="H244" s="43"/>
      <c r="I244" s="42"/>
      <c r="J244" s="44"/>
      <c r="K244" s="44"/>
      <c r="L244" s="44"/>
      <c r="M244" s="45" t="str">
        <f t="shared" si="10"/>
        <v>Pass</v>
      </c>
      <c r="N244" s="46" t="str">
        <f>IFERROR(VLOOKUP(D244,'[1]Product Datasheet'!$A:$G,4,0),"")</f>
        <v/>
      </c>
      <c r="O244" s="47" t="str">
        <f>IFERROR(VLOOKUP(D244,'[1]Product Datasheet'!$A:$G,5,0),"")</f>
        <v/>
      </c>
      <c r="P244" s="47" t="str">
        <f>IFERROR(VLOOKUP(D244,'[1]Product Datasheet'!$A:$G,6,0),"")</f>
        <v/>
      </c>
      <c r="Q244" s="47" t="str">
        <f>IFERROR(VLOOKUP(D244,'[1]Product Datasheet'!$A:$G,7,0), "")</f>
        <v/>
      </c>
      <c r="R244" s="48"/>
      <c r="S244" s="49" t="str">
        <f t="shared" si="11"/>
        <v>Accept</v>
      </c>
      <c r="T244" s="50"/>
      <c r="U244" s="51"/>
    </row>
    <row r="245" spans="1:21" ht="24.75" customHeight="1" x14ac:dyDescent="0.3">
      <c r="A245" s="38" t="str">
        <f>IFERROR(VLOOKUP(D245,'[1]Product Datasheet'!$A:$G,2,0),"")</f>
        <v/>
      </c>
      <c r="B245" s="39" t="str">
        <f>IFERROR(VLOOKUP(D245,'[1]Product Datasheet'!$A:$G,3,0),"")</f>
        <v/>
      </c>
      <c r="C245" s="40"/>
      <c r="D245" s="41"/>
      <c r="E245" s="41"/>
      <c r="F245" s="41"/>
      <c r="G245" s="42"/>
      <c r="H245" s="43"/>
      <c r="I245" s="42"/>
      <c r="J245" s="44"/>
      <c r="K245" s="44"/>
      <c r="L245" s="44"/>
      <c r="M245" s="45" t="str">
        <f t="shared" si="10"/>
        <v>Pass</v>
      </c>
      <c r="N245" s="46" t="str">
        <f>IFERROR(VLOOKUP(D245,'[1]Product Datasheet'!$A:$G,4,0),"")</f>
        <v/>
      </c>
      <c r="O245" s="47" t="str">
        <f>IFERROR(VLOOKUP(D245,'[1]Product Datasheet'!$A:$G,5,0),"")</f>
        <v/>
      </c>
      <c r="P245" s="47" t="str">
        <f>IFERROR(VLOOKUP(D245,'[1]Product Datasheet'!$A:$G,6,0),"")</f>
        <v/>
      </c>
      <c r="Q245" s="47" t="str">
        <f>IFERROR(VLOOKUP(D245,'[1]Product Datasheet'!$A:$G,7,0), "")</f>
        <v/>
      </c>
      <c r="R245" s="48"/>
      <c r="S245" s="49" t="str">
        <f t="shared" si="11"/>
        <v>Accept</v>
      </c>
      <c r="T245" s="50"/>
      <c r="U245" s="51"/>
    </row>
    <row r="246" spans="1:21" ht="24.75" customHeight="1" x14ac:dyDescent="0.3">
      <c r="A246" s="38" t="str">
        <f>IFERROR(VLOOKUP(D246,'[1]Product Datasheet'!$A:$G,2,0),"")</f>
        <v/>
      </c>
      <c r="B246" s="39" t="str">
        <f>IFERROR(VLOOKUP(D246,'[1]Product Datasheet'!$A:$G,3,0),"")</f>
        <v/>
      </c>
      <c r="C246" s="40"/>
      <c r="D246" s="41"/>
      <c r="E246" s="41"/>
      <c r="F246" s="41"/>
      <c r="G246" s="42"/>
      <c r="H246" s="43"/>
      <c r="I246" s="42"/>
      <c r="J246" s="44"/>
      <c r="K246" s="44"/>
      <c r="L246" s="44"/>
      <c r="M246" s="45" t="str">
        <f t="shared" si="10"/>
        <v>Pass</v>
      </c>
      <c r="N246" s="46" t="str">
        <f>IFERROR(VLOOKUP(D246,'[1]Product Datasheet'!$A:$G,4,0),"")</f>
        <v/>
      </c>
      <c r="O246" s="47" t="str">
        <f>IFERROR(VLOOKUP(D246,'[1]Product Datasheet'!$A:$G,5,0),"")</f>
        <v/>
      </c>
      <c r="P246" s="47" t="str">
        <f>IFERROR(VLOOKUP(D246,'[1]Product Datasheet'!$A:$G,6,0),"")</f>
        <v/>
      </c>
      <c r="Q246" s="47" t="str">
        <f>IFERROR(VLOOKUP(D246,'[1]Product Datasheet'!$A:$G,7,0), "")</f>
        <v/>
      </c>
      <c r="R246" s="48"/>
      <c r="S246" s="49" t="str">
        <f t="shared" si="11"/>
        <v>Accept</v>
      </c>
      <c r="T246" s="50"/>
      <c r="U246" s="51"/>
    </row>
    <row r="247" spans="1:21" ht="24.75" customHeight="1" x14ac:dyDescent="0.3">
      <c r="A247" s="38" t="str">
        <f>IFERROR(VLOOKUP(D247,'[1]Product Datasheet'!$A:$G,2,0),"")</f>
        <v/>
      </c>
      <c r="B247" s="39" t="str">
        <f>IFERROR(VLOOKUP(D247,'[1]Product Datasheet'!$A:$G,3,0),"")</f>
        <v/>
      </c>
      <c r="C247" s="40"/>
      <c r="D247" s="41"/>
      <c r="E247" s="41"/>
      <c r="F247" s="41"/>
      <c r="G247" s="42"/>
      <c r="H247" s="43"/>
      <c r="I247" s="42"/>
      <c r="J247" s="44"/>
      <c r="K247" s="44"/>
      <c r="L247" s="44"/>
      <c r="M247" s="45" t="str">
        <f t="shared" si="10"/>
        <v>Pass</v>
      </c>
      <c r="N247" s="46" t="str">
        <f>IFERROR(VLOOKUP(D247,'[1]Product Datasheet'!$A:$G,4,0),"")</f>
        <v/>
      </c>
      <c r="O247" s="47" t="str">
        <f>IFERROR(VLOOKUP(D247,'[1]Product Datasheet'!$A:$G,5,0),"")</f>
        <v/>
      </c>
      <c r="P247" s="47" t="str">
        <f>IFERROR(VLOOKUP(D247,'[1]Product Datasheet'!$A:$G,6,0),"")</f>
        <v/>
      </c>
      <c r="Q247" s="47" t="str">
        <f>IFERROR(VLOOKUP(D247,'[1]Product Datasheet'!$A:$G,7,0), "")</f>
        <v/>
      </c>
      <c r="R247" s="48"/>
      <c r="S247" s="49" t="str">
        <f t="shared" si="11"/>
        <v>Accept</v>
      </c>
      <c r="T247" s="50"/>
      <c r="U247" s="51"/>
    </row>
    <row r="248" spans="1:21" ht="24.75" customHeight="1" x14ac:dyDescent="0.3">
      <c r="A248" s="38" t="str">
        <f>IFERROR(VLOOKUP(D248,'[1]Product Datasheet'!$A:$G,2,0),"")</f>
        <v/>
      </c>
      <c r="B248" s="39" t="str">
        <f>IFERROR(VLOOKUP(D248,'[1]Product Datasheet'!$A:$G,3,0),"")</f>
        <v/>
      </c>
      <c r="C248" s="40"/>
      <c r="D248" s="41"/>
      <c r="E248" s="41"/>
      <c r="F248" s="41"/>
      <c r="G248" s="42"/>
      <c r="H248" s="43"/>
      <c r="I248" s="42"/>
      <c r="J248" s="44"/>
      <c r="K248" s="44"/>
      <c r="L248" s="44"/>
      <c r="M248" s="45" t="str">
        <f t="shared" si="10"/>
        <v>Pass</v>
      </c>
      <c r="N248" s="46" t="str">
        <f>IFERROR(VLOOKUP(D248,'[1]Product Datasheet'!$A:$G,4,0),"")</f>
        <v/>
      </c>
      <c r="O248" s="47" t="str">
        <f>IFERROR(VLOOKUP(D248,'[1]Product Datasheet'!$A:$G,5,0),"")</f>
        <v/>
      </c>
      <c r="P248" s="47" t="str">
        <f>IFERROR(VLOOKUP(D248,'[1]Product Datasheet'!$A:$G,6,0),"")</f>
        <v/>
      </c>
      <c r="Q248" s="47" t="str">
        <f>IFERROR(VLOOKUP(D248,'[1]Product Datasheet'!$A:$G,7,0), "")</f>
        <v/>
      </c>
      <c r="R248" s="48"/>
      <c r="S248" s="49" t="str">
        <f t="shared" si="11"/>
        <v>Accept</v>
      </c>
      <c r="T248" s="50"/>
      <c r="U248" s="51"/>
    </row>
    <row r="249" spans="1:21" ht="24.75" customHeight="1" x14ac:dyDescent="0.3">
      <c r="A249" s="38" t="str">
        <f>IFERROR(VLOOKUP(D249,'[1]Product Datasheet'!$A:$G,2,0),"")</f>
        <v/>
      </c>
      <c r="B249" s="39" t="str">
        <f>IFERROR(VLOOKUP(D249,'[1]Product Datasheet'!$A:$G,3,0),"")</f>
        <v/>
      </c>
      <c r="C249" s="40"/>
      <c r="D249" s="41"/>
      <c r="E249" s="41"/>
      <c r="F249" s="41"/>
      <c r="G249" s="42"/>
      <c r="H249" s="43"/>
      <c r="I249" s="42"/>
      <c r="J249" s="44"/>
      <c r="K249" s="44"/>
      <c r="L249" s="44"/>
      <c r="M249" s="45" t="str">
        <f t="shared" si="10"/>
        <v>Pass</v>
      </c>
      <c r="N249" s="46" t="str">
        <f>IFERROR(VLOOKUP(D249,'[1]Product Datasheet'!$A:$G,4,0),"")</f>
        <v/>
      </c>
      <c r="O249" s="47" t="str">
        <f>IFERROR(VLOOKUP(D249,'[1]Product Datasheet'!$A:$G,5,0),"")</f>
        <v/>
      </c>
      <c r="P249" s="47" t="str">
        <f>IFERROR(VLOOKUP(D249,'[1]Product Datasheet'!$A:$G,6,0),"")</f>
        <v/>
      </c>
      <c r="Q249" s="47" t="str">
        <f>IFERROR(VLOOKUP(D249,'[1]Product Datasheet'!$A:$G,7,0), "")</f>
        <v/>
      </c>
      <c r="R249" s="48"/>
      <c r="S249" s="49" t="str">
        <f t="shared" si="11"/>
        <v>Accept</v>
      </c>
      <c r="T249" s="50"/>
      <c r="U249" s="51"/>
    </row>
    <row r="250" spans="1:21" ht="24.75" customHeight="1" x14ac:dyDescent="0.3">
      <c r="A250" s="38" t="str">
        <f>IFERROR(VLOOKUP(D250,'[1]Product Datasheet'!$A:$G,2,0),"")</f>
        <v/>
      </c>
      <c r="B250" s="39" t="str">
        <f>IFERROR(VLOOKUP(D250,'[1]Product Datasheet'!$A:$G,3,0),"")</f>
        <v/>
      </c>
      <c r="C250" s="40"/>
      <c r="D250" s="41"/>
      <c r="E250" s="41"/>
      <c r="F250" s="41"/>
      <c r="G250" s="42"/>
      <c r="H250" s="43"/>
      <c r="I250" s="42"/>
      <c r="J250" s="44"/>
      <c r="K250" s="44"/>
      <c r="L250" s="44"/>
      <c r="M250" s="45" t="str">
        <f t="shared" si="10"/>
        <v>Pass</v>
      </c>
      <c r="N250" s="46" t="str">
        <f>IFERROR(VLOOKUP(D250,'[1]Product Datasheet'!$A:$G,4,0),"")</f>
        <v/>
      </c>
      <c r="O250" s="47" t="str">
        <f>IFERROR(VLOOKUP(D250,'[1]Product Datasheet'!$A:$G,5,0),"")</f>
        <v/>
      </c>
      <c r="P250" s="47" t="str">
        <f>IFERROR(VLOOKUP(D250,'[1]Product Datasheet'!$A:$G,6,0),"")</f>
        <v/>
      </c>
      <c r="Q250" s="47" t="str">
        <f>IFERROR(VLOOKUP(D250,'[1]Product Datasheet'!$A:$G,7,0), "")</f>
        <v/>
      </c>
      <c r="R250" s="48"/>
      <c r="S250" s="49" t="str">
        <f t="shared" si="11"/>
        <v>Accept</v>
      </c>
      <c r="T250" s="50"/>
      <c r="U250" s="51"/>
    </row>
    <row r="251" spans="1:21" ht="24.75" customHeight="1" x14ac:dyDescent="0.3">
      <c r="A251" s="38" t="str">
        <f>IFERROR(VLOOKUP(D251,'[1]Product Datasheet'!$A:$G,2,0),"")</f>
        <v/>
      </c>
      <c r="B251" s="39" t="str">
        <f>IFERROR(VLOOKUP(D251,'[1]Product Datasheet'!$A:$G,3,0),"")</f>
        <v/>
      </c>
      <c r="C251" s="40"/>
      <c r="D251" s="41"/>
      <c r="E251" s="41"/>
      <c r="F251" s="41"/>
      <c r="G251" s="42"/>
      <c r="H251" s="43"/>
      <c r="I251" s="42"/>
      <c r="J251" s="44"/>
      <c r="K251" s="44"/>
      <c r="L251" s="44"/>
      <c r="M251" s="45" t="str">
        <f t="shared" si="10"/>
        <v>Pass</v>
      </c>
      <c r="N251" s="46" t="str">
        <f>IFERROR(VLOOKUP(D251,'[1]Product Datasheet'!$A:$G,4,0),"")</f>
        <v/>
      </c>
      <c r="O251" s="47" t="str">
        <f>IFERROR(VLOOKUP(D251,'[1]Product Datasheet'!$A:$G,5,0),"")</f>
        <v/>
      </c>
      <c r="P251" s="47" t="str">
        <f>IFERROR(VLOOKUP(D251,'[1]Product Datasheet'!$A:$G,6,0),"")</f>
        <v/>
      </c>
      <c r="Q251" s="47" t="str">
        <f>IFERROR(VLOOKUP(D251,'[1]Product Datasheet'!$A:$G,7,0), "")</f>
        <v/>
      </c>
      <c r="R251" s="48"/>
      <c r="S251" s="49" t="str">
        <f t="shared" si="11"/>
        <v>Accept</v>
      </c>
      <c r="T251" s="50"/>
      <c r="U251" s="51"/>
    </row>
    <row r="252" spans="1:21" ht="24.75" customHeight="1" x14ac:dyDescent="0.3">
      <c r="A252" s="38" t="str">
        <f>IFERROR(VLOOKUP(D252,'[1]Product Datasheet'!$A:$G,2,0),"")</f>
        <v/>
      </c>
      <c r="B252" s="39" t="str">
        <f>IFERROR(VLOOKUP(D252,'[1]Product Datasheet'!$A:$G,3,0),"")</f>
        <v/>
      </c>
      <c r="C252" s="40"/>
      <c r="D252" s="41"/>
      <c r="E252" s="41"/>
      <c r="F252" s="41"/>
      <c r="G252" s="42"/>
      <c r="H252" s="43"/>
      <c r="I252" s="42"/>
      <c r="J252" s="44"/>
      <c r="K252" s="44"/>
      <c r="L252" s="44"/>
      <c r="M252" s="45" t="str">
        <f t="shared" si="10"/>
        <v>Pass</v>
      </c>
      <c r="N252" s="46" t="str">
        <f>IFERROR(VLOOKUP(D252,'[1]Product Datasheet'!$A:$G,4,0),"")</f>
        <v/>
      </c>
      <c r="O252" s="47" t="str">
        <f>IFERROR(VLOOKUP(D252,'[1]Product Datasheet'!$A:$G,5,0),"")</f>
        <v/>
      </c>
      <c r="P252" s="47" t="str">
        <f>IFERROR(VLOOKUP(D252,'[1]Product Datasheet'!$A:$G,6,0),"")</f>
        <v/>
      </c>
      <c r="Q252" s="47" t="str">
        <f>IFERROR(VLOOKUP(D252,'[1]Product Datasheet'!$A:$G,7,0), "")</f>
        <v/>
      </c>
      <c r="R252" s="48"/>
      <c r="S252" s="49" t="str">
        <f t="shared" si="11"/>
        <v>Accept</v>
      </c>
      <c r="T252" s="50"/>
      <c r="U252" s="51"/>
    </row>
    <row r="253" spans="1:21" ht="24.75" customHeight="1" x14ac:dyDescent="0.3">
      <c r="A253" s="38" t="str">
        <f>IFERROR(VLOOKUP(D253,'[1]Product Datasheet'!$A:$G,2,0),"")</f>
        <v/>
      </c>
      <c r="B253" s="39" t="str">
        <f>IFERROR(VLOOKUP(D253,'[1]Product Datasheet'!$A:$G,3,0),"")</f>
        <v/>
      </c>
      <c r="C253" s="40"/>
      <c r="D253" s="41"/>
      <c r="E253" s="41"/>
      <c r="F253" s="41"/>
      <c r="G253" s="42"/>
      <c r="H253" s="43"/>
      <c r="I253" s="42"/>
      <c r="J253" s="44"/>
      <c r="K253" s="44"/>
      <c r="L253" s="44"/>
      <c r="M253" s="45" t="str">
        <f t="shared" si="10"/>
        <v>Pass</v>
      </c>
      <c r="N253" s="46" t="str">
        <f>IFERROR(VLOOKUP(D253,'[1]Product Datasheet'!$A:$G,4,0),"")</f>
        <v/>
      </c>
      <c r="O253" s="47" t="str">
        <f>IFERROR(VLOOKUP(D253,'[1]Product Datasheet'!$A:$G,5,0),"")</f>
        <v/>
      </c>
      <c r="P253" s="47" t="str">
        <f>IFERROR(VLOOKUP(D253,'[1]Product Datasheet'!$A:$G,6,0),"")</f>
        <v/>
      </c>
      <c r="Q253" s="47" t="str">
        <f>IFERROR(VLOOKUP(D253,'[1]Product Datasheet'!$A:$G,7,0), "")</f>
        <v/>
      </c>
      <c r="R253" s="48"/>
      <c r="S253" s="49" t="str">
        <f t="shared" si="11"/>
        <v>Accept</v>
      </c>
      <c r="T253" s="50"/>
      <c r="U253" s="51"/>
    </row>
    <row r="254" spans="1:21" ht="24.75" customHeight="1" x14ac:dyDescent="0.3">
      <c r="A254" s="38" t="str">
        <f>IFERROR(VLOOKUP(D254,'[1]Product Datasheet'!$A:$G,2,0),"")</f>
        <v/>
      </c>
      <c r="B254" s="39" t="str">
        <f>IFERROR(VLOOKUP(D254,'[1]Product Datasheet'!$A:$G,3,0),"")</f>
        <v/>
      </c>
      <c r="C254" s="40"/>
      <c r="D254" s="41"/>
      <c r="E254" s="41"/>
      <c r="F254" s="41"/>
      <c r="G254" s="42"/>
      <c r="H254" s="43"/>
      <c r="I254" s="42"/>
      <c r="J254" s="44"/>
      <c r="K254" s="44"/>
      <c r="L254" s="44"/>
      <c r="M254" s="45" t="str">
        <f t="shared" si="10"/>
        <v>Pass</v>
      </c>
      <c r="N254" s="46" t="str">
        <f>IFERROR(VLOOKUP(D254,'[1]Product Datasheet'!$A:$G,4,0),"")</f>
        <v/>
      </c>
      <c r="O254" s="47" t="str">
        <f>IFERROR(VLOOKUP(D254,'[1]Product Datasheet'!$A:$G,5,0),"")</f>
        <v/>
      </c>
      <c r="P254" s="47" t="str">
        <f>IFERROR(VLOOKUP(D254,'[1]Product Datasheet'!$A:$G,6,0),"")</f>
        <v/>
      </c>
      <c r="Q254" s="47" t="str">
        <f>IFERROR(VLOOKUP(D254,'[1]Product Datasheet'!$A:$G,7,0), "")</f>
        <v/>
      </c>
      <c r="R254" s="48"/>
      <c r="S254" s="49" t="str">
        <f t="shared" si="11"/>
        <v>Accept</v>
      </c>
      <c r="T254" s="50"/>
      <c r="U254" s="51"/>
    </row>
    <row r="255" spans="1:21" ht="24.75" customHeight="1" x14ac:dyDescent="0.3">
      <c r="A255" s="38" t="str">
        <f>IFERROR(VLOOKUP(D255,'[1]Product Datasheet'!$A:$G,2,0),"")</f>
        <v/>
      </c>
      <c r="B255" s="39" t="str">
        <f>IFERROR(VLOOKUP(D255,'[1]Product Datasheet'!$A:$G,3,0),"")</f>
        <v/>
      </c>
      <c r="C255" s="40"/>
      <c r="D255" s="41"/>
      <c r="E255" s="41"/>
      <c r="F255" s="41"/>
      <c r="G255" s="42"/>
      <c r="H255" s="43"/>
      <c r="I255" s="42"/>
      <c r="J255" s="44"/>
      <c r="K255" s="44"/>
      <c r="L255" s="44"/>
      <c r="M255" s="45" t="str">
        <f t="shared" si="10"/>
        <v>Pass</v>
      </c>
      <c r="N255" s="46" t="str">
        <f>IFERROR(VLOOKUP(D255,'[1]Product Datasheet'!$A:$G,4,0),"")</f>
        <v/>
      </c>
      <c r="O255" s="47" t="str">
        <f>IFERROR(VLOOKUP(D255,'[1]Product Datasheet'!$A:$G,5,0),"")</f>
        <v/>
      </c>
      <c r="P255" s="47" t="str">
        <f>IFERROR(VLOOKUP(D255,'[1]Product Datasheet'!$A:$G,6,0),"")</f>
        <v/>
      </c>
      <c r="Q255" s="47" t="str">
        <f>IFERROR(VLOOKUP(D255,'[1]Product Datasheet'!$A:$G,7,0), "")</f>
        <v/>
      </c>
      <c r="R255" s="48"/>
      <c r="S255" s="49" t="str">
        <f t="shared" si="11"/>
        <v>Accept</v>
      </c>
      <c r="T255" s="50"/>
      <c r="U255" s="51"/>
    </row>
    <row r="256" spans="1:21" ht="24.75" customHeight="1" x14ac:dyDescent="0.3">
      <c r="A256" s="38" t="str">
        <f>IFERROR(VLOOKUP(D256,'[1]Product Datasheet'!$A:$G,2,0),"")</f>
        <v/>
      </c>
      <c r="B256" s="39" t="str">
        <f>IFERROR(VLOOKUP(D256,'[1]Product Datasheet'!$A:$G,3,0),"")</f>
        <v/>
      </c>
      <c r="C256" s="40"/>
      <c r="D256" s="41"/>
      <c r="E256" s="41"/>
      <c r="F256" s="41"/>
      <c r="G256" s="42"/>
      <c r="H256" s="43"/>
      <c r="I256" s="42"/>
      <c r="J256" s="44"/>
      <c r="K256" s="44"/>
      <c r="L256" s="44"/>
      <c r="M256" s="45" t="str">
        <f t="shared" si="10"/>
        <v>Pass</v>
      </c>
      <c r="N256" s="46" t="str">
        <f>IFERROR(VLOOKUP(D256,'[1]Product Datasheet'!$A:$G,4,0),"")</f>
        <v/>
      </c>
      <c r="O256" s="47" t="str">
        <f>IFERROR(VLOOKUP(D256,'[1]Product Datasheet'!$A:$G,5,0),"")</f>
        <v/>
      </c>
      <c r="P256" s="47" t="str">
        <f>IFERROR(VLOOKUP(D256,'[1]Product Datasheet'!$A:$G,6,0),"")</f>
        <v/>
      </c>
      <c r="Q256" s="47" t="str">
        <f>IFERROR(VLOOKUP(D256,'[1]Product Datasheet'!$A:$G,7,0), "")</f>
        <v/>
      </c>
      <c r="R256" s="48"/>
      <c r="S256" s="49" t="str">
        <f t="shared" si="11"/>
        <v>Accept</v>
      </c>
      <c r="T256" s="50"/>
      <c r="U256" s="51"/>
    </row>
    <row r="257" spans="1:21" ht="24.75" customHeight="1" x14ac:dyDescent="0.3">
      <c r="A257" s="38" t="str">
        <f>IFERROR(VLOOKUP(D257,'[1]Product Datasheet'!$A:$G,2,0),"")</f>
        <v/>
      </c>
      <c r="B257" s="39" t="str">
        <f>IFERROR(VLOOKUP(D257,'[1]Product Datasheet'!$A:$G,3,0),"")</f>
        <v/>
      </c>
      <c r="C257" s="40"/>
      <c r="D257" s="41"/>
      <c r="E257" s="41"/>
      <c r="F257" s="41"/>
      <c r="G257" s="42"/>
      <c r="H257" s="43"/>
      <c r="I257" s="42"/>
      <c r="J257" s="44"/>
      <c r="K257" s="44"/>
      <c r="L257" s="44"/>
      <c r="M257" s="45" t="str">
        <f t="shared" si="10"/>
        <v>Pass</v>
      </c>
      <c r="N257" s="46" t="str">
        <f>IFERROR(VLOOKUP(D257,'[1]Product Datasheet'!$A:$G,4,0),"")</f>
        <v/>
      </c>
      <c r="O257" s="47" t="str">
        <f>IFERROR(VLOOKUP(D257,'[1]Product Datasheet'!$A:$G,5,0),"")</f>
        <v/>
      </c>
      <c r="P257" s="47" t="str">
        <f>IFERROR(VLOOKUP(D257,'[1]Product Datasheet'!$A:$G,6,0),"")</f>
        <v/>
      </c>
      <c r="Q257" s="47" t="str">
        <f>IFERROR(VLOOKUP(D257,'[1]Product Datasheet'!$A:$G,7,0), "")</f>
        <v/>
      </c>
      <c r="R257" s="48"/>
      <c r="S257" s="49" t="str">
        <f t="shared" si="11"/>
        <v>Accept</v>
      </c>
      <c r="T257" s="50"/>
      <c r="U257" s="51"/>
    </row>
    <row r="258" spans="1:21" ht="24.75" customHeight="1" x14ac:dyDescent="0.3">
      <c r="A258" s="38" t="str">
        <f>IFERROR(VLOOKUP(D258,'[1]Product Datasheet'!$A:$G,2,0),"")</f>
        <v/>
      </c>
      <c r="B258" s="39" t="str">
        <f>IFERROR(VLOOKUP(D258,'[1]Product Datasheet'!$A:$G,3,0),"")</f>
        <v/>
      </c>
      <c r="C258" s="40"/>
      <c r="D258" s="41"/>
      <c r="E258" s="41"/>
      <c r="F258" s="41"/>
      <c r="G258" s="42"/>
      <c r="H258" s="43"/>
      <c r="I258" s="42"/>
      <c r="J258" s="44"/>
      <c r="K258" s="44"/>
      <c r="L258" s="44"/>
      <c r="M258" s="45" t="str">
        <f t="shared" si="10"/>
        <v>Pass</v>
      </c>
      <c r="N258" s="46" t="str">
        <f>IFERROR(VLOOKUP(D258,'[1]Product Datasheet'!$A:$G,4,0),"")</f>
        <v/>
      </c>
      <c r="O258" s="47" t="str">
        <f>IFERROR(VLOOKUP(D258,'[1]Product Datasheet'!$A:$G,5,0),"")</f>
        <v/>
      </c>
      <c r="P258" s="47" t="str">
        <f>IFERROR(VLOOKUP(D258,'[1]Product Datasheet'!$A:$G,6,0),"")</f>
        <v/>
      </c>
      <c r="Q258" s="47" t="str">
        <f>IFERROR(VLOOKUP(D258,'[1]Product Datasheet'!$A:$G,7,0), "")</f>
        <v/>
      </c>
      <c r="R258" s="48"/>
      <c r="S258" s="49" t="str">
        <f t="shared" si="11"/>
        <v>Accept</v>
      </c>
      <c r="T258" s="50"/>
      <c r="U258" s="51"/>
    </row>
    <row r="259" spans="1:21" ht="24.75" customHeight="1" x14ac:dyDescent="0.3">
      <c r="A259" s="38" t="str">
        <f>IFERROR(VLOOKUP(D259,'[1]Product Datasheet'!$A:$G,2,0),"")</f>
        <v/>
      </c>
      <c r="B259" s="39" t="str">
        <f>IFERROR(VLOOKUP(D259,'[1]Product Datasheet'!$A:$G,3,0),"")</f>
        <v/>
      </c>
      <c r="C259" s="40"/>
      <c r="D259" s="41"/>
      <c r="E259" s="41"/>
      <c r="F259" s="41"/>
      <c r="G259" s="42"/>
      <c r="H259" s="43"/>
      <c r="I259" s="42"/>
      <c r="J259" s="44"/>
      <c r="K259" s="44"/>
      <c r="L259" s="44"/>
      <c r="M259" s="45" t="str">
        <f t="shared" si="10"/>
        <v>Pass</v>
      </c>
      <c r="N259" s="46" t="str">
        <f>IFERROR(VLOOKUP(D259,'[1]Product Datasheet'!$A:$G,4,0),"")</f>
        <v/>
      </c>
      <c r="O259" s="47" t="str">
        <f>IFERROR(VLOOKUP(D259,'[1]Product Datasheet'!$A:$G,5,0),"")</f>
        <v/>
      </c>
      <c r="P259" s="47" t="str">
        <f>IFERROR(VLOOKUP(D259,'[1]Product Datasheet'!$A:$G,6,0),"")</f>
        <v/>
      </c>
      <c r="Q259" s="47" t="str">
        <f>IFERROR(VLOOKUP(D259,'[1]Product Datasheet'!$A:$G,7,0), "")</f>
        <v/>
      </c>
      <c r="R259" s="48"/>
      <c r="S259" s="49" t="str">
        <f t="shared" si="11"/>
        <v>Accept</v>
      </c>
      <c r="T259" s="50"/>
      <c r="U259" s="51"/>
    </row>
    <row r="260" spans="1:21" ht="24.75" customHeight="1" x14ac:dyDescent="0.3">
      <c r="A260" s="38" t="str">
        <f>IFERROR(VLOOKUP(D260,'[1]Product Datasheet'!$A:$G,2,0),"")</f>
        <v/>
      </c>
      <c r="B260" s="39" t="str">
        <f>IFERROR(VLOOKUP(D260,'[1]Product Datasheet'!$A:$G,3,0),"")</f>
        <v/>
      </c>
      <c r="C260" s="40"/>
      <c r="D260" s="41"/>
      <c r="E260" s="41"/>
      <c r="F260" s="41"/>
      <c r="G260" s="42"/>
      <c r="H260" s="43"/>
      <c r="I260" s="42"/>
      <c r="J260" s="44"/>
      <c r="K260" s="44"/>
      <c r="L260" s="44"/>
      <c r="M260" s="45" t="str">
        <f t="shared" si="10"/>
        <v>Pass</v>
      </c>
      <c r="N260" s="46" t="str">
        <f>IFERROR(VLOOKUP(D260,'[1]Product Datasheet'!$A:$G,4,0),"")</f>
        <v/>
      </c>
      <c r="O260" s="47" t="str">
        <f>IFERROR(VLOOKUP(D260,'[1]Product Datasheet'!$A:$G,5,0),"")</f>
        <v/>
      </c>
      <c r="P260" s="47" t="str">
        <f>IFERROR(VLOOKUP(D260,'[1]Product Datasheet'!$A:$G,6,0),"")</f>
        <v/>
      </c>
      <c r="Q260" s="47" t="str">
        <f>IFERROR(VLOOKUP(D260,'[1]Product Datasheet'!$A:$G,7,0), "")</f>
        <v/>
      </c>
      <c r="R260" s="48"/>
      <c r="S260" s="49" t="str">
        <f t="shared" si="11"/>
        <v>Accept</v>
      </c>
      <c r="T260" s="50"/>
      <c r="U260" s="51"/>
    </row>
    <row r="261" spans="1:21" ht="24.75" customHeight="1" x14ac:dyDescent="0.3">
      <c r="A261" s="38" t="str">
        <f>IFERROR(VLOOKUP(D261,'[1]Product Datasheet'!$A:$G,2,0),"")</f>
        <v/>
      </c>
      <c r="B261" s="39" t="str">
        <f>IFERROR(VLOOKUP(D261,'[1]Product Datasheet'!$A:$G,3,0),"")</f>
        <v/>
      </c>
      <c r="C261" s="40"/>
      <c r="D261" s="41"/>
      <c r="E261" s="41"/>
      <c r="F261" s="41"/>
      <c r="G261" s="42"/>
      <c r="H261" s="43"/>
      <c r="I261" s="42"/>
      <c r="J261" s="44"/>
      <c r="K261" s="44"/>
      <c r="L261" s="44"/>
      <c r="M261" s="45" t="str">
        <f t="shared" si="10"/>
        <v>Pass</v>
      </c>
      <c r="N261" s="46" t="str">
        <f>IFERROR(VLOOKUP(D261,'[1]Product Datasheet'!$A:$G,4,0),"")</f>
        <v/>
      </c>
      <c r="O261" s="47" t="str">
        <f>IFERROR(VLOOKUP(D261,'[1]Product Datasheet'!$A:$G,5,0),"")</f>
        <v/>
      </c>
      <c r="P261" s="47" t="str">
        <f>IFERROR(VLOOKUP(D261,'[1]Product Datasheet'!$A:$G,6,0),"")</f>
        <v/>
      </c>
      <c r="Q261" s="47" t="str">
        <f>IFERROR(VLOOKUP(D261,'[1]Product Datasheet'!$A:$G,7,0), "")</f>
        <v/>
      </c>
      <c r="R261" s="48"/>
      <c r="S261" s="49" t="str">
        <f t="shared" si="11"/>
        <v>Accept</v>
      </c>
      <c r="T261" s="50"/>
      <c r="U261" s="51"/>
    </row>
    <row r="262" spans="1:21" ht="24.75" customHeight="1" x14ac:dyDescent="0.3">
      <c r="A262" s="38" t="str">
        <f>IFERROR(VLOOKUP(D262,'[1]Product Datasheet'!$A:$G,2,0),"")</f>
        <v/>
      </c>
      <c r="B262" s="39" t="str">
        <f>IFERROR(VLOOKUP(D262,'[1]Product Datasheet'!$A:$G,3,0),"")</f>
        <v/>
      </c>
      <c r="C262" s="40"/>
      <c r="D262" s="41"/>
      <c r="E262" s="41"/>
      <c r="F262" s="41"/>
      <c r="G262" s="42"/>
      <c r="H262" s="43"/>
      <c r="I262" s="42"/>
      <c r="J262" s="44"/>
      <c r="K262" s="44"/>
      <c r="L262" s="44"/>
      <c r="M262" s="45" t="str">
        <f t="shared" si="10"/>
        <v>Pass</v>
      </c>
      <c r="N262" s="46" t="str">
        <f>IFERROR(VLOOKUP(D262,'[1]Product Datasheet'!$A:$G,4,0),"")</f>
        <v/>
      </c>
      <c r="O262" s="47" t="str">
        <f>IFERROR(VLOOKUP(D262,'[1]Product Datasheet'!$A:$G,5,0),"")</f>
        <v/>
      </c>
      <c r="P262" s="47" t="str">
        <f>IFERROR(VLOOKUP(D262,'[1]Product Datasheet'!$A:$G,6,0),"")</f>
        <v/>
      </c>
      <c r="Q262" s="47" t="str">
        <f>IFERROR(VLOOKUP(D262,'[1]Product Datasheet'!$A:$G,7,0), "")</f>
        <v/>
      </c>
      <c r="R262" s="48"/>
      <c r="S262" s="49" t="str">
        <f t="shared" si="11"/>
        <v>Accept</v>
      </c>
      <c r="T262" s="50"/>
      <c r="U262" s="51"/>
    </row>
    <row r="263" spans="1:21" ht="24.75" customHeight="1" x14ac:dyDescent="0.3">
      <c r="A263" s="38" t="str">
        <f>IFERROR(VLOOKUP(D263,'[1]Product Datasheet'!$A:$G,2,0),"")</f>
        <v/>
      </c>
      <c r="B263" s="39" t="str">
        <f>IFERROR(VLOOKUP(D263,'[1]Product Datasheet'!$A:$G,3,0),"")</f>
        <v/>
      </c>
      <c r="C263" s="40"/>
      <c r="D263" s="41"/>
      <c r="E263" s="41"/>
      <c r="F263" s="41"/>
      <c r="G263" s="42"/>
      <c r="H263" s="43"/>
      <c r="I263" s="42"/>
      <c r="J263" s="44"/>
      <c r="K263" s="44"/>
      <c r="L263" s="44"/>
      <c r="M263" s="45" t="str">
        <f t="shared" si="10"/>
        <v>Pass</v>
      </c>
      <c r="N263" s="46" t="str">
        <f>IFERROR(VLOOKUP(D263,'[1]Product Datasheet'!$A:$G,4,0),"")</f>
        <v/>
      </c>
      <c r="O263" s="47" t="str">
        <f>IFERROR(VLOOKUP(D263,'[1]Product Datasheet'!$A:$G,5,0),"")</f>
        <v/>
      </c>
      <c r="P263" s="47" t="str">
        <f>IFERROR(VLOOKUP(D263,'[1]Product Datasheet'!$A:$G,6,0),"")</f>
        <v/>
      </c>
      <c r="Q263" s="47" t="str">
        <f>IFERROR(VLOOKUP(D263,'[1]Product Datasheet'!$A:$G,7,0), "")</f>
        <v/>
      </c>
      <c r="R263" s="48"/>
      <c r="S263" s="49" t="str">
        <f t="shared" si="11"/>
        <v>Accept</v>
      </c>
      <c r="T263" s="50"/>
      <c r="U263" s="51"/>
    </row>
    <row r="264" spans="1:21" ht="24.75" customHeight="1" x14ac:dyDescent="0.3">
      <c r="A264" s="38" t="str">
        <f>IFERROR(VLOOKUP(D264,'[1]Product Datasheet'!$A:$G,2,0),"")</f>
        <v/>
      </c>
      <c r="B264" s="39" t="str">
        <f>IFERROR(VLOOKUP(D264,'[1]Product Datasheet'!$A:$G,3,0),"")</f>
        <v/>
      </c>
      <c r="C264" s="40"/>
      <c r="D264" s="41"/>
      <c r="E264" s="41"/>
      <c r="F264" s="41"/>
      <c r="G264" s="42"/>
      <c r="H264" s="43"/>
      <c r="I264" s="42"/>
      <c r="J264" s="44"/>
      <c r="K264" s="44"/>
      <c r="L264" s="44"/>
      <c r="M264" s="45" t="str">
        <f t="shared" ref="M264:M327" si="12">IF(AND(G264&lt;=O264,G264&gt;=N264,H264&lt;=Q264,H264&gt;=P264),"Pass","Fail")</f>
        <v>Pass</v>
      </c>
      <c r="N264" s="46" t="str">
        <f>IFERROR(VLOOKUP(D264,'[1]Product Datasheet'!$A:$G,4,0),"")</f>
        <v/>
      </c>
      <c r="O264" s="47" t="str">
        <f>IFERROR(VLOOKUP(D264,'[1]Product Datasheet'!$A:$G,5,0),"")</f>
        <v/>
      </c>
      <c r="P264" s="47" t="str">
        <f>IFERROR(VLOOKUP(D264,'[1]Product Datasheet'!$A:$G,6,0),"")</f>
        <v/>
      </c>
      <c r="Q264" s="47" t="str">
        <f>IFERROR(VLOOKUP(D264,'[1]Product Datasheet'!$A:$G,7,0), "")</f>
        <v/>
      </c>
      <c r="R264" s="48"/>
      <c r="S264" s="49" t="str">
        <f t="shared" si="11"/>
        <v>Accept</v>
      </c>
      <c r="T264" s="50"/>
      <c r="U264" s="51"/>
    </row>
    <row r="265" spans="1:21" ht="24.75" customHeight="1" x14ac:dyDescent="0.3">
      <c r="A265" s="38" t="str">
        <f>IFERROR(VLOOKUP(D265,'[1]Product Datasheet'!$A:$G,2,0),"")</f>
        <v/>
      </c>
      <c r="B265" s="39" t="str">
        <f>IFERROR(VLOOKUP(D265,'[1]Product Datasheet'!$A:$G,3,0),"")</f>
        <v/>
      </c>
      <c r="C265" s="40"/>
      <c r="D265" s="41"/>
      <c r="E265" s="41"/>
      <c r="F265" s="41"/>
      <c r="G265" s="42"/>
      <c r="H265" s="43"/>
      <c r="I265" s="42"/>
      <c r="J265" s="44"/>
      <c r="K265" s="44"/>
      <c r="L265" s="44"/>
      <c r="M265" s="45" t="str">
        <f t="shared" si="12"/>
        <v>Pass</v>
      </c>
      <c r="N265" s="46" t="str">
        <f>IFERROR(VLOOKUP(D265,'[1]Product Datasheet'!$A:$G,4,0),"")</f>
        <v/>
      </c>
      <c r="O265" s="47" t="str">
        <f>IFERROR(VLOOKUP(D265,'[1]Product Datasheet'!$A:$G,5,0),"")</f>
        <v/>
      </c>
      <c r="P265" s="47" t="str">
        <f>IFERROR(VLOOKUP(D265,'[1]Product Datasheet'!$A:$G,6,0),"")</f>
        <v/>
      </c>
      <c r="Q265" s="47" t="str">
        <f>IFERROR(VLOOKUP(D265,'[1]Product Datasheet'!$A:$G,7,0), "")</f>
        <v/>
      </c>
      <c r="R265" s="48"/>
      <c r="S265" s="49" t="str">
        <f t="shared" si="11"/>
        <v>Accept</v>
      </c>
      <c r="T265" s="50"/>
      <c r="U265" s="51"/>
    </row>
    <row r="266" spans="1:21" ht="24.75" customHeight="1" x14ac:dyDescent="0.3">
      <c r="A266" s="38" t="str">
        <f>IFERROR(VLOOKUP(D266,'[1]Product Datasheet'!$A:$G,2,0),"")</f>
        <v/>
      </c>
      <c r="B266" s="39" t="str">
        <f>IFERROR(VLOOKUP(D266,'[1]Product Datasheet'!$A:$G,3,0),"")</f>
        <v/>
      </c>
      <c r="C266" s="40"/>
      <c r="D266" s="41"/>
      <c r="E266" s="41"/>
      <c r="F266" s="41"/>
      <c r="G266" s="42"/>
      <c r="H266" s="43"/>
      <c r="I266" s="42"/>
      <c r="J266" s="44"/>
      <c r="K266" s="44"/>
      <c r="L266" s="44"/>
      <c r="M266" s="45" t="str">
        <f t="shared" si="12"/>
        <v>Pass</v>
      </c>
      <c r="N266" s="46" t="str">
        <f>IFERROR(VLOOKUP(D266,'[1]Product Datasheet'!$A:$G,4,0),"")</f>
        <v/>
      </c>
      <c r="O266" s="47" t="str">
        <f>IFERROR(VLOOKUP(D266,'[1]Product Datasheet'!$A:$G,5,0),"")</f>
        <v/>
      </c>
      <c r="P266" s="47" t="str">
        <f>IFERROR(VLOOKUP(D266,'[1]Product Datasheet'!$A:$G,6,0),"")</f>
        <v/>
      </c>
      <c r="Q266" s="47" t="str">
        <f>IFERROR(VLOOKUP(D266,'[1]Product Datasheet'!$A:$G,7,0), "")</f>
        <v/>
      </c>
      <c r="R266" s="48"/>
      <c r="S266" s="49" t="str">
        <f t="shared" si="11"/>
        <v>Accept</v>
      </c>
      <c r="T266" s="50"/>
      <c r="U266" s="51"/>
    </row>
    <row r="267" spans="1:21" ht="24.75" customHeight="1" x14ac:dyDescent="0.3">
      <c r="A267" s="38" t="str">
        <f>IFERROR(VLOOKUP(D267,'[1]Product Datasheet'!$A:$G,2,0),"")</f>
        <v/>
      </c>
      <c r="B267" s="39" t="str">
        <f>IFERROR(VLOOKUP(D267,'[1]Product Datasheet'!$A:$G,3,0),"")</f>
        <v/>
      </c>
      <c r="C267" s="40"/>
      <c r="D267" s="41"/>
      <c r="E267" s="41"/>
      <c r="F267" s="41"/>
      <c r="G267" s="42"/>
      <c r="H267" s="43"/>
      <c r="I267" s="42"/>
      <c r="J267" s="44"/>
      <c r="K267" s="44"/>
      <c r="L267" s="44"/>
      <c r="M267" s="45" t="str">
        <f t="shared" si="12"/>
        <v>Pass</v>
      </c>
      <c r="N267" s="46" t="str">
        <f>IFERROR(VLOOKUP(D267,'[1]Product Datasheet'!$A:$G,4,0),"")</f>
        <v/>
      </c>
      <c r="O267" s="47" t="str">
        <f>IFERROR(VLOOKUP(D267,'[1]Product Datasheet'!$A:$G,5,0),"")</f>
        <v/>
      </c>
      <c r="P267" s="47" t="str">
        <f>IFERROR(VLOOKUP(D267,'[1]Product Datasheet'!$A:$G,6,0),"")</f>
        <v/>
      </c>
      <c r="Q267" s="47" t="str">
        <f>IFERROR(VLOOKUP(D267,'[1]Product Datasheet'!$A:$G,7,0), "")</f>
        <v/>
      </c>
      <c r="R267" s="48"/>
      <c r="S267" s="49" t="str">
        <f t="shared" si="11"/>
        <v>Accept</v>
      </c>
      <c r="T267" s="50"/>
      <c r="U267" s="51"/>
    </row>
    <row r="268" spans="1:21" ht="24.75" customHeight="1" x14ac:dyDescent="0.3">
      <c r="A268" s="38" t="str">
        <f>IFERROR(VLOOKUP(D268,'[1]Product Datasheet'!$A:$G,2,0),"")</f>
        <v/>
      </c>
      <c r="B268" s="39" t="str">
        <f>IFERROR(VLOOKUP(D268,'[1]Product Datasheet'!$A:$G,3,0),"")</f>
        <v/>
      </c>
      <c r="C268" s="40"/>
      <c r="D268" s="41"/>
      <c r="E268" s="41"/>
      <c r="F268" s="41"/>
      <c r="G268" s="42"/>
      <c r="H268" s="43"/>
      <c r="I268" s="42"/>
      <c r="J268" s="44"/>
      <c r="K268" s="44"/>
      <c r="L268" s="44"/>
      <c r="M268" s="45" t="str">
        <f t="shared" si="12"/>
        <v>Pass</v>
      </c>
      <c r="N268" s="46" t="str">
        <f>IFERROR(VLOOKUP(D268,'[1]Product Datasheet'!$A:$G,4,0),"")</f>
        <v/>
      </c>
      <c r="O268" s="47" t="str">
        <f>IFERROR(VLOOKUP(D268,'[1]Product Datasheet'!$A:$G,5,0),"")</f>
        <v/>
      </c>
      <c r="P268" s="47" t="str">
        <f>IFERROR(VLOOKUP(D268,'[1]Product Datasheet'!$A:$G,6,0),"")</f>
        <v/>
      </c>
      <c r="Q268" s="47" t="str">
        <f>IFERROR(VLOOKUP(D268,'[1]Product Datasheet'!$A:$G,7,0), "")</f>
        <v/>
      </c>
      <c r="R268" s="48"/>
      <c r="S268" s="49" t="str">
        <f t="shared" si="11"/>
        <v>Accept</v>
      </c>
      <c r="T268" s="50"/>
      <c r="U268" s="51"/>
    </row>
    <row r="269" spans="1:21" ht="24.75" customHeight="1" x14ac:dyDescent="0.3">
      <c r="A269" s="38" t="str">
        <f>IFERROR(VLOOKUP(D269,'[1]Product Datasheet'!$A:$G,2,0),"")</f>
        <v/>
      </c>
      <c r="B269" s="39" t="str">
        <f>IFERROR(VLOOKUP(D269,'[1]Product Datasheet'!$A:$G,3,0),"")</f>
        <v/>
      </c>
      <c r="C269" s="40"/>
      <c r="D269" s="41"/>
      <c r="E269" s="41"/>
      <c r="F269" s="41"/>
      <c r="G269" s="42"/>
      <c r="H269" s="43"/>
      <c r="I269" s="42"/>
      <c r="J269" s="44"/>
      <c r="K269" s="44"/>
      <c r="L269" s="44"/>
      <c r="M269" s="45" t="str">
        <f t="shared" si="12"/>
        <v>Pass</v>
      </c>
      <c r="N269" s="46" t="str">
        <f>IFERROR(VLOOKUP(D269,'[1]Product Datasheet'!$A:$G,4,0),"")</f>
        <v/>
      </c>
      <c r="O269" s="47" t="str">
        <f>IFERROR(VLOOKUP(D269,'[1]Product Datasheet'!$A:$G,5,0),"")</f>
        <v/>
      </c>
      <c r="P269" s="47" t="str">
        <f>IFERROR(VLOOKUP(D269,'[1]Product Datasheet'!$A:$G,6,0),"")</f>
        <v/>
      </c>
      <c r="Q269" s="47" t="str">
        <f>IFERROR(VLOOKUP(D269,'[1]Product Datasheet'!$A:$G,7,0), "")</f>
        <v/>
      </c>
      <c r="R269" s="48"/>
      <c r="S269" s="49" t="str">
        <f t="shared" si="11"/>
        <v>Accept</v>
      </c>
      <c r="T269" s="50"/>
      <c r="U269" s="51"/>
    </row>
    <row r="270" spans="1:21" ht="24.75" customHeight="1" x14ac:dyDescent="0.3">
      <c r="A270" s="38" t="str">
        <f>IFERROR(VLOOKUP(D270,'[1]Product Datasheet'!$A:$G,2,0),"")</f>
        <v/>
      </c>
      <c r="B270" s="39" t="str">
        <f>IFERROR(VLOOKUP(D270,'[1]Product Datasheet'!$A:$G,3,0),"")</f>
        <v/>
      </c>
      <c r="C270" s="40"/>
      <c r="D270" s="41"/>
      <c r="E270" s="41"/>
      <c r="F270" s="41"/>
      <c r="G270" s="42"/>
      <c r="H270" s="43"/>
      <c r="I270" s="42"/>
      <c r="J270" s="44"/>
      <c r="K270" s="44"/>
      <c r="L270" s="44"/>
      <c r="M270" s="45" t="str">
        <f t="shared" si="12"/>
        <v>Pass</v>
      </c>
      <c r="N270" s="46" t="str">
        <f>IFERROR(VLOOKUP(D270,'[1]Product Datasheet'!$A:$G,4,0),"")</f>
        <v/>
      </c>
      <c r="O270" s="47" t="str">
        <f>IFERROR(VLOOKUP(D270,'[1]Product Datasheet'!$A:$G,5,0),"")</f>
        <v/>
      </c>
      <c r="P270" s="47" t="str">
        <f>IFERROR(VLOOKUP(D270,'[1]Product Datasheet'!$A:$G,6,0),"")</f>
        <v/>
      </c>
      <c r="Q270" s="47" t="str">
        <f>IFERROR(VLOOKUP(D270,'[1]Product Datasheet'!$A:$G,7,0), "")</f>
        <v/>
      </c>
      <c r="R270" s="48"/>
      <c r="S270" s="49" t="str">
        <f t="shared" si="11"/>
        <v>Accept</v>
      </c>
      <c r="T270" s="50"/>
      <c r="U270" s="51"/>
    </row>
    <row r="271" spans="1:21" ht="24.75" customHeight="1" x14ac:dyDescent="0.3">
      <c r="A271" s="38" t="str">
        <f>IFERROR(VLOOKUP(D271,'[1]Product Datasheet'!$A:$G,2,0),"")</f>
        <v/>
      </c>
      <c r="B271" s="39" t="str">
        <f>IFERROR(VLOOKUP(D271,'[1]Product Datasheet'!$A:$G,3,0),"")</f>
        <v/>
      </c>
      <c r="C271" s="40"/>
      <c r="D271" s="41"/>
      <c r="E271" s="41"/>
      <c r="F271" s="41"/>
      <c r="G271" s="42"/>
      <c r="H271" s="43"/>
      <c r="I271" s="42"/>
      <c r="J271" s="44"/>
      <c r="K271" s="44"/>
      <c r="L271" s="44"/>
      <c r="M271" s="45" t="str">
        <f t="shared" si="12"/>
        <v>Pass</v>
      </c>
      <c r="N271" s="46" t="str">
        <f>IFERROR(VLOOKUP(D271,'[1]Product Datasheet'!$A:$G,4,0),"")</f>
        <v/>
      </c>
      <c r="O271" s="47" t="str">
        <f>IFERROR(VLOOKUP(D271,'[1]Product Datasheet'!$A:$G,5,0),"")</f>
        <v/>
      </c>
      <c r="P271" s="47" t="str">
        <f>IFERROR(VLOOKUP(D271,'[1]Product Datasheet'!$A:$G,6,0),"")</f>
        <v/>
      </c>
      <c r="Q271" s="47" t="str">
        <f>IFERROR(VLOOKUP(D271,'[1]Product Datasheet'!$A:$G,7,0), "")</f>
        <v/>
      </c>
      <c r="R271" s="48"/>
      <c r="S271" s="49" t="str">
        <f t="shared" si="11"/>
        <v>Accept</v>
      </c>
      <c r="T271" s="50"/>
      <c r="U271" s="51"/>
    </row>
    <row r="272" spans="1:21" ht="24.75" customHeight="1" x14ac:dyDescent="0.3">
      <c r="A272" s="38" t="str">
        <f>IFERROR(VLOOKUP(D272,'[1]Product Datasheet'!$A:$G,2,0),"")</f>
        <v/>
      </c>
      <c r="B272" s="39" t="str">
        <f>IFERROR(VLOOKUP(D272,'[1]Product Datasheet'!$A:$G,3,0),"")</f>
        <v/>
      </c>
      <c r="C272" s="40"/>
      <c r="D272" s="41"/>
      <c r="E272" s="41"/>
      <c r="F272" s="41"/>
      <c r="G272" s="42"/>
      <c r="H272" s="43"/>
      <c r="I272" s="42"/>
      <c r="J272" s="44"/>
      <c r="K272" s="44"/>
      <c r="L272" s="44"/>
      <c r="M272" s="45" t="str">
        <f t="shared" si="12"/>
        <v>Pass</v>
      </c>
      <c r="N272" s="46" t="str">
        <f>IFERROR(VLOOKUP(D272,'[1]Product Datasheet'!$A:$G,4,0),"")</f>
        <v/>
      </c>
      <c r="O272" s="47" t="str">
        <f>IFERROR(VLOOKUP(D272,'[1]Product Datasheet'!$A:$G,5,0),"")</f>
        <v/>
      </c>
      <c r="P272" s="47" t="str">
        <f>IFERROR(VLOOKUP(D272,'[1]Product Datasheet'!$A:$G,6,0),"")</f>
        <v/>
      </c>
      <c r="Q272" s="47" t="str">
        <f>IFERROR(VLOOKUP(D272,'[1]Product Datasheet'!$A:$G,7,0), "")</f>
        <v/>
      </c>
      <c r="R272" s="48"/>
      <c r="S272" s="49" t="str">
        <f t="shared" si="11"/>
        <v>Accept</v>
      </c>
      <c r="T272" s="50"/>
      <c r="U272" s="51"/>
    </row>
    <row r="273" spans="1:21" ht="24.75" customHeight="1" x14ac:dyDescent="0.3">
      <c r="A273" s="38" t="str">
        <f>IFERROR(VLOOKUP(D273,'[1]Product Datasheet'!$A:$G,2,0),"")</f>
        <v/>
      </c>
      <c r="B273" s="39" t="str">
        <f>IFERROR(VLOOKUP(D273,'[1]Product Datasheet'!$A:$G,3,0),"")</f>
        <v/>
      </c>
      <c r="C273" s="40"/>
      <c r="D273" s="41"/>
      <c r="E273" s="41"/>
      <c r="F273" s="41"/>
      <c r="G273" s="42"/>
      <c r="H273" s="43"/>
      <c r="I273" s="42"/>
      <c r="J273" s="44"/>
      <c r="K273" s="44"/>
      <c r="L273" s="44"/>
      <c r="M273" s="45" t="str">
        <f t="shared" si="12"/>
        <v>Pass</v>
      </c>
      <c r="N273" s="46" t="str">
        <f>IFERROR(VLOOKUP(D273,'[1]Product Datasheet'!$A:$G,4,0),"")</f>
        <v/>
      </c>
      <c r="O273" s="47" t="str">
        <f>IFERROR(VLOOKUP(D273,'[1]Product Datasheet'!$A:$G,5,0),"")</f>
        <v/>
      </c>
      <c r="P273" s="47" t="str">
        <f>IFERROR(VLOOKUP(D273,'[1]Product Datasheet'!$A:$G,6,0),"")</f>
        <v/>
      </c>
      <c r="Q273" s="47" t="str">
        <f>IFERROR(VLOOKUP(D273,'[1]Product Datasheet'!$A:$G,7,0), "")</f>
        <v/>
      </c>
      <c r="R273" s="48"/>
      <c r="S273" s="49" t="str">
        <f t="shared" si="11"/>
        <v>Accept</v>
      </c>
      <c r="T273" s="50"/>
      <c r="U273" s="51"/>
    </row>
    <row r="274" spans="1:21" ht="24.75" customHeight="1" x14ac:dyDescent="0.3">
      <c r="A274" s="38" t="str">
        <f>IFERROR(VLOOKUP(D274,'[1]Product Datasheet'!$A:$G,2,0),"")</f>
        <v/>
      </c>
      <c r="B274" s="39" t="str">
        <f>IFERROR(VLOOKUP(D274,'[1]Product Datasheet'!$A:$G,3,0),"")</f>
        <v/>
      </c>
      <c r="C274" s="40"/>
      <c r="D274" s="41"/>
      <c r="E274" s="41"/>
      <c r="F274" s="41"/>
      <c r="G274" s="42"/>
      <c r="H274" s="43"/>
      <c r="I274" s="42"/>
      <c r="J274" s="44"/>
      <c r="K274" s="44"/>
      <c r="L274" s="44"/>
      <c r="M274" s="45" t="str">
        <f t="shared" si="12"/>
        <v>Pass</v>
      </c>
      <c r="N274" s="46" t="str">
        <f>IFERROR(VLOOKUP(D274,'[1]Product Datasheet'!$A:$G,4,0),"")</f>
        <v/>
      </c>
      <c r="O274" s="47" t="str">
        <f>IFERROR(VLOOKUP(D274,'[1]Product Datasheet'!$A:$G,5,0),"")</f>
        <v/>
      </c>
      <c r="P274" s="47" t="str">
        <f>IFERROR(VLOOKUP(D274,'[1]Product Datasheet'!$A:$G,6,0),"")</f>
        <v/>
      </c>
      <c r="Q274" s="47" t="str">
        <f>IFERROR(VLOOKUP(D274,'[1]Product Datasheet'!$A:$G,7,0), "")</f>
        <v/>
      </c>
      <c r="R274" s="48"/>
      <c r="S274" s="49" t="str">
        <f t="shared" si="11"/>
        <v>Accept</v>
      </c>
      <c r="T274" s="50"/>
      <c r="U274" s="51"/>
    </row>
    <row r="275" spans="1:21" ht="24.75" customHeight="1" x14ac:dyDescent="0.3">
      <c r="A275" s="38" t="str">
        <f>IFERROR(VLOOKUP(D275,'[1]Product Datasheet'!$A:$G,2,0),"")</f>
        <v/>
      </c>
      <c r="B275" s="39" t="str">
        <f>IFERROR(VLOOKUP(D275,'[1]Product Datasheet'!$A:$G,3,0),"")</f>
        <v/>
      </c>
      <c r="C275" s="40"/>
      <c r="D275" s="41"/>
      <c r="E275" s="41"/>
      <c r="F275" s="41"/>
      <c r="G275" s="42"/>
      <c r="H275" s="43"/>
      <c r="I275" s="42"/>
      <c r="J275" s="44"/>
      <c r="K275" s="44"/>
      <c r="L275" s="44"/>
      <c r="M275" s="45" t="str">
        <f t="shared" si="12"/>
        <v>Pass</v>
      </c>
      <c r="N275" s="46" t="str">
        <f>IFERROR(VLOOKUP(D275,'[1]Product Datasheet'!$A:$G,4,0),"")</f>
        <v/>
      </c>
      <c r="O275" s="47" t="str">
        <f>IFERROR(VLOOKUP(D275,'[1]Product Datasheet'!$A:$G,5,0),"")</f>
        <v/>
      </c>
      <c r="P275" s="47" t="str">
        <f>IFERROR(VLOOKUP(D275,'[1]Product Datasheet'!$A:$G,6,0),"")</f>
        <v/>
      </c>
      <c r="Q275" s="47" t="str">
        <f>IFERROR(VLOOKUP(D275,'[1]Product Datasheet'!$A:$G,7,0), "")</f>
        <v/>
      </c>
      <c r="R275" s="48"/>
      <c r="S275" s="49" t="str">
        <f t="shared" si="11"/>
        <v>Accept</v>
      </c>
      <c r="T275" s="50"/>
      <c r="U275" s="51"/>
    </row>
    <row r="276" spans="1:21" ht="24.75" customHeight="1" x14ac:dyDescent="0.3">
      <c r="A276" s="38" t="str">
        <f>IFERROR(VLOOKUP(D276,'[1]Product Datasheet'!$A:$G,2,0),"")</f>
        <v/>
      </c>
      <c r="B276" s="39" t="str">
        <f>IFERROR(VLOOKUP(D276,'[1]Product Datasheet'!$A:$G,3,0),"")</f>
        <v/>
      </c>
      <c r="C276" s="40"/>
      <c r="D276" s="41"/>
      <c r="E276" s="41"/>
      <c r="F276" s="41"/>
      <c r="G276" s="42"/>
      <c r="H276" s="43"/>
      <c r="I276" s="42"/>
      <c r="J276" s="44"/>
      <c r="K276" s="44"/>
      <c r="L276" s="44"/>
      <c r="M276" s="45" t="str">
        <f t="shared" si="12"/>
        <v>Pass</v>
      </c>
      <c r="N276" s="46" t="str">
        <f>IFERROR(VLOOKUP(D276,'[1]Product Datasheet'!$A:$G,4,0),"")</f>
        <v/>
      </c>
      <c r="O276" s="47" t="str">
        <f>IFERROR(VLOOKUP(D276,'[1]Product Datasheet'!$A:$G,5,0),"")</f>
        <v/>
      </c>
      <c r="P276" s="47" t="str">
        <f>IFERROR(VLOOKUP(D276,'[1]Product Datasheet'!$A:$G,6,0),"")</f>
        <v/>
      </c>
      <c r="Q276" s="47" t="str">
        <f>IFERROR(VLOOKUP(D276,'[1]Product Datasheet'!$A:$G,7,0), "")</f>
        <v/>
      </c>
      <c r="R276" s="48"/>
      <c r="S276" s="49" t="str">
        <f t="shared" si="11"/>
        <v>Accept</v>
      </c>
      <c r="T276" s="50"/>
      <c r="U276" s="51"/>
    </row>
    <row r="277" spans="1:21" ht="24.75" customHeight="1" x14ac:dyDescent="0.3">
      <c r="A277" s="38" t="str">
        <f>IFERROR(VLOOKUP(D277,'[1]Product Datasheet'!$A:$G,2,0),"")</f>
        <v/>
      </c>
      <c r="B277" s="39" t="str">
        <f>IFERROR(VLOOKUP(D277,'[1]Product Datasheet'!$A:$G,3,0),"")</f>
        <v/>
      </c>
      <c r="C277" s="40"/>
      <c r="D277" s="41"/>
      <c r="E277" s="41"/>
      <c r="F277" s="41"/>
      <c r="G277" s="42"/>
      <c r="H277" s="43"/>
      <c r="I277" s="42"/>
      <c r="J277" s="44"/>
      <c r="K277" s="44"/>
      <c r="L277" s="44"/>
      <c r="M277" s="45" t="str">
        <f t="shared" si="12"/>
        <v>Pass</v>
      </c>
      <c r="N277" s="46" t="str">
        <f>IFERROR(VLOOKUP(D277,'[1]Product Datasheet'!$A:$G,4,0),"")</f>
        <v/>
      </c>
      <c r="O277" s="47" t="str">
        <f>IFERROR(VLOOKUP(D277,'[1]Product Datasheet'!$A:$G,5,0),"")</f>
        <v/>
      </c>
      <c r="P277" s="47" t="str">
        <f>IFERROR(VLOOKUP(D277,'[1]Product Datasheet'!$A:$G,6,0),"")</f>
        <v/>
      </c>
      <c r="Q277" s="47" t="str">
        <f>IFERROR(VLOOKUP(D277,'[1]Product Datasheet'!$A:$G,7,0), "")</f>
        <v/>
      </c>
      <c r="R277" s="48"/>
      <c r="S277" s="49" t="str">
        <f t="shared" si="11"/>
        <v>Accept</v>
      </c>
      <c r="T277" s="50"/>
      <c r="U277" s="51"/>
    </row>
    <row r="278" spans="1:21" ht="24.75" customHeight="1" x14ac:dyDescent="0.3">
      <c r="A278" s="38" t="str">
        <f>IFERROR(VLOOKUP(D278,'[1]Product Datasheet'!$A:$G,2,0),"")</f>
        <v/>
      </c>
      <c r="B278" s="39" t="str">
        <f>IFERROR(VLOOKUP(D278,'[1]Product Datasheet'!$A:$G,3,0),"")</f>
        <v/>
      </c>
      <c r="C278" s="40"/>
      <c r="D278" s="41"/>
      <c r="E278" s="41"/>
      <c r="F278" s="41"/>
      <c r="G278" s="42"/>
      <c r="H278" s="43"/>
      <c r="I278" s="42"/>
      <c r="J278" s="44"/>
      <c r="K278" s="44"/>
      <c r="L278" s="44"/>
      <c r="M278" s="45" t="str">
        <f t="shared" si="12"/>
        <v>Pass</v>
      </c>
      <c r="N278" s="46" t="str">
        <f>IFERROR(VLOOKUP(D278,'[1]Product Datasheet'!$A:$G,4,0),"")</f>
        <v/>
      </c>
      <c r="O278" s="47" t="str">
        <f>IFERROR(VLOOKUP(D278,'[1]Product Datasheet'!$A:$G,5,0),"")</f>
        <v/>
      </c>
      <c r="P278" s="47" t="str">
        <f>IFERROR(VLOOKUP(D278,'[1]Product Datasheet'!$A:$G,6,0),"")</f>
        <v/>
      </c>
      <c r="Q278" s="47" t="str">
        <f>IFERROR(VLOOKUP(D278,'[1]Product Datasheet'!$A:$G,7,0), "")</f>
        <v/>
      </c>
      <c r="R278" s="48"/>
      <c r="S278" s="49" t="str">
        <f t="shared" si="11"/>
        <v>Accept</v>
      </c>
      <c r="T278" s="50"/>
      <c r="U278" s="51"/>
    </row>
    <row r="279" spans="1:21" ht="24.75" customHeight="1" x14ac:dyDescent="0.3">
      <c r="A279" s="38" t="str">
        <f>IFERROR(VLOOKUP(D279,'[1]Product Datasheet'!$A:$G,2,0),"")</f>
        <v/>
      </c>
      <c r="B279" s="39" t="str">
        <f>IFERROR(VLOOKUP(D279,'[1]Product Datasheet'!$A:$G,3,0),"")</f>
        <v/>
      </c>
      <c r="C279" s="40"/>
      <c r="D279" s="41"/>
      <c r="E279" s="41"/>
      <c r="F279" s="41"/>
      <c r="G279" s="42"/>
      <c r="H279" s="43"/>
      <c r="I279" s="42"/>
      <c r="J279" s="44"/>
      <c r="K279" s="44"/>
      <c r="L279" s="44"/>
      <c r="M279" s="45" t="str">
        <f t="shared" si="12"/>
        <v>Pass</v>
      </c>
      <c r="N279" s="46" t="str">
        <f>IFERROR(VLOOKUP(D279,'[1]Product Datasheet'!$A:$G,4,0),"")</f>
        <v/>
      </c>
      <c r="O279" s="47" t="str">
        <f>IFERROR(VLOOKUP(D279,'[1]Product Datasheet'!$A:$G,5,0),"")</f>
        <v/>
      </c>
      <c r="P279" s="47" t="str">
        <f>IFERROR(VLOOKUP(D279,'[1]Product Datasheet'!$A:$G,6,0),"")</f>
        <v/>
      </c>
      <c r="Q279" s="47" t="str">
        <f>IFERROR(VLOOKUP(D279,'[1]Product Datasheet'!$A:$G,7,0), "")</f>
        <v/>
      </c>
      <c r="R279" s="48"/>
      <c r="S279" s="49" t="str">
        <f t="shared" si="11"/>
        <v>Accept</v>
      </c>
      <c r="T279" s="50"/>
      <c r="U279" s="51"/>
    </row>
    <row r="280" spans="1:21" ht="24.75" customHeight="1" x14ac:dyDescent="0.3">
      <c r="A280" s="38" t="str">
        <f>IFERROR(VLOOKUP(D280,'[1]Product Datasheet'!$A:$G,2,0),"")</f>
        <v/>
      </c>
      <c r="B280" s="39" t="str">
        <f>IFERROR(VLOOKUP(D280,'[1]Product Datasheet'!$A:$G,3,0),"")</f>
        <v/>
      </c>
      <c r="C280" s="40"/>
      <c r="D280" s="41"/>
      <c r="E280" s="41"/>
      <c r="F280" s="41"/>
      <c r="G280" s="42"/>
      <c r="H280" s="43"/>
      <c r="I280" s="42"/>
      <c r="J280" s="44"/>
      <c r="K280" s="44"/>
      <c r="L280" s="44"/>
      <c r="M280" s="45" t="str">
        <f t="shared" si="12"/>
        <v>Pass</v>
      </c>
      <c r="N280" s="46" t="str">
        <f>IFERROR(VLOOKUP(D280,'[1]Product Datasheet'!$A:$G,4,0),"")</f>
        <v/>
      </c>
      <c r="O280" s="47" t="str">
        <f>IFERROR(VLOOKUP(D280,'[1]Product Datasheet'!$A:$G,5,0),"")</f>
        <v/>
      </c>
      <c r="P280" s="47" t="str">
        <f>IFERROR(VLOOKUP(D280,'[1]Product Datasheet'!$A:$G,6,0),"")</f>
        <v/>
      </c>
      <c r="Q280" s="47" t="str">
        <f>IFERROR(VLOOKUP(D280,'[1]Product Datasheet'!$A:$G,7,0), "")</f>
        <v/>
      </c>
      <c r="R280" s="48"/>
      <c r="S280" s="49" t="str">
        <f t="shared" si="11"/>
        <v>Accept</v>
      </c>
      <c r="T280" s="50"/>
      <c r="U280" s="51"/>
    </row>
    <row r="281" spans="1:21" ht="24.75" customHeight="1" x14ac:dyDescent="0.3">
      <c r="A281" s="38" t="str">
        <f>IFERROR(VLOOKUP(D281,'[1]Product Datasheet'!$A:$G,2,0),"")</f>
        <v/>
      </c>
      <c r="B281" s="39" t="str">
        <f>IFERROR(VLOOKUP(D281,'[1]Product Datasheet'!$A:$G,3,0),"")</f>
        <v/>
      </c>
      <c r="C281" s="40"/>
      <c r="D281" s="41"/>
      <c r="E281" s="41"/>
      <c r="F281" s="41"/>
      <c r="G281" s="42"/>
      <c r="H281" s="43"/>
      <c r="I281" s="42"/>
      <c r="J281" s="44"/>
      <c r="K281" s="44"/>
      <c r="L281" s="44"/>
      <c r="M281" s="45" t="str">
        <f t="shared" si="12"/>
        <v>Pass</v>
      </c>
      <c r="N281" s="46" t="str">
        <f>IFERROR(VLOOKUP(D281,'[1]Product Datasheet'!$A:$G,4,0),"")</f>
        <v/>
      </c>
      <c r="O281" s="47" t="str">
        <f>IFERROR(VLOOKUP(D281,'[1]Product Datasheet'!$A:$G,5,0),"")</f>
        <v/>
      </c>
      <c r="P281" s="47" t="str">
        <f>IFERROR(VLOOKUP(D281,'[1]Product Datasheet'!$A:$G,6,0),"")</f>
        <v/>
      </c>
      <c r="Q281" s="47" t="str">
        <f>IFERROR(VLOOKUP(D281,'[1]Product Datasheet'!$A:$G,7,0), "")</f>
        <v/>
      </c>
      <c r="R281" s="48"/>
      <c r="S281" s="49" t="str">
        <f t="shared" si="11"/>
        <v>Accept</v>
      </c>
      <c r="T281" s="50"/>
      <c r="U281" s="51"/>
    </row>
    <row r="282" spans="1:21" ht="24.75" customHeight="1" x14ac:dyDescent="0.3">
      <c r="A282" s="38" t="str">
        <f>IFERROR(VLOOKUP(D282,'[1]Product Datasheet'!$A:$G,2,0),"")</f>
        <v/>
      </c>
      <c r="B282" s="39" t="str">
        <f>IFERROR(VLOOKUP(D282,'[1]Product Datasheet'!$A:$G,3,0),"")</f>
        <v/>
      </c>
      <c r="C282" s="40"/>
      <c r="D282" s="41"/>
      <c r="E282" s="41"/>
      <c r="F282" s="41"/>
      <c r="G282" s="42"/>
      <c r="H282" s="43"/>
      <c r="I282" s="42"/>
      <c r="J282" s="44"/>
      <c r="K282" s="44"/>
      <c r="L282" s="44"/>
      <c r="M282" s="45" t="str">
        <f t="shared" si="12"/>
        <v>Pass</v>
      </c>
      <c r="N282" s="46" t="str">
        <f>IFERROR(VLOOKUP(D282,'[1]Product Datasheet'!$A:$G,4,0),"")</f>
        <v/>
      </c>
      <c r="O282" s="47" t="str">
        <f>IFERROR(VLOOKUP(D282,'[1]Product Datasheet'!$A:$G,5,0),"")</f>
        <v/>
      </c>
      <c r="P282" s="47" t="str">
        <f>IFERROR(VLOOKUP(D282,'[1]Product Datasheet'!$A:$G,6,0),"")</f>
        <v/>
      </c>
      <c r="Q282" s="47" t="str">
        <f>IFERROR(VLOOKUP(D282,'[1]Product Datasheet'!$A:$G,7,0), "")</f>
        <v/>
      </c>
      <c r="R282" s="48"/>
      <c r="S282" s="49" t="str">
        <f t="shared" ref="S282:S345" si="13">IFERROR(IF(AND(ROUND(H282, 2)&lt;=Q282, ROUND(G282,1)&lt;=O282), "Accept", "Reject"),"Reject")</f>
        <v>Accept</v>
      </c>
      <c r="T282" s="50"/>
      <c r="U282" s="51"/>
    </row>
    <row r="283" spans="1:21" ht="24.75" customHeight="1" x14ac:dyDescent="0.3">
      <c r="A283" s="38" t="str">
        <f>IFERROR(VLOOKUP(D283,'[1]Product Datasheet'!$A:$G,2,0),"")</f>
        <v/>
      </c>
      <c r="B283" s="39" t="str">
        <f>IFERROR(VLOOKUP(D283,'[1]Product Datasheet'!$A:$G,3,0),"")</f>
        <v/>
      </c>
      <c r="C283" s="40"/>
      <c r="D283" s="41"/>
      <c r="E283" s="41"/>
      <c r="F283" s="41"/>
      <c r="G283" s="42"/>
      <c r="H283" s="43"/>
      <c r="I283" s="42"/>
      <c r="J283" s="44"/>
      <c r="K283" s="44"/>
      <c r="L283" s="44"/>
      <c r="M283" s="45" t="str">
        <f t="shared" si="12"/>
        <v>Pass</v>
      </c>
      <c r="N283" s="46" t="str">
        <f>IFERROR(VLOOKUP(D283,'[1]Product Datasheet'!$A:$G,4,0),"")</f>
        <v/>
      </c>
      <c r="O283" s="47" t="str">
        <f>IFERROR(VLOOKUP(D283,'[1]Product Datasheet'!$A:$G,5,0),"")</f>
        <v/>
      </c>
      <c r="P283" s="47" t="str">
        <f>IFERROR(VLOOKUP(D283,'[1]Product Datasheet'!$A:$G,6,0),"")</f>
        <v/>
      </c>
      <c r="Q283" s="47" t="str">
        <f>IFERROR(VLOOKUP(D283,'[1]Product Datasheet'!$A:$G,7,0), "")</f>
        <v/>
      </c>
      <c r="R283" s="48"/>
      <c r="S283" s="49" t="str">
        <f t="shared" si="13"/>
        <v>Accept</v>
      </c>
      <c r="T283" s="50"/>
      <c r="U283" s="51"/>
    </row>
    <row r="284" spans="1:21" ht="24.75" customHeight="1" x14ac:dyDescent="0.3">
      <c r="A284" s="38" t="str">
        <f>IFERROR(VLOOKUP(D284,'[1]Product Datasheet'!$A:$G,2,0),"")</f>
        <v/>
      </c>
      <c r="B284" s="39" t="str">
        <f>IFERROR(VLOOKUP(D284,'[1]Product Datasheet'!$A:$G,3,0),"")</f>
        <v/>
      </c>
      <c r="C284" s="40"/>
      <c r="D284" s="41"/>
      <c r="E284" s="41"/>
      <c r="F284" s="41"/>
      <c r="G284" s="42"/>
      <c r="H284" s="43"/>
      <c r="I284" s="42"/>
      <c r="J284" s="44"/>
      <c r="K284" s="44"/>
      <c r="L284" s="44"/>
      <c r="M284" s="45" t="str">
        <f t="shared" si="12"/>
        <v>Pass</v>
      </c>
      <c r="N284" s="46" t="str">
        <f>IFERROR(VLOOKUP(D284,'[1]Product Datasheet'!$A:$G,4,0),"")</f>
        <v/>
      </c>
      <c r="O284" s="47" t="str">
        <f>IFERROR(VLOOKUP(D284,'[1]Product Datasheet'!$A:$G,5,0),"")</f>
        <v/>
      </c>
      <c r="P284" s="47" t="str">
        <f>IFERROR(VLOOKUP(D284,'[1]Product Datasheet'!$A:$G,6,0),"")</f>
        <v/>
      </c>
      <c r="Q284" s="47" t="str">
        <f>IFERROR(VLOOKUP(D284,'[1]Product Datasheet'!$A:$G,7,0), "")</f>
        <v/>
      </c>
      <c r="R284" s="48"/>
      <c r="S284" s="49" t="str">
        <f t="shared" si="13"/>
        <v>Accept</v>
      </c>
      <c r="T284" s="50"/>
      <c r="U284" s="51"/>
    </row>
    <row r="285" spans="1:21" ht="24.75" customHeight="1" x14ac:dyDescent="0.3">
      <c r="A285" s="38" t="str">
        <f>IFERROR(VLOOKUP(D285,'[1]Product Datasheet'!$A:$G,2,0),"")</f>
        <v/>
      </c>
      <c r="B285" s="39" t="str">
        <f>IFERROR(VLOOKUP(D285,'[1]Product Datasheet'!$A:$G,3,0),"")</f>
        <v/>
      </c>
      <c r="C285" s="40"/>
      <c r="D285" s="41"/>
      <c r="E285" s="41"/>
      <c r="F285" s="41"/>
      <c r="G285" s="42"/>
      <c r="H285" s="43"/>
      <c r="I285" s="42"/>
      <c r="J285" s="44"/>
      <c r="K285" s="44"/>
      <c r="L285" s="44"/>
      <c r="M285" s="45" t="str">
        <f t="shared" si="12"/>
        <v>Pass</v>
      </c>
      <c r="N285" s="46" t="str">
        <f>IFERROR(VLOOKUP(D285,'[1]Product Datasheet'!$A:$G,4,0),"")</f>
        <v/>
      </c>
      <c r="O285" s="47" t="str">
        <f>IFERROR(VLOOKUP(D285,'[1]Product Datasheet'!$A:$G,5,0),"")</f>
        <v/>
      </c>
      <c r="P285" s="47" t="str">
        <f>IFERROR(VLOOKUP(D285,'[1]Product Datasheet'!$A:$G,6,0),"")</f>
        <v/>
      </c>
      <c r="Q285" s="47" t="str">
        <f>IFERROR(VLOOKUP(D285,'[1]Product Datasheet'!$A:$G,7,0), "")</f>
        <v/>
      </c>
      <c r="R285" s="48"/>
      <c r="S285" s="49" t="str">
        <f t="shared" si="13"/>
        <v>Accept</v>
      </c>
      <c r="T285" s="50"/>
      <c r="U285" s="51"/>
    </row>
    <row r="286" spans="1:21" ht="24.75" customHeight="1" x14ac:dyDescent="0.3">
      <c r="A286" s="38" t="str">
        <f>IFERROR(VLOOKUP(D286,'[1]Product Datasheet'!$A:$G,2,0),"")</f>
        <v/>
      </c>
      <c r="B286" s="39" t="str">
        <f>IFERROR(VLOOKUP(D286,'[1]Product Datasheet'!$A:$G,3,0),"")</f>
        <v/>
      </c>
      <c r="C286" s="40"/>
      <c r="D286" s="41"/>
      <c r="E286" s="41"/>
      <c r="F286" s="41"/>
      <c r="G286" s="42"/>
      <c r="H286" s="43"/>
      <c r="I286" s="42"/>
      <c r="J286" s="44"/>
      <c r="K286" s="44"/>
      <c r="L286" s="44"/>
      <c r="M286" s="45" t="str">
        <f t="shared" si="12"/>
        <v>Pass</v>
      </c>
      <c r="N286" s="46" t="str">
        <f>IFERROR(VLOOKUP(D286,'[1]Product Datasheet'!$A:$G,4,0),"")</f>
        <v/>
      </c>
      <c r="O286" s="47" t="str">
        <f>IFERROR(VLOOKUP(D286,'[1]Product Datasheet'!$A:$G,5,0),"")</f>
        <v/>
      </c>
      <c r="P286" s="47" t="str">
        <f>IFERROR(VLOOKUP(D286,'[1]Product Datasheet'!$A:$G,6,0),"")</f>
        <v/>
      </c>
      <c r="Q286" s="47" t="str">
        <f>IFERROR(VLOOKUP(D286,'[1]Product Datasheet'!$A:$G,7,0), "")</f>
        <v/>
      </c>
      <c r="R286" s="48"/>
      <c r="S286" s="49" t="str">
        <f t="shared" si="13"/>
        <v>Accept</v>
      </c>
      <c r="T286" s="50"/>
      <c r="U286" s="51"/>
    </row>
    <row r="287" spans="1:21" ht="24.75" customHeight="1" x14ac:dyDescent="0.3">
      <c r="A287" s="38" t="str">
        <f>IFERROR(VLOOKUP(D287,'[1]Product Datasheet'!$A:$G,2,0),"")</f>
        <v/>
      </c>
      <c r="B287" s="39" t="str">
        <f>IFERROR(VLOOKUP(D287,'[1]Product Datasheet'!$A:$G,3,0),"")</f>
        <v/>
      </c>
      <c r="C287" s="40"/>
      <c r="D287" s="41"/>
      <c r="E287" s="41"/>
      <c r="F287" s="41"/>
      <c r="G287" s="42"/>
      <c r="H287" s="43"/>
      <c r="I287" s="42"/>
      <c r="J287" s="44"/>
      <c r="K287" s="44"/>
      <c r="L287" s="44"/>
      <c r="M287" s="45" t="str">
        <f t="shared" si="12"/>
        <v>Pass</v>
      </c>
      <c r="N287" s="46" t="str">
        <f>IFERROR(VLOOKUP(D287,'[1]Product Datasheet'!$A:$G,4,0),"")</f>
        <v/>
      </c>
      <c r="O287" s="47" t="str">
        <f>IFERROR(VLOOKUP(D287,'[1]Product Datasheet'!$A:$G,5,0),"")</f>
        <v/>
      </c>
      <c r="P287" s="47" t="str">
        <f>IFERROR(VLOOKUP(D287,'[1]Product Datasheet'!$A:$G,6,0),"")</f>
        <v/>
      </c>
      <c r="Q287" s="47" t="str">
        <f>IFERROR(VLOOKUP(D287,'[1]Product Datasheet'!$A:$G,7,0), "")</f>
        <v/>
      </c>
      <c r="R287" s="48"/>
      <c r="S287" s="49" t="str">
        <f t="shared" si="13"/>
        <v>Accept</v>
      </c>
      <c r="T287" s="50"/>
      <c r="U287" s="51"/>
    </row>
    <row r="288" spans="1:21" ht="24.75" customHeight="1" x14ac:dyDescent="0.3">
      <c r="A288" s="38" t="str">
        <f>IFERROR(VLOOKUP(D288,'[1]Product Datasheet'!$A:$G,2,0),"")</f>
        <v/>
      </c>
      <c r="B288" s="39" t="str">
        <f>IFERROR(VLOOKUP(D288,'[1]Product Datasheet'!$A:$G,3,0),"")</f>
        <v/>
      </c>
      <c r="C288" s="40"/>
      <c r="D288" s="41"/>
      <c r="E288" s="41"/>
      <c r="F288" s="41"/>
      <c r="G288" s="42"/>
      <c r="H288" s="43"/>
      <c r="I288" s="42"/>
      <c r="J288" s="44"/>
      <c r="K288" s="44"/>
      <c r="L288" s="44"/>
      <c r="M288" s="45" t="str">
        <f t="shared" si="12"/>
        <v>Pass</v>
      </c>
      <c r="N288" s="46" t="str">
        <f>IFERROR(VLOOKUP(D288,'[1]Product Datasheet'!$A:$G,4,0),"")</f>
        <v/>
      </c>
      <c r="O288" s="47" t="str">
        <f>IFERROR(VLOOKUP(D288,'[1]Product Datasheet'!$A:$G,5,0),"")</f>
        <v/>
      </c>
      <c r="P288" s="47" t="str">
        <f>IFERROR(VLOOKUP(D288,'[1]Product Datasheet'!$A:$G,6,0),"")</f>
        <v/>
      </c>
      <c r="Q288" s="47" t="str">
        <f>IFERROR(VLOOKUP(D288,'[1]Product Datasheet'!$A:$G,7,0), "")</f>
        <v/>
      </c>
      <c r="R288" s="48"/>
      <c r="S288" s="49" t="str">
        <f t="shared" si="13"/>
        <v>Accept</v>
      </c>
      <c r="T288" s="50"/>
      <c r="U288" s="51"/>
    </row>
    <row r="289" spans="1:21" ht="24.75" customHeight="1" x14ac:dyDescent="0.3">
      <c r="A289" s="38" t="str">
        <f>IFERROR(VLOOKUP(D289,'[1]Product Datasheet'!$A:$G,2,0),"")</f>
        <v/>
      </c>
      <c r="B289" s="39" t="str">
        <f>IFERROR(VLOOKUP(D289,'[1]Product Datasheet'!$A:$G,3,0),"")</f>
        <v/>
      </c>
      <c r="C289" s="40"/>
      <c r="D289" s="41"/>
      <c r="E289" s="41"/>
      <c r="F289" s="41"/>
      <c r="G289" s="42"/>
      <c r="H289" s="43"/>
      <c r="I289" s="42"/>
      <c r="J289" s="44"/>
      <c r="K289" s="44"/>
      <c r="L289" s="44"/>
      <c r="M289" s="45" t="str">
        <f t="shared" si="12"/>
        <v>Pass</v>
      </c>
      <c r="N289" s="46" t="str">
        <f>IFERROR(VLOOKUP(D289,'[1]Product Datasheet'!$A:$G,4,0),"")</f>
        <v/>
      </c>
      <c r="O289" s="47" t="str">
        <f>IFERROR(VLOOKUP(D289,'[1]Product Datasheet'!$A:$G,5,0),"")</f>
        <v/>
      </c>
      <c r="P289" s="47" t="str">
        <f>IFERROR(VLOOKUP(D289,'[1]Product Datasheet'!$A:$G,6,0),"")</f>
        <v/>
      </c>
      <c r="Q289" s="47" t="str">
        <f>IFERROR(VLOOKUP(D289,'[1]Product Datasheet'!$A:$G,7,0), "")</f>
        <v/>
      </c>
      <c r="R289" s="48"/>
      <c r="S289" s="49" t="str">
        <f t="shared" si="13"/>
        <v>Accept</v>
      </c>
      <c r="T289" s="50"/>
      <c r="U289" s="51"/>
    </row>
    <row r="290" spans="1:21" ht="24.75" customHeight="1" x14ac:dyDescent="0.3">
      <c r="A290" s="38" t="str">
        <f>IFERROR(VLOOKUP(D290,'[1]Product Datasheet'!$A:$G,2,0),"")</f>
        <v/>
      </c>
      <c r="B290" s="39" t="str">
        <f>IFERROR(VLOOKUP(D290,'[1]Product Datasheet'!$A:$G,3,0),"")</f>
        <v/>
      </c>
      <c r="C290" s="40"/>
      <c r="D290" s="41"/>
      <c r="E290" s="41"/>
      <c r="F290" s="41"/>
      <c r="G290" s="42"/>
      <c r="H290" s="43"/>
      <c r="I290" s="42"/>
      <c r="J290" s="44"/>
      <c r="K290" s="44"/>
      <c r="L290" s="44"/>
      <c r="M290" s="45" t="str">
        <f t="shared" si="12"/>
        <v>Pass</v>
      </c>
      <c r="N290" s="46" t="str">
        <f>IFERROR(VLOOKUP(D290,'[1]Product Datasheet'!$A:$G,4,0),"")</f>
        <v/>
      </c>
      <c r="O290" s="47" t="str">
        <f>IFERROR(VLOOKUP(D290,'[1]Product Datasheet'!$A:$G,5,0),"")</f>
        <v/>
      </c>
      <c r="P290" s="47" t="str">
        <f>IFERROR(VLOOKUP(D290,'[1]Product Datasheet'!$A:$G,6,0),"")</f>
        <v/>
      </c>
      <c r="Q290" s="47" t="str">
        <f>IFERROR(VLOOKUP(D290,'[1]Product Datasheet'!$A:$G,7,0), "")</f>
        <v/>
      </c>
      <c r="R290" s="48"/>
      <c r="S290" s="49" t="str">
        <f t="shared" si="13"/>
        <v>Accept</v>
      </c>
      <c r="T290" s="50"/>
      <c r="U290" s="51"/>
    </row>
    <row r="291" spans="1:21" ht="24.75" customHeight="1" x14ac:dyDescent="0.3">
      <c r="A291" s="38" t="str">
        <f>IFERROR(VLOOKUP(D291,'[1]Product Datasheet'!$A:$G,2,0),"")</f>
        <v/>
      </c>
      <c r="B291" s="39" t="str">
        <f>IFERROR(VLOOKUP(D291,'[1]Product Datasheet'!$A:$G,3,0),"")</f>
        <v/>
      </c>
      <c r="C291" s="40"/>
      <c r="D291" s="41"/>
      <c r="E291" s="41"/>
      <c r="F291" s="41"/>
      <c r="G291" s="42"/>
      <c r="H291" s="43"/>
      <c r="I291" s="42"/>
      <c r="J291" s="44"/>
      <c r="K291" s="44"/>
      <c r="L291" s="44"/>
      <c r="M291" s="45" t="str">
        <f t="shared" si="12"/>
        <v>Pass</v>
      </c>
      <c r="N291" s="46" t="str">
        <f>IFERROR(VLOOKUP(D291,'[1]Product Datasheet'!$A:$G,4,0),"")</f>
        <v/>
      </c>
      <c r="O291" s="47" t="str">
        <f>IFERROR(VLOOKUP(D291,'[1]Product Datasheet'!$A:$G,5,0),"")</f>
        <v/>
      </c>
      <c r="P291" s="47" t="str">
        <f>IFERROR(VLOOKUP(D291,'[1]Product Datasheet'!$A:$G,6,0),"")</f>
        <v/>
      </c>
      <c r="Q291" s="47" t="str">
        <f>IFERROR(VLOOKUP(D291,'[1]Product Datasheet'!$A:$G,7,0), "")</f>
        <v/>
      </c>
      <c r="R291" s="48"/>
      <c r="S291" s="49" t="str">
        <f t="shared" si="13"/>
        <v>Accept</v>
      </c>
      <c r="T291" s="50"/>
      <c r="U291" s="51"/>
    </row>
    <row r="292" spans="1:21" ht="24.75" customHeight="1" x14ac:dyDescent="0.3">
      <c r="A292" s="38" t="str">
        <f>IFERROR(VLOOKUP(D292,'[1]Product Datasheet'!$A:$G,2,0),"")</f>
        <v/>
      </c>
      <c r="B292" s="39" t="str">
        <f>IFERROR(VLOOKUP(D292,'[1]Product Datasheet'!$A:$G,3,0),"")</f>
        <v/>
      </c>
      <c r="C292" s="40"/>
      <c r="D292" s="41"/>
      <c r="E292" s="41"/>
      <c r="F292" s="41"/>
      <c r="G292" s="42"/>
      <c r="H292" s="43"/>
      <c r="I292" s="42"/>
      <c r="J292" s="44"/>
      <c r="K292" s="44"/>
      <c r="L292" s="44"/>
      <c r="M292" s="45" t="str">
        <f t="shared" si="12"/>
        <v>Pass</v>
      </c>
      <c r="N292" s="46" t="str">
        <f>IFERROR(VLOOKUP(D292,'[1]Product Datasheet'!$A:$G,4,0),"")</f>
        <v/>
      </c>
      <c r="O292" s="47" t="str">
        <f>IFERROR(VLOOKUP(D292,'[1]Product Datasheet'!$A:$G,5,0),"")</f>
        <v/>
      </c>
      <c r="P292" s="47" t="str">
        <f>IFERROR(VLOOKUP(D292,'[1]Product Datasheet'!$A:$G,6,0),"")</f>
        <v/>
      </c>
      <c r="Q292" s="47" t="str">
        <f>IFERROR(VLOOKUP(D292,'[1]Product Datasheet'!$A:$G,7,0), "")</f>
        <v/>
      </c>
      <c r="R292" s="48"/>
      <c r="S292" s="49" t="str">
        <f t="shared" si="13"/>
        <v>Accept</v>
      </c>
      <c r="T292" s="50"/>
      <c r="U292" s="51"/>
    </row>
    <row r="293" spans="1:21" ht="24.75" customHeight="1" x14ac:dyDescent="0.3">
      <c r="A293" s="38" t="str">
        <f>IFERROR(VLOOKUP(D293,'[1]Product Datasheet'!$A:$G,2,0),"")</f>
        <v/>
      </c>
      <c r="B293" s="39" t="str">
        <f>IFERROR(VLOOKUP(D293,'[1]Product Datasheet'!$A:$G,3,0),"")</f>
        <v/>
      </c>
      <c r="C293" s="40"/>
      <c r="D293" s="41"/>
      <c r="E293" s="41"/>
      <c r="F293" s="41"/>
      <c r="G293" s="42"/>
      <c r="H293" s="43"/>
      <c r="I293" s="42"/>
      <c r="J293" s="44"/>
      <c r="K293" s="44"/>
      <c r="L293" s="44"/>
      <c r="M293" s="45" t="str">
        <f t="shared" si="12"/>
        <v>Pass</v>
      </c>
      <c r="N293" s="46" t="str">
        <f>IFERROR(VLOOKUP(D293,'[1]Product Datasheet'!$A:$G,4,0),"")</f>
        <v/>
      </c>
      <c r="O293" s="47" t="str">
        <f>IFERROR(VLOOKUP(D293,'[1]Product Datasheet'!$A:$G,5,0),"")</f>
        <v/>
      </c>
      <c r="P293" s="47" t="str">
        <f>IFERROR(VLOOKUP(D293,'[1]Product Datasheet'!$A:$G,6,0),"")</f>
        <v/>
      </c>
      <c r="Q293" s="47" t="str">
        <f>IFERROR(VLOOKUP(D293,'[1]Product Datasheet'!$A:$G,7,0), "")</f>
        <v/>
      </c>
      <c r="R293" s="48"/>
      <c r="S293" s="49" t="str">
        <f t="shared" si="13"/>
        <v>Accept</v>
      </c>
      <c r="T293" s="50"/>
      <c r="U293" s="51"/>
    </row>
    <row r="294" spans="1:21" ht="24.75" customHeight="1" x14ac:dyDescent="0.3">
      <c r="A294" s="38" t="str">
        <f>IFERROR(VLOOKUP(D294,'[1]Product Datasheet'!$A:$G,2,0),"")</f>
        <v/>
      </c>
      <c r="B294" s="39" t="str">
        <f>IFERROR(VLOOKUP(D294,'[1]Product Datasheet'!$A:$G,3,0),"")</f>
        <v/>
      </c>
      <c r="C294" s="40"/>
      <c r="D294" s="41"/>
      <c r="E294" s="41"/>
      <c r="F294" s="41"/>
      <c r="G294" s="42"/>
      <c r="H294" s="43"/>
      <c r="I294" s="42"/>
      <c r="J294" s="44"/>
      <c r="K294" s="44"/>
      <c r="L294" s="44"/>
      <c r="M294" s="45" t="str">
        <f t="shared" si="12"/>
        <v>Pass</v>
      </c>
      <c r="N294" s="46" t="str">
        <f>IFERROR(VLOOKUP(D294,'[1]Product Datasheet'!$A:$G,4,0),"")</f>
        <v/>
      </c>
      <c r="O294" s="47" t="str">
        <f>IFERROR(VLOOKUP(D294,'[1]Product Datasheet'!$A:$G,5,0),"")</f>
        <v/>
      </c>
      <c r="P294" s="47" t="str">
        <f>IFERROR(VLOOKUP(D294,'[1]Product Datasheet'!$A:$G,6,0),"")</f>
        <v/>
      </c>
      <c r="Q294" s="47" t="str">
        <f>IFERROR(VLOOKUP(D294,'[1]Product Datasheet'!$A:$G,7,0), "")</f>
        <v/>
      </c>
      <c r="R294" s="48"/>
      <c r="S294" s="49" t="str">
        <f t="shared" si="13"/>
        <v>Accept</v>
      </c>
      <c r="T294" s="50"/>
      <c r="U294" s="51"/>
    </row>
    <row r="295" spans="1:21" ht="24.75" customHeight="1" x14ac:dyDescent="0.3">
      <c r="A295" s="38" t="str">
        <f>IFERROR(VLOOKUP(D295,'[1]Product Datasheet'!$A:$G,2,0),"")</f>
        <v/>
      </c>
      <c r="B295" s="39" t="str">
        <f>IFERROR(VLOOKUP(D295,'[1]Product Datasheet'!$A:$G,3,0),"")</f>
        <v/>
      </c>
      <c r="C295" s="40"/>
      <c r="D295" s="41"/>
      <c r="E295" s="41"/>
      <c r="F295" s="41"/>
      <c r="G295" s="42"/>
      <c r="H295" s="43"/>
      <c r="I295" s="42"/>
      <c r="J295" s="44"/>
      <c r="K295" s="44"/>
      <c r="L295" s="44"/>
      <c r="M295" s="45" t="str">
        <f t="shared" si="12"/>
        <v>Pass</v>
      </c>
      <c r="N295" s="46" t="str">
        <f>IFERROR(VLOOKUP(D295,'[1]Product Datasheet'!$A:$G,4,0),"")</f>
        <v/>
      </c>
      <c r="O295" s="47" t="str">
        <f>IFERROR(VLOOKUP(D295,'[1]Product Datasheet'!$A:$G,5,0),"")</f>
        <v/>
      </c>
      <c r="P295" s="47" t="str">
        <f>IFERROR(VLOOKUP(D295,'[1]Product Datasheet'!$A:$G,6,0),"")</f>
        <v/>
      </c>
      <c r="Q295" s="47" t="str">
        <f>IFERROR(VLOOKUP(D295,'[1]Product Datasheet'!$A:$G,7,0), "")</f>
        <v/>
      </c>
      <c r="R295" s="48"/>
      <c r="S295" s="49" t="str">
        <f t="shared" si="13"/>
        <v>Accept</v>
      </c>
      <c r="T295" s="50"/>
      <c r="U295" s="51"/>
    </row>
    <row r="296" spans="1:21" ht="24.75" customHeight="1" x14ac:dyDescent="0.3">
      <c r="A296" s="38" t="str">
        <f>IFERROR(VLOOKUP(D296,'[1]Product Datasheet'!$A:$G,2,0),"")</f>
        <v/>
      </c>
      <c r="B296" s="39" t="str">
        <f>IFERROR(VLOOKUP(D296,'[1]Product Datasheet'!$A:$G,3,0),"")</f>
        <v/>
      </c>
      <c r="C296" s="40"/>
      <c r="D296" s="41"/>
      <c r="E296" s="41"/>
      <c r="F296" s="41"/>
      <c r="G296" s="42"/>
      <c r="H296" s="43"/>
      <c r="I296" s="42"/>
      <c r="J296" s="44"/>
      <c r="K296" s="44"/>
      <c r="L296" s="44"/>
      <c r="M296" s="45" t="str">
        <f t="shared" si="12"/>
        <v>Pass</v>
      </c>
      <c r="N296" s="46" t="str">
        <f>IFERROR(VLOOKUP(D296,'[1]Product Datasheet'!$A:$G,4,0),"")</f>
        <v/>
      </c>
      <c r="O296" s="47" t="str">
        <f>IFERROR(VLOOKUP(D296,'[1]Product Datasheet'!$A:$G,5,0),"")</f>
        <v/>
      </c>
      <c r="P296" s="47" t="str">
        <f>IFERROR(VLOOKUP(D296,'[1]Product Datasheet'!$A:$G,6,0),"")</f>
        <v/>
      </c>
      <c r="Q296" s="47" t="str">
        <f>IFERROR(VLOOKUP(D296,'[1]Product Datasheet'!$A:$G,7,0), "")</f>
        <v/>
      </c>
      <c r="R296" s="48"/>
      <c r="S296" s="49" t="str">
        <f t="shared" si="13"/>
        <v>Accept</v>
      </c>
      <c r="T296" s="50"/>
      <c r="U296" s="51"/>
    </row>
    <row r="297" spans="1:21" ht="24.75" customHeight="1" x14ac:dyDescent="0.3">
      <c r="A297" s="38" t="str">
        <f>IFERROR(VLOOKUP(D297,'[1]Product Datasheet'!$A:$G,2,0),"")</f>
        <v/>
      </c>
      <c r="B297" s="39" t="str">
        <f>IFERROR(VLOOKUP(D297,'[1]Product Datasheet'!$A:$G,3,0),"")</f>
        <v/>
      </c>
      <c r="C297" s="40"/>
      <c r="D297" s="41"/>
      <c r="E297" s="41"/>
      <c r="F297" s="41"/>
      <c r="G297" s="42"/>
      <c r="H297" s="43"/>
      <c r="I297" s="42"/>
      <c r="J297" s="44"/>
      <c r="K297" s="44"/>
      <c r="L297" s="44"/>
      <c r="M297" s="45" t="str">
        <f t="shared" si="12"/>
        <v>Pass</v>
      </c>
      <c r="N297" s="46" t="str">
        <f>IFERROR(VLOOKUP(D297,'[1]Product Datasheet'!$A:$G,4,0),"")</f>
        <v/>
      </c>
      <c r="O297" s="47" t="str">
        <f>IFERROR(VLOOKUP(D297,'[1]Product Datasheet'!$A:$G,5,0),"")</f>
        <v/>
      </c>
      <c r="P297" s="47" t="str">
        <f>IFERROR(VLOOKUP(D297,'[1]Product Datasheet'!$A:$G,6,0),"")</f>
        <v/>
      </c>
      <c r="Q297" s="47" t="str">
        <f>IFERROR(VLOOKUP(D297,'[1]Product Datasheet'!$A:$G,7,0), "")</f>
        <v/>
      </c>
      <c r="R297" s="48"/>
      <c r="S297" s="49" t="str">
        <f t="shared" si="13"/>
        <v>Accept</v>
      </c>
      <c r="T297" s="50"/>
      <c r="U297" s="51"/>
    </row>
    <row r="298" spans="1:21" ht="24.75" customHeight="1" x14ac:dyDescent="0.3">
      <c r="A298" s="38" t="str">
        <f>IFERROR(VLOOKUP(D298,'[1]Product Datasheet'!$A:$G,2,0),"")</f>
        <v/>
      </c>
      <c r="B298" s="39" t="str">
        <f>IFERROR(VLOOKUP(D298,'[1]Product Datasheet'!$A:$G,3,0),"")</f>
        <v/>
      </c>
      <c r="C298" s="40"/>
      <c r="D298" s="41"/>
      <c r="E298" s="41"/>
      <c r="F298" s="41"/>
      <c r="G298" s="42"/>
      <c r="H298" s="43"/>
      <c r="I298" s="42"/>
      <c r="J298" s="44"/>
      <c r="K298" s="44"/>
      <c r="L298" s="44"/>
      <c r="M298" s="45" t="str">
        <f t="shared" si="12"/>
        <v>Pass</v>
      </c>
      <c r="N298" s="46" t="str">
        <f>IFERROR(VLOOKUP(D298,'[1]Product Datasheet'!$A:$G,4,0),"")</f>
        <v/>
      </c>
      <c r="O298" s="47" t="str">
        <f>IFERROR(VLOOKUP(D298,'[1]Product Datasheet'!$A:$G,5,0),"")</f>
        <v/>
      </c>
      <c r="P298" s="47" t="str">
        <f>IFERROR(VLOOKUP(D298,'[1]Product Datasheet'!$A:$G,6,0),"")</f>
        <v/>
      </c>
      <c r="Q298" s="47" t="str">
        <f>IFERROR(VLOOKUP(D298,'[1]Product Datasheet'!$A:$G,7,0), "")</f>
        <v/>
      </c>
      <c r="R298" s="48"/>
      <c r="S298" s="49" t="str">
        <f t="shared" si="13"/>
        <v>Accept</v>
      </c>
      <c r="T298" s="50"/>
      <c r="U298" s="51"/>
    </row>
    <row r="299" spans="1:21" ht="24.75" customHeight="1" x14ac:dyDescent="0.3">
      <c r="A299" s="38" t="str">
        <f>IFERROR(VLOOKUP(D299,'[1]Product Datasheet'!$A:$G,2,0),"")</f>
        <v/>
      </c>
      <c r="B299" s="39" t="str">
        <f>IFERROR(VLOOKUP(D299,'[1]Product Datasheet'!$A:$G,3,0),"")</f>
        <v/>
      </c>
      <c r="C299" s="40"/>
      <c r="D299" s="41"/>
      <c r="E299" s="41"/>
      <c r="F299" s="41"/>
      <c r="G299" s="42"/>
      <c r="H299" s="43"/>
      <c r="I299" s="42"/>
      <c r="J299" s="44"/>
      <c r="K299" s="44"/>
      <c r="L299" s="44"/>
      <c r="M299" s="45" t="str">
        <f t="shared" si="12"/>
        <v>Pass</v>
      </c>
      <c r="N299" s="46" t="str">
        <f>IFERROR(VLOOKUP(D299,'[1]Product Datasheet'!$A:$G,4,0),"")</f>
        <v/>
      </c>
      <c r="O299" s="47" t="str">
        <f>IFERROR(VLOOKUP(D299,'[1]Product Datasheet'!$A:$G,5,0),"")</f>
        <v/>
      </c>
      <c r="P299" s="47" t="str">
        <f>IFERROR(VLOOKUP(D299,'[1]Product Datasheet'!$A:$G,6,0),"")</f>
        <v/>
      </c>
      <c r="Q299" s="47" t="str">
        <f>IFERROR(VLOOKUP(D299,'[1]Product Datasheet'!$A:$G,7,0), "")</f>
        <v/>
      </c>
      <c r="R299" s="48"/>
      <c r="S299" s="49" t="str">
        <f t="shared" si="13"/>
        <v>Accept</v>
      </c>
      <c r="T299" s="50"/>
      <c r="U299" s="51"/>
    </row>
    <row r="300" spans="1:21" ht="24.75" customHeight="1" x14ac:dyDescent="0.3">
      <c r="A300" s="38" t="str">
        <f>IFERROR(VLOOKUP(D300,'[1]Product Datasheet'!$A:$G,2,0),"")</f>
        <v/>
      </c>
      <c r="B300" s="39" t="str">
        <f>IFERROR(VLOOKUP(D300,'[1]Product Datasheet'!$A:$G,3,0),"")</f>
        <v/>
      </c>
      <c r="C300" s="40"/>
      <c r="D300" s="41"/>
      <c r="E300" s="41"/>
      <c r="F300" s="41"/>
      <c r="G300" s="42"/>
      <c r="H300" s="43"/>
      <c r="I300" s="42"/>
      <c r="J300" s="44"/>
      <c r="K300" s="44"/>
      <c r="L300" s="44"/>
      <c r="M300" s="45" t="str">
        <f t="shared" si="12"/>
        <v>Pass</v>
      </c>
      <c r="N300" s="46" t="str">
        <f>IFERROR(VLOOKUP(D300,'[1]Product Datasheet'!$A:$G,4,0),"")</f>
        <v/>
      </c>
      <c r="O300" s="47" t="str">
        <f>IFERROR(VLOOKUP(D300,'[1]Product Datasheet'!$A:$G,5,0),"")</f>
        <v/>
      </c>
      <c r="P300" s="47" t="str">
        <f>IFERROR(VLOOKUP(D300,'[1]Product Datasheet'!$A:$G,6,0),"")</f>
        <v/>
      </c>
      <c r="Q300" s="47" t="str">
        <f>IFERROR(VLOOKUP(D300,'[1]Product Datasheet'!$A:$G,7,0), "")</f>
        <v/>
      </c>
      <c r="R300" s="48"/>
      <c r="S300" s="49" t="str">
        <f t="shared" si="13"/>
        <v>Accept</v>
      </c>
      <c r="T300" s="50"/>
      <c r="U300" s="51"/>
    </row>
    <row r="301" spans="1:21" ht="24.75" customHeight="1" x14ac:dyDescent="0.3">
      <c r="A301" s="38" t="str">
        <f>IFERROR(VLOOKUP(D301,'[1]Product Datasheet'!$A:$G,2,0),"")</f>
        <v/>
      </c>
      <c r="B301" s="39" t="str">
        <f>IFERROR(VLOOKUP(D301,'[1]Product Datasheet'!$A:$G,3,0),"")</f>
        <v/>
      </c>
      <c r="C301" s="40"/>
      <c r="D301" s="41"/>
      <c r="E301" s="41"/>
      <c r="F301" s="41"/>
      <c r="G301" s="42"/>
      <c r="H301" s="43"/>
      <c r="I301" s="42"/>
      <c r="J301" s="44"/>
      <c r="K301" s="44"/>
      <c r="L301" s="44"/>
      <c r="M301" s="45" t="str">
        <f t="shared" si="12"/>
        <v>Pass</v>
      </c>
      <c r="N301" s="46" t="str">
        <f>IFERROR(VLOOKUP(D301,'[1]Product Datasheet'!$A:$G,4,0),"")</f>
        <v/>
      </c>
      <c r="O301" s="47" t="str">
        <f>IFERROR(VLOOKUP(D301,'[1]Product Datasheet'!$A:$G,5,0),"")</f>
        <v/>
      </c>
      <c r="P301" s="47" t="str">
        <f>IFERROR(VLOOKUP(D301,'[1]Product Datasheet'!$A:$G,6,0),"")</f>
        <v/>
      </c>
      <c r="Q301" s="47" t="str">
        <f>IFERROR(VLOOKUP(D301,'[1]Product Datasheet'!$A:$G,7,0), "")</f>
        <v/>
      </c>
      <c r="R301" s="48"/>
      <c r="S301" s="49" t="str">
        <f t="shared" si="13"/>
        <v>Accept</v>
      </c>
      <c r="T301" s="50"/>
      <c r="U301" s="51"/>
    </row>
    <row r="302" spans="1:21" ht="24.75" customHeight="1" x14ac:dyDescent="0.3">
      <c r="A302" s="38" t="str">
        <f>IFERROR(VLOOKUP(D302,'[1]Product Datasheet'!$A:$G,2,0),"")</f>
        <v/>
      </c>
      <c r="B302" s="39" t="str">
        <f>IFERROR(VLOOKUP(D302,'[1]Product Datasheet'!$A:$G,3,0),"")</f>
        <v/>
      </c>
      <c r="C302" s="40"/>
      <c r="D302" s="41"/>
      <c r="E302" s="41"/>
      <c r="F302" s="41"/>
      <c r="G302" s="42"/>
      <c r="H302" s="43"/>
      <c r="I302" s="42"/>
      <c r="J302" s="44"/>
      <c r="K302" s="44"/>
      <c r="L302" s="44"/>
      <c r="M302" s="45" t="str">
        <f t="shared" si="12"/>
        <v>Pass</v>
      </c>
      <c r="N302" s="46" t="str">
        <f>IFERROR(VLOOKUP(D302,'[1]Product Datasheet'!$A:$G,4,0),"")</f>
        <v/>
      </c>
      <c r="O302" s="47" t="str">
        <f>IFERROR(VLOOKUP(D302,'[1]Product Datasheet'!$A:$G,5,0),"")</f>
        <v/>
      </c>
      <c r="P302" s="47" t="str">
        <f>IFERROR(VLOOKUP(D302,'[1]Product Datasheet'!$A:$G,6,0),"")</f>
        <v/>
      </c>
      <c r="Q302" s="47" t="str">
        <f>IFERROR(VLOOKUP(D302,'[1]Product Datasheet'!$A:$G,7,0), "")</f>
        <v/>
      </c>
      <c r="R302" s="48"/>
      <c r="S302" s="49" t="str">
        <f t="shared" si="13"/>
        <v>Accept</v>
      </c>
      <c r="T302" s="50"/>
      <c r="U302" s="51"/>
    </row>
    <row r="303" spans="1:21" ht="24.75" customHeight="1" x14ac:dyDescent="0.3">
      <c r="A303" s="38" t="str">
        <f>IFERROR(VLOOKUP(D303,'[1]Product Datasheet'!$A:$G,2,0),"")</f>
        <v/>
      </c>
      <c r="B303" s="39" t="str">
        <f>IFERROR(VLOOKUP(D303,'[1]Product Datasheet'!$A:$G,3,0),"")</f>
        <v/>
      </c>
      <c r="C303" s="40"/>
      <c r="D303" s="41"/>
      <c r="E303" s="41"/>
      <c r="F303" s="41"/>
      <c r="G303" s="42"/>
      <c r="H303" s="43"/>
      <c r="I303" s="42"/>
      <c r="J303" s="44"/>
      <c r="K303" s="44"/>
      <c r="L303" s="44"/>
      <c r="M303" s="45" t="str">
        <f t="shared" si="12"/>
        <v>Pass</v>
      </c>
      <c r="N303" s="46" t="str">
        <f>IFERROR(VLOOKUP(D303,'[1]Product Datasheet'!$A:$G,4,0),"")</f>
        <v/>
      </c>
      <c r="O303" s="47" t="str">
        <f>IFERROR(VLOOKUP(D303,'[1]Product Datasheet'!$A:$G,5,0),"")</f>
        <v/>
      </c>
      <c r="P303" s="47" t="str">
        <f>IFERROR(VLOOKUP(D303,'[1]Product Datasheet'!$A:$G,6,0),"")</f>
        <v/>
      </c>
      <c r="Q303" s="47" t="str">
        <f>IFERROR(VLOOKUP(D303,'[1]Product Datasheet'!$A:$G,7,0), "")</f>
        <v/>
      </c>
      <c r="R303" s="48"/>
      <c r="S303" s="49" t="str">
        <f t="shared" si="13"/>
        <v>Accept</v>
      </c>
      <c r="T303" s="50"/>
      <c r="U303" s="51"/>
    </row>
    <row r="304" spans="1:21" ht="24.75" customHeight="1" x14ac:dyDescent="0.3">
      <c r="A304" s="38" t="str">
        <f>IFERROR(VLOOKUP(D304,'[1]Product Datasheet'!$A:$G,2,0),"")</f>
        <v/>
      </c>
      <c r="B304" s="39" t="str">
        <f>IFERROR(VLOOKUP(D304,'[1]Product Datasheet'!$A:$G,3,0),"")</f>
        <v/>
      </c>
      <c r="C304" s="40"/>
      <c r="D304" s="41"/>
      <c r="E304" s="41"/>
      <c r="F304" s="41"/>
      <c r="G304" s="42"/>
      <c r="H304" s="43"/>
      <c r="I304" s="42"/>
      <c r="J304" s="44"/>
      <c r="K304" s="44"/>
      <c r="L304" s="44"/>
      <c r="M304" s="45" t="str">
        <f t="shared" si="12"/>
        <v>Pass</v>
      </c>
      <c r="N304" s="46" t="str">
        <f>IFERROR(VLOOKUP(D304,'[1]Product Datasheet'!$A:$G,4,0),"")</f>
        <v/>
      </c>
      <c r="O304" s="47" t="str">
        <f>IFERROR(VLOOKUP(D304,'[1]Product Datasheet'!$A:$G,5,0),"")</f>
        <v/>
      </c>
      <c r="P304" s="47" t="str">
        <f>IFERROR(VLOOKUP(D304,'[1]Product Datasheet'!$A:$G,6,0),"")</f>
        <v/>
      </c>
      <c r="Q304" s="47" t="str">
        <f>IFERROR(VLOOKUP(D304,'[1]Product Datasheet'!$A:$G,7,0), "")</f>
        <v/>
      </c>
      <c r="R304" s="48"/>
      <c r="S304" s="49" t="str">
        <f t="shared" si="13"/>
        <v>Accept</v>
      </c>
      <c r="T304" s="50"/>
      <c r="U304" s="51"/>
    </row>
    <row r="305" spans="1:21" ht="24.75" customHeight="1" x14ac:dyDescent="0.3">
      <c r="A305" s="38" t="str">
        <f>IFERROR(VLOOKUP(D305,'[1]Product Datasheet'!$A:$G,2,0),"")</f>
        <v/>
      </c>
      <c r="B305" s="39" t="str">
        <f>IFERROR(VLOOKUP(D305,'[1]Product Datasheet'!$A:$G,3,0),"")</f>
        <v/>
      </c>
      <c r="C305" s="40"/>
      <c r="D305" s="41"/>
      <c r="E305" s="41"/>
      <c r="F305" s="41"/>
      <c r="G305" s="42"/>
      <c r="H305" s="43"/>
      <c r="I305" s="42"/>
      <c r="J305" s="44"/>
      <c r="K305" s="44"/>
      <c r="L305" s="44"/>
      <c r="M305" s="45" t="str">
        <f t="shared" si="12"/>
        <v>Pass</v>
      </c>
      <c r="N305" s="46" t="str">
        <f>IFERROR(VLOOKUP(D305,'[1]Product Datasheet'!$A:$G,4,0),"")</f>
        <v/>
      </c>
      <c r="O305" s="47" t="str">
        <f>IFERROR(VLOOKUP(D305,'[1]Product Datasheet'!$A:$G,5,0),"")</f>
        <v/>
      </c>
      <c r="P305" s="47" t="str">
        <f>IFERROR(VLOOKUP(D305,'[1]Product Datasheet'!$A:$G,6,0),"")</f>
        <v/>
      </c>
      <c r="Q305" s="47" t="str">
        <f>IFERROR(VLOOKUP(D305,'[1]Product Datasheet'!$A:$G,7,0), "")</f>
        <v/>
      </c>
      <c r="R305" s="48"/>
      <c r="S305" s="49" t="str">
        <f t="shared" si="13"/>
        <v>Accept</v>
      </c>
      <c r="T305" s="50"/>
      <c r="U305" s="51"/>
    </row>
    <row r="306" spans="1:21" ht="24.75" customHeight="1" x14ac:dyDescent="0.3">
      <c r="A306" s="38" t="str">
        <f>IFERROR(VLOOKUP(D306,'[1]Product Datasheet'!$A:$G,2,0),"")</f>
        <v/>
      </c>
      <c r="B306" s="39" t="str">
        <f>IFERROR(VLOOKUP(D306,'[1]Product Datasheet'!$A:$G,3,0),"")</f>
        <v/>
      </c>
      <c r="C306" s="40"/>
      <c r="D306" s="41"/>
      <c r="E306" s="41"/>
      <c r="F306" s="41"/>
      <c r="G306" s="42"/>
      <c r="H306" s="43"/>
      <c r="I306" s="42"/>
      <c r="J306" s="44"/>
      <c r="K306" s="44"/>
      <c r="L306" s="44"/>
      <c r="M306" s="45" t="str">
        <f t="shared" si="12"/>
        <v>Pass</v>
      </c>
      <c r="N306" s="46" t="str">
        <f>IFERROR(VLOOKUP(D306,'[1]Product Datasheet'!$A:$G,4,0),"")</f>
        <v/>
      </c>
      <c r="O306" s="47" t="str">
        <f>IFERROR(VLOOKUP(D306,'[1]Product Datasheet'!$A:$G,5,0),"")</f>
        <v/>
      </c>
      <c r="P306" s="47" t="str">
        <f>IFERROR(VLOOKUP(D306,'[1]Product Datasheet'!$A:$G,6,0),"")</f>
        <v/>
      </c>
      <c r="Q306" s="47" t="str">
        <f>IFERROR(VLOOKUP(D306,'[1]Product Datasheet'!$A:$G,7,0), "")</f>
        <v/>
      </c>
      <c r="R306" s="48"/>
      <c r="S306" s="49" t="str">
        <f t="shared" si="13"/>
        <v>Accept</v>
      </c>
      <c r="T306" s="50"/>
      <c r="U306" s="51"/>
    </row>
    <row r="307" spans="1:21" ht="24.75" customHeight="1" x14ac:dyDescent="0.3">
      <c r="A307" s="38" t="str">
        <f>IFERROR(VLOOKUP(D307,'[1]Product Datasheet'!$A:$G,2,0),"")</f>
        <v/>
      </c>
      <c r="B307" s="39" t="str">
        <f>IFERROR(VLOOKUP(D307,'[1]Product Datasheet'!$A:$G,3,0),"")</f>
        <v/>
      </c>
      <c r="C307" s="40"/>
      <c r="D307" s="41"/>
      <c r="E307" s="41"/>
      <c r="F307" s="41"/>
      <c r="G307" s="42"/>
      <c r="H307" s="43"/>
      <c r="I307" s="42"/>
      <c r="J307" s="44"/>
      <c r="K307" s="44"/>
      <c r="L307" s="44"/>
      <c r="M307" s="45" t="str">
        <f t="shared" si="12"/>
        <v>Pass</v>
      </c>
      <c r="N307" s="46" t="str">
        <f>IFERROR(VLOOKUP(D307,'[1]Product Datasheet'!$A:$G,4,0),"")</f>
        <v/>
      </c>
      <c r="O307" s="47" t="str">
        <f>IFERROR(VLOOKUP(D307,'[1]Product Datasheet'!$A:$G,5,0),"")</f>
        <v/>
      </c>
      <c r="P307" s="47" t="str">
        <f>IFERROR(VLOOKUP(D307,'[1]Product Datasheet'!$A:$G,6,0),"")</f>
        <v/>
      </c>
      <c r="Q307" s="47" t="str">
        <f>IFERROR(VLOOKUP(D307,'[1]Product Datasheet'!$A:$G,7,0), "")</f>
        <v/>
      </c>
      <c r="R307" s="48"/>
      <c r="S307" s="49" t="str">
        <f t="shared" si="13"/>
        <v>Accept</v>
      </c>
      <c r="T307" s="50"/>
      <c r="U307" s="51"/>
    </row>
    <row r="308" spans="1:21" ht="24.75" customHeight="1" x14ac:dyDescent="0.3">
      <c r="A308" s="38" t="str">
        <f>IFERROR(VLOOKUP(D308,'[1]Product Datasheet'!$A:$G,2,0),"")</f>
        <v/>
      </c>
      <c r="B308" s="39" t="str">
        <f>IFERROR(VLOOKUP(D308,'[1]Product Datasheet'!$A:$G,3,0),"")</f>
        <v/>
      </c>
      <c r="C308" s="40"/>
      <c r="D308" s="41"/>
      <c r="E308" s="41"/>
      <c r="F308" s="41"/>
      <c r="G308" s="42"/>
      <c r="H308" s="43"/>
      <c r="I308" s="42"/>
      <c r="J308" s="44"/>
      <c r="K308" s="44"/>
      <c r="L308" s="44"/>
      <c r="M308" s="45" t="str">
        <f t="shared" si="12"/>
        <v>Pass</v>
      </c>
      <c r="N308" s="46" t="str">
        <f>IFERROR(VLOOKUP(D308,'[1]Product Datasheet'!$A:$G,4,0),"")</f>
        <v/>
      </c>
      <c r="O308" s="47" t="str">
        <f>IFERROR(VLOOKUP(D308,'[1]Product Datasheet'!$A:$G,5,0),"")</f>
        <v/>
      </c>
      <c r="P308" s="47" t="str">
        <f>IFERROR(VLOOKUP(D308,'[1]Product Datasheet'!$A:$G,6,0),"")</f>
        <v/>
      </c>
      <c r="Q308" s="47" t="str">
        <f>IFERROR(VLOOKUP(D308,'[1]Product Datasheet'!$A:$G,7,0), "")</f>
        <v/>
      </c>
      <c r="R308" s="48"/>
      <c r="S308" s="49" t="str">
        <f t="shared" si="13"/>
        <v>Accept</v>
      </c>
      <c r="T308" s="50"/>
      <c r="U308" s="51"/>
    </row>
    <row r="309" spans="1:21" ht="24.75" customHeight="1" x14ac:dyDescent="0.3">
      <c r="A309" s="38" t="str">
        <f>IFERROR(VLOOKUP(D309,'[1]Product Datasheet'!$A:$G,2,0),"")</f>
        <v/>
      </c>
      <c r="B309" s="39" t="str">
        <f>IFERROR(VLOOKUP(D309,'[1]Product Datasheet'!$A:$G,3,0),"")</f>
        <v/>
      </c>
      <c r="C309" s="40"/>
      <c r="D309" s="41"/>
      <c r="E309" s="41"/>
      <c r="F309" s="41"/>
      <c r="G309" s="42"/>
      <c r="H309" s="43"/>
      <c r="I309" s="42"/>
      <c r="J309" s="44"/>
      <c r="K309" s="44"/>
      <c r="L309" s="44"/>
      <c r="M309" s="45" t="str">
        <f t="shared" si="12"/>
        <v>Pass</v>
      </c>
      <c r="N309" s="46" t="str">
        <f>IFERROR(VLOOKUP(D309,'[1]Product Datasheet'!$A:$G,4,0),"")</f>
        <v/>
      </c>
      <c r="O309" s="47" t="str">
        <f>IFERROR(VLOOKUP(D309,'[1]Product Datasheet'!$A:$G,5,0),"")</f>
        <v/>
      </c>
      <c r="P309" s="47" t="str">
        <f>IFERROR(VLOOKUP(D309,'[1]Product Datasheet'!$A:$G,6,0),"")</f>
        <v/>
      </c>
      <c r="Q309" s="47" t="str">
        <f>IFERROR(VLOOKUP(D309,'[1]Product Datasheet'!$A:$G,7,0), "")</f>
        <v/>
      </c>
      <c r="R309" s="48"/>
      <c r="S309" s="49" t="str">
        <f t="shared" si="13"/>
        <v>Accept</v>
      </c>
      <c r="T309" s="50"/>
      <c r="U309" s="51"/>
    </row>
    <row r="310" spans="1:21" ht="24.75" customHeight="1" x14ac:dyDescent="0.3">
      <c r="A310" s="38" t="str">
        <f>IFERROR(VLOOKUP(D310,'[1]Product Datasheet'!$A:$G,2,0),"")</f>
        <v/>
      </c>
      <c r="B310" s="39" t="str">
        <f>IFERROR(VLOOKUP(D310,'[1]Product Datasheet'!$A:$G,3,0),"")</f>
        <v/>
      </c>
      <c r="C310" s="40"/>
      <c r="D310" s="41"/>
      <c r="E310" s="41"/>
      <c r="F310" s="41"/>
      <c r="G310" s="42"/>
      <c r="H310" s="43"/>
      <c r="I310" s="42"/>
      <c r="J310" s="44"/>
      <c r="K310" s="44"/>
      <c r="L310" s="44"/>
      <c r="M310" s="45" t="str">
        <f t="shared" si="12"/>
        <v>Pass</v>
      </c>
      <c r="N310" s="46" t="str">
        <f>IFERROR(VLOOKUP(D310,'[1]Product Datasheet'!$A:$G,4,0),"")</f>
        <v/>
      </c>
      <c r="O310" s="47" t="str">
        <f>IFERROR(VLOOKUP(D310,'[1]Product Datasheet'!$A:$G,5,0),"")</f>
        <v/>
      </c>
      <c r="P310" s="47" t="str">
        <f>IFERROR(VLOOKUP(D310,'[1]Product Datasheet'!$A:$G,6,0),"")</f>
        <v/>
      </c>
      <c r="Q310" s="47" t="str">
        <f>IFERROR(VLOOKUP(D310,'[1]Product Datasheet'!$A:$G,7,0), "")</f>
        <v/>
      </c>
      <c r="R310" s="48"/>
      <c r="S310" s="49" t="str">
        <f t="shared" si="13"/>
        <v>Accept</v>
      </c>
      <c r="T310" s="50"/>
      <c r="U310" s="51"/>
    </row>
    <row r="311" spans="1:21" ht="24.75" customHeight="1" x14ac:dyDescent="0.3">
      <c r="A311" s="38" t="str">
        <f>IFERROR(VLOOKUP(D311,'[1]Product Datasheet'!$A:$G,2,0),"")</f>
        <v/>
      </c>
      <c r="B311" s="39" t="str">
        <f>IFERROR(VLOOKUP(D311,'[1]Product Datasheet'!$A:$G,3,0),"")</f>
        <v/>
      </c>
      <c r="C311" s="40"/>
      <c r="D311" s="41"/>
      <c r="E311" s="41"/>
      <c r="F311" s="41"/>
      <c r="G311" s="42"/>
      <c r="H311" s="43"/>
      <c r="I311" s="42"/>
      <c r="J311" s="44"/>
      <c r="K311" s="44"/>
      <c r="L311" s="44"/>
      <c r="M311" s="45" t="str">
        <f t="shared" si="12"/>
        <v>Pass</v>
      </c>
      <c r="N311" s="46" t="str">
        <f>IFERROR(VLOOKUP(D311,'[1]Product Datasheet'!$A:$G,4,0),"")</f>
        <v/>
      </c>
      <c r="O311" s="47" t="str">
        <f>IFERROR(VLOOKUP(D311,'[1]Product Datasheet'!$A:$G,5,0),"")</f>
        <v/>
      </c>
      <c r="P311" s="47" t="str">
        <f>IFERROR(VLOOKUP(D311,'[1]Product Datasheet'!$A:$G,6,0),"")</f>
        <v/>
      </c>
      <c r="Q311" s="47" t="str">
        <f>IFERROR(VLOOKUP(D311,'[1]Product Datasheet'!$A:$G,7,0), "")</f>
        <v/>
      </c>
      <c r="R311" s="48"/>
      <c r="S311" s="49" t="str">
        <f t="shared" si="13"/>
        <v>Accept</v>
      </c>
      <c r="T311" s="50"/>
      <c r="U311" s="51"/>
    </row>
    <row r="312" spans="1:21" ht="24.75" customHeight="1" x14ac:dyDescent="0.3">
      <c r="A312" s="38" t="str">
        <f>IFERROR(VLOOKUP(D312,'[1]Product Datasheet'!$A:$G,2,0),"")</f>
        <v/>
      </c>
      <c r="B312" s="39" t="str">
        <f>IFERROR(VLOOKUP(D312,'[1]Product Datasheet'!$A:$G,3,0),"")</f>
        <v/>
      </c>
      <c r="C312" s="40"/>
      <c r="D312" s="41"/>
      <c r="E312" s="41"/>
      <c r="F312" s="41"/>
      <c r="G312" s="42"/>
      <c r="H312" s="43"/>
      <c r="I312" s="42"/>
      <c r="J312" s="44"/>
      <c r="K312" s="44"/>
      <c r="L312" s="44"/>
      <c r="M312" s="45" t="str">
        <f t="shared" si="12"/>
        <v>Pass</v>
      </c>
      <c r="N312" s="46" t="str">
        <f>IFERROR(VLOOKUP(D312,'[1]Product Datasheet'!$A:$G,4,0),"")</f>
        <v/>
      </c>
      <c r="O312" s="47" t="str">
        <f>IFERROR(VLOOKUP(D312,'[1]Product Datasheet'!$A:$G,5,0),"")</f>
        <v/>
      </c>
      <c r="P312" s="47" t="str">
        <f>IFERROR(VLOOKUP(D312,'[1]Product Datasheet'!$A:$G,6,0),"")</f>
        <v/>
      </c>
      <c r="Q312" s="47" t="str">
        <f>IFERROR(VLOOKUP(D312,'[1]Product Datasheet'!$A:$G,7,0), "")</f>
        <v/>
      </c>
      <c r="R312" s="48"/>
      <c r="S312" s="49" t="str">
        <f t="shared" si="13"/>
        <v>Accept</v>
      </c>
      <c r="T312" s="50"/>
      <c r="U312" s="51"/>
    </row>
    <row r="313" spans="1:21" ht="24.75" customHeight="1" x14ac:dyDescent="0.3">
      <c r="A313" s="38" t="str">
        <f>IFERROR(VLOOKUP(D313,'[1]Product Datasheet'!$A:$G,2,0),"")</f>
        <v/>
      </c>
      <c r="B313" s="39" t="str">
        <f>IFERROR(VLOOKUP(D313,'[1]Product Datasheet'!$A:$G,3,0),"")</f>
        <v/>
      </c>
      <c r="C313" s="40"/>
      <c r="D313" s="41"/>
      <c r="E313" s="41"/>
      <c r="F313" s="41"/>
      <c r="G313" s="42"/>
      <c r="H313" s="43"/>
      <c r="I313" s="42"/>
      <c r="J313" s="44"/>
      <c r="K313" s="44"/>
      <c r="L313" s="44"/>
      <c r="M313" s="45" t="str">
        <f t="shared" si="12"/>
        <v>Pass</v>
      </c>
      <c r="N313" s="46" t="str">
        <f>IFERROR(VLOOKUP(D313,'[1]Product Datasheet'!$A:$G,4,0),"")</f>
        <v/>
      </c>
      <c r="O313" s="47" t="str">
        <f>IFERROR(VLOOKUP(D313,'[1]Product Datasheet'!$A:$G,5,0),"")</f>
        <v/>
      </c>
      <c r="P313" s="47" t="str">
        <f>IFERROR(VLOOKUP(D313,'[1]Product Datasheet'!$A:$G,6,0),"")</f>
        <v/>
      </c>
      <c r="Q313" s="47" t="str">
        <f>IFERROR(VLOOKUP(D313,'[1]Product Datasheet'!$A:$G,7,0), "")</f>
        <v/>
      </c>
      <c r="R313" s="48"/>
      <c r="S313" s="49" t="str">
        <f t="shared" si="13"/>
        <v>Accept</v>
      </c>
      <c r="T313" s="50"/>
      <c r="U313" s="51"/>
    </row>
    <row r="314" spans="1:21" ht="24.75" customHeight="1" x14ac:dyDescent="0.3">
      <c r="A314" s="38" t="str">
        <f>IFERROR(VLOOKUP(D314,'[1]Product Datasheet'!$A:$G,2,0),"")</f>
        <v/>
      </c>
      <c r="B314" s="39" t="str">
        <f>IFERROR(VLOOKUP(D314,'[1]Product Datasheet'!$A:$G,3,0),"")</f>
        <v/>
      </c>
      <c r="C314" s="40"/>
      <c r="D314" s="41"/>
      <c r="E314" s="41"/>
      <c r="F314" s="41"/>
      <c r="G314" s="42"/>
      <c r="H314" s="43"/>
      <c r="I314" s="42"/>
      <c r="J314" s="44"/>
      <c r="K314" s="44"/>
      <c r="L314" s="44"/>
      <c r="M314" s="45" t="str">
        <f t="shared" si="12"/>
        <v>Pass</v>
      </c>
      <c r="N314" s="46" t="str">
        <f>IFERROR(VLOOKUP(D314,'[1]Product Datasheet'!$A:$G,4,0),"")</f>
        <v/>
      </c>
      <c r="O314" s="47" t="str">
        <f>IFERROR(VLOOKUP(D314,'[1]Product Datasheet'!$A:$G,5,0),"")</f>
        <v/>
      </c>
      <c r="P314" s="47" t="str">
        <f>IFERROR(VLOOKUP(D314,'[1]Product Datasheet'!$A:$G,6,0),"")</f>
        <v/>
      </c>
      <c r="Q314" s="47" t="str">
        <f>IFERROR(VLOOKUP(D314,'[1]Product Datasheet'!$A:$G,7,0), "")</f>
        <v/>
      </c>
      <c r="R314" s="48"/>
      <c r="S314" s="49" t="str">
        <f t="shared" si="13"/>
        <v>Accept</v>
      </c>
      <c r="T314" s="50"/>
      <c r="U314" s="51"/>
    </row>
    <row r="315" spans="1:21" ht="24.75" customHeight="1" x14ac:dyDescent="0.3">
      <c r="A315" s="38" t="str">
        <f>IFERROR(VLOOKUP(D315,'[1]Product Datasheet'!$A:$G,2,0),"")</f>
        <v/>
      </c>
      <c r="B315" s="39" t="str">
        <f>IFERROR(VLOOKUP(D315,'[1]Product Datasheet'!$A:$G,3,0),"")</f>
        <v/>
      </c>
      <c r="C315" s="40"/>
      <c r="D315" s="41"/>
      <c r="E315" s="41"/>
      <c r="F315" s="41"/>
      <c r="G315" s="42"/>
      <c r="H315" s="43"/>
      <c r="I315" s="42"/>
      <c r="J315" s="44"/>
      <c r="K315" s="44"/>
      <c r="L315" s="44"/>
      <c r="M315" s="45" t="str">
        <f t="shared" si="12"/>
        <v>Pass</v>
      </c>
      <c r="N315" s="46" t="str">
        <f>IFERROR(VLOOKUP(D315,'[1]Product Datasheet'!$A:$G,4,0),"")</f>
        <v/>
      </c>
      <c r="O315" s="47" t="str">
        <f>IFERROR(VLOOKUP(D315,'[1]Product Datasheet'!$A:$G,5,0),"")</f>
        <v/>
      </c>
      <c r="P315" s="47" t="str">
        <f>IFERROR(VLOOKUP(D315,'[1]Product Datasheet'!$A:$G,6,0),"")</f>
        <v/>
      </c>
      <c r="Q315" s="47" t="str">
        <f>IFERROR(VLOOKUP(D315,'[1]Product Datasheet'!$A:$G,7,0), "")</f>
        <v/>
      </c>
      <c r="R315" s="48"/>
      <c r="S315" s="49" t="str">
        <f t="shared" si="13"/>
        <v>Accept</v>
      </c>
      <c r="T315" s="50"/>
      <c r="U315" s="51"/>
    </row>
    <row r="316" spans="1:21" ht="24.75" customHeight="1" x14ac:dyDescent="0.3">
      <c r="A316" s="38" t="str">
        <f>IFERROR(VLOOKUP(D316,'[1]Product Datasheet'!$A:$G,2,0),"")</f>
        <v/>
      </c>
      <c r="B316" s="39" t="str">
        <f>IFERROR(VLOOKUP(D316,'[1]Product Datasheet'!$A:$G,3,0),"")</f>
        <v/>
      </c>
      <c r="C316" s="40"/>
      <c r="D316" s="41"/>
      <c r="E316" s="41"/>
      <c r="F316" s="41"/>
      <c r="G316" s="42"/>
      <c r="H316" s="43"/>
      <c r="I316" s="42"/>
      <c r="J316" s="44"/>
      <c r="K316" s="44"/>
      <c r="L316" s="44"/>
      <c r="M316" s="45" t="str">
        <f t="shared" si="12"/>
        <v>Pass</v>
      </c>
      <c r="N316" s="46" t="str">
        <f>IFERROR(VLOOKUP(D316,'[1]Product Datasheet'!$A:$G,4,0),"")</f>
        <v/>
      </c>
      <c r="O316" s="47" t="str">
        <f>IFERROR(VLOOKUP(D316,'[1]Product Datasheet'!$A:$G,5,0),"")</f>
        <v/>
      </c>
      <c r="P316" s="47" t="str">
        <f>IFERROR(VLOOKUP(D316,'[1]Product Datasheet'!$A:$G,6,0),"")</f>
        <v/>
      </c>
      <c r="Q316" s="47" t="str">
        <f>IFERROR(VLOOKUP(D316,'[1]Product Datasheet'!$A:$G,7,0), "")</f>
        <v/>
      </c>
      <c r="R316" s="48"/>
      <c r="S316" s="49" t="str">
        <f t="shared" si="13"/>
        <v>Accept</v>
      </c>
      <c r="T316" s="50"/>
      <c r="U316" s="51"/>
    </row>
    <row r="317" spans="1:21" ht="24.75" customHeight="1" x14ac:dyDescent="0.3">
      <c r="A317" s="38" t="str">
        <f>IFERROR(VLOOKUP(D317,'[1]Product Datasheet'!$A:$G,2,0),"")</f>
        <v/>
      </c>
      <c r="B317" s="39" t="str">
        <f>IFERROR(VLOOKUP(D317,'[1]Product Datasheet'!$A:$G,3,0),"")</f>
        <v/>
      </c>
      <c r="C317" s="40"/>
      <c r="D317" s="41"/>
      <c r="E317" s="41"/>
      <c r="F317" s="41"/>
      <c r="G317" s="42"/>
      <c r="H317" s="43"/>
      <c r="I317" s="42"/>
      <c r="J317" s="44"/>
      <c r="K317" s="44"/>
      <c r="L317" s="44"/>
      <c r="M317" s="45" t="str">
        <f t="shared" si="12"/>
        <v>Pass</v>
      </c>
      <c r="N317" s="46" t="str">
        <f>IFERROR(VLOOKUP(D317,'[1]Product Datasheet'!$A:$G,4,0),"")</f>
        <v/>
      </c>
      <c r="O317" s="47" t="str">
        <f>IFERROR(VLOOKUP(D317,'[1]Product Datasheet'!$A:$G,5,0),"")</f>
        <v/>
      </c>
      <c r="P317" s="47" t="str">
        <f>IFERROR(VLOOKUP(D317,'[1]Product Datasheet'!$A:$G,6,0),"")</f>
        <v/>
      </c>
      <c r="Q317" s="47" t="str">
        <f>IFERROR(VLOOKUP(D317,'[1]Product Datasheet'!$A:$G,7,0), "")</f>
        <v/>
      </c>
      <c r="R317" s="48"/>
      <c r="S317" s="49" t="str">
        <f t="shared" si="13"/>
        <v>Accept</v>
      </c>
      <c r="T317" s="50"/>
      <c r="U317" s="51"/>
    </row>
    <row r="318" spans="1:21" ht="24.75" customHeight="1" x14ac:dyDescent="0.3">
      <c r="A318" s="38" t="str">
        <f>IFERROR(VLOOKUP(D318,'[1]Product Datasheet'!$A:$G,2,0),"")</f>
        <v/>
      </c>
      <c r="B318" s="39" t="str">
        <f>IFERROR(VLOOKUP(D318,'[1]Product Datasheet'!$A:$G,3,0),"")</f>
        <v/>
      </c>
      <c r="C318" s="40"/>
      <c r="D318" s="41"/>
      <c r="E318" s="41"/>
      <c r="F318" s="41"/>
      <c r="G318" s="42"/>
      <c r="H318" s="43"/>
      <c r="I318" s="42"/>
      <c r="J318" s="44"/>
      <c r="K318" s="44"/>
      <c r="L318" s="44"/>
      <c r="M318" s="45" t="str">
        <f t="shared" si="12"/>
        <v>Pass</v>
      </c>
      <c r="N318" s="46" t="str">
        <f>IFERROR(VLOOKUP(D318,'[1]Product Datasheet'!$A:$G,4,0),"")</f>
        <v/>
      </c>
      <c r="O318" s="47" t="str">
        <f>IFERROR(VLOOKUP(D318,'[1]Product Datasheet'!$A:$G,5,0),"")</f>
        <v/>
      </c>
      <c r="P318" s="47" t="str">
        <f>IFERROR(VLOOKUP(D318,'[1]Product Datasheet'!$A:$G,6,0),"")</f>
        <v/>
      </c>
      <c r="Q318" s="47" t="str">
        <f>IFERROR(VLOOKUP(D318,'[1]Product Datasheet'!$A:$G,7,0), "")</f>
        <v/>
      </c>
      <c r="R318" s="48"/>
      <c r="S318" s="49" t="str">
        <f t="shared" si="13"/>
        <v>Accept</v>
      </c>
      <c r="T318" s="50"/>
      <c r="U318" s="51"/>
    </row>
    <row r="319" spans="1:21" ht="24.75" customHeight="1" x14ac:dyDescent="0.3">
      <c r="A319" s="38" t="str">
        <f>IFERROR(VLOOKUP(D319,'[1]Product Datasheet'!$A:$G,2,0),"")</f>
        <v/>
      </c>
      <c r="B319" s="39" t="str">
        <f>IFERROR(VLOOKUP(D319,'[1]Product Datasheet'!$A:$G,3,0),"")</f>
        <v/>
      </c>
      <c r="C319" s="40"/>
      <c r="D319" s="41"/>
      <c r="E319" s="41"/>
      <c r="F319" s="41"/>
      <c r="G319" s="42"/>
      <c r="H319" s="43"/>
      <c r="I319" s="42"/>
      <c r="J319" s="44"/>
      <c r="K319" s="44"/>
      <c r="L319" s="44"/>
      <c r="M319" s="45" t="str">
        <f t="shared" si="12"/>
        <v>Pass</v>
      </c>
      <c r="N319" s="46" t="str">
        <f>IFERROR(VLOOKUP(D319,'[1]Product Datasheet'!$A:$G,4,0),"")</f>
        <v/>
      </c>
      <c r="O319" s="47" t="str">
        <f>IFERROR(VLOOKUP(D319,'[1]Product Datasheet'!$A:$G,5,0),"")</f>
        <v/>
      </c>
      <c r="P319" s="47" t="str">
        <f>IFERROR(VLOOKUP(D319,'[1]Product Datasheet'!$A:$G,6,0),"")</f>
        <v/>
      </c>
      <c r="Q319" s="47" t="str">
        <f>IFERROR(VLOOKUP(D319,'[1]Product Datasheet'!$A:$G,7,0), "")</f>
        <v/>
      </c>
      <c r="R319" s="48"/>
      <c r="S319" s="49" t="str">
        <f t="shared" si="13"/>
        <v>Accept</v>
      </c>
      <c r="T319" s="50"/>
      <c r="U319" s="51"/>
    </row>
    <row r="320" spans="1:21" ht="24.75" customHeight="1" x14ac:dyDescent="0.3">
      <c r="A320" s="38" t="str">
        <f>IFERROR(VLOOKUP(D320,'[1]Product Datasheet'!$A:$G,2,0),"")</f>
        <v/>
      </c>
      <c r="B320" s="39" t="str">
        <f>IFERROR(VLOOKUP(D320,'[1]Product Datasheet'!$A:$G,3,0),"")</f>
        <v/>
      </c>
      <c r="C320" s="40"/>
      <c r="D320" s="41"/>
      <c r="E320" s="41"/>
      <c r="F320" s="41"/>
      <c r="G320" s="42"/>
      <c r="H320" s="43"/>
      <c r="I320" s="42"/>
      <c r="J320" s="44"/>
      <c r="K320" s="44"/>
      <c r="L320" s="44"/>
      <c r="M320" s="45" t="str">
        <f t="shared" si="12"/>
        <v>Pass</v>
      </c>
      <c r="N320" s="46" t="str">
        <f>IFERROR(VLOOKUP(D320,'[1]Product Datasheet'!$A:$G,4,0),"")</f>
        <v/>
      </c>
      <c r="O320" s="47" t="str">
        <f>IFERROR(VLOOKUP(D320,'[1]Product Datasheet'!$A:$G,5,0),"")</f>
        <v/>
      </c>
      <c r="P320" s="47" t="str">
        <f>IFERROR(VLOOKUP(D320,'[1]Product Datasheet'!$A:$G,6,0),"")</f>
        <v/>
      </c>
      <c r="Q320" s="47" t="str">
        <f>IFERROR(VLOOKUP(D320,'[1]Product Datasheet'!$A:$G,7,0), "")</f>
        <v/>
      </c>
      <c r="R320" s="48"/>
      <c r="S320" s="49" t="str">
        <f t="shared" si="13"/>
        <v>Accept</v>
      </c>
      <c r="T320" s="50"/>
      <c r="U320" s="51"/>
    </row>
    <row r="321" spans="1:21" ht="24.75" customHeight="1" x14ac:dyDescent="0.3">
      <c r="A321" s="38" t="str">
        <f>IFERROR(VLOOKUP(D321,'[1]Product Datasheet'!$A:$G,2,0),"")</f>
        <v/>
      </c>
      <c r="B321" s="39" t="str">
        <f>IFERROR(VLOOKUP(D321,'[1]Product Datasheet'!$A:$G,3,0),"")</f>
        <v/>
      </c>
      <c r="C321" s="40"/>
      <c r="D321" s="41"/>
      <c r="E321" s="41"/>
      <c r="F321" s="41"/>
      <c r="G321" s="42"/>
      <c r="H321" s="43"/>
      <c r="I321" s="42"/>
      <c r="J321" s="44"/>
      <c r="K321" s="44"/>
      <c r="L321" s="44"/>
      <c r="M321" s="45" t="str">
        <f t="shared" si="12"/>
        <v>Pass</v>
      </c>
      <c r="N321" s="46" t="str">
        <f>IFERROR(VLOOKUP(D321,'[1]Product Datasheet'!$A:$G,4,0),"")</f>
        <v/>
      </c>
      <c r="O321" s="47" t="str">
        <f>IFERROR(VLOOKUP(D321,'[1]Product Datasheet'!$A:$G,5,0),"")</f>
        <v/>
      </c>
      <c r="P321" s="47" t="str">
        <f>IFERROR(VLOOKUP(D321,'[1]Product Datasheet'!$A:$G,6,0),"")</f>
        <v/>
      </c>
      <c r="Q321" s="47" t="str">
        <f>IFERROR(VLOOKUP(D321,'[1]Product Datasheet'!$A:$G,7,0), "")</f>
        <v/>
      </c>
      <c r="R321" s="48"/>
      <c r="S321" s="49" t="str">
        <f t="shared" si="13"/>
        <v>Accept</v>
      </c>
      <c r="T321" s="50"/>
      <c r="U321" s="51"/>
    </row>
    <row r="322" spans="1:21" ht="24.75" customHeight="1" x14ac:dyDescent="0.3">
      <c r="A322" s="38" t="str">
        <f>IFERROR(VLOOKUP(D322,'[1]Product Datasheet'!$A:$G,2,0),"")</f>
        <v/>
      </c>
      <c r="B322" s="39" t="str">
        <f>IFERROR(VLOOKUP(D322,'[1]Product Datasheet'!$A:$G,3,0),"")</f>
        <v/>
      </c>
      <c r="C322" s="40"/>
      <c r="D322" s="41"/>
      <c r="E322" s="41"/>
      <c r="F322" s="41"/>
      <c r="G322" s="42"/>
      <c r="H322" s="43"/>
      <c r="I322" s="42"/>
      <c r="J322" s="44"/>
      <c r="K322" s="44"/>
      <c r="L322" s="44"/>
      <c r="M322" s="45" t="str">
        <f t="shared" si="12"/>
        <v>Pass</v>
      </c>
      <c r="N322" s="46" t="str">
        <f>IFERROR(VLOOKUP(D322,'[1]Product Datasheet'!$A:$G,4,0),"")</f>
        <v/>
      </c>
      <c r="O322" s="47" t="str">
        <f>IFERROR(VLOOKUP(D322,'[1]Product Datasheet'!$A:$G,5,0),"")</f>
        <v/>
      </c>
      <c r="P322" s="47" t="str">
        <f>IFERROR(VLOOKUP(D322,'[1]Product Datasheet'!$A:$G,6,0),"")</f>
        <v/>
      </c>
      <c r="Q322" s="47" t="str">
        <f>IFERROR(VLOOKUP(D322,'[1]Product Datasheet'!$A:$G,7,0), "")</f>
        <v/>
      </c>
      <c r="R322" s="48"/>
      <c r="S322" s="49" t="str">
        <f t="shared" si="13"/>
        <v>Accept</v>
      </c>
      <c r="T322" s="50"/>
      <c r="U322" s="51"/>
    </row>
    <row r="323" spans="1:21" ht="24.75" customHeight="1" x14ac:dyDescent="0.3">
      <c r="A323" s="38" t="str">
        <f>IFERROR(VLOOKUP(D323,'[1]Product Datasheet'!$A:$G,2,0),"")</f>
        <v/>
      </c>
      <c r="B323" s="39" t="str">
        <f>IFERROR(VLOOKUP(D323,'[1]Product Datasheet'!$A:$G,3,0),"")</f>
        <v/>
      </c>
      <c r="C323" s="40"/>
      <c r="D323" s="41"/>
      <c r="E323" s="41"/>
      <c r="F323" s="41"/>
      <c r="G323" s="42"/>
      <c r="H323" s="43"/>
      <c r="I323" s="42"/>
      <c r="J323" s="44"/>
      <c r="K323" s="44"/>
      <c r="L323" s="44"/>
      <c r="M323" s="45" t="str">
        <f t="shared" si="12"/>
        <v>Pass</v>
      </c>
      <c r="N323" s="46" t="str">
        <f>IFERROR(VLOOKUP(D323,'[1]Product Datasheet'!$A:$G,4,0),"")</f>
        <v/>
      </c>
      <c r="O323" s="47" t="str">
        <f>IFERROR(VLOOKUP(D323,'[1]Product Datasheet'!$A:$G,5,0),"")</f>
        <v/>
      </c>
      <c r="P323" s="47" t="str">
        <f>IFERROR(VLOOKUP(D323,'[1]Product Datasheet'!$A:$G,6,0),"")</f>
        <v/>
      </c>
      <c r="Q323" s="47" t="str">
        <f>IFERROR(VLOOKUP(D323,'[1]Product Datasheet'!$A:$G,7,0), "")</f>
        <v/>
      </c>
      <c r="R323" s="48"/>
      <c r="S323" s="49" t="str">
        <f t="shared" si="13"/>
        <v>Accept</v>
      </c>
      <c r="T323" s="50"/>
      <c r="U323" s="51"/>
    </row>
    <row r="324" spans="1:21" ht="24.75" customHeight="1" x14ac:dyDescent="0.3">
      <c r="A324" s="38" t="str">
        <f>IFERROR(VLOOKUP(D324,'[1]Product Datasheet'!$A:$G,2,0),"")</f>
        <v/>
      </c>
      <c r="B324" s="39" t="str">
        <f>IFERROR(VLOOKUP(D324,'[1]Product Datasheet'!$A:$G,3,0),"")</f>
        <v/>
      </c>
      <c r="C324" s="40"/>
      <c r="D324" s="41"/>
      <c r="E324" s="41"/>
      <c r="F324" s="41"/>
      <c r="G324" s="42"/>
      <c r="H324" s="43"/>
      <c r="I324" s="42"/>
      <c r="J324" s="44"/>
      <c r="K324" s="44"/>
      <c r="L324" s="44"/>
      <c r="M324" s="45" t="str">
        <f t="shared" si="12"/>
        <v>Pass</v>
      </c>
      <c r="N324" s="46" t="str">
        <f>IFERROR(VLOOKUP(D324,'[1]Product Datasheet'!$A:$G,4,0),"")</f>
        <v/>
      </c>
      <c r="O324" s="47" t="str">
        <f>IFERROR(VLOOKUP(D324,'[1]Product Datasheet'!$A:$G,5,0),"")</f>
        <v/>
      </c>
      <c r="P324" s="47" t="str">
        <f>IFERROR(VLOOKUP(D324,'[1]Product Datasheet'!$A:$G,6,0),"")</f>
        <v/>
      </c>
      <c r="Q324" s="47" t="str">
        <f>IFERROR(VLOOKUP(D324,'[1]Product Datasheet'!$A:$G,7,0), "")</f>
        <v/>
      </c>
      <c r="R324" s="48"/>
      <c r="S324" s="49" t="str">
        <f t="shared" si="13"/>
        <v>Accept</v>
      </c>
      <c r="T324" s="50"/>
      <c r="U324" s="51"/>
    </row>
    <row r="325" spans="1:21" ht="24.75" customHeight="1" x14ac:dyDescent="0.3">
      <c r="A325" s="38" t="str">
        <f>IFERROR(VLOOKUP(D325,'[1]Product Datasheet'!$A:$G,2,0),"")</f>
        <v/>
      </c>
      <c r="B325" s="39" t="str">
        <f>IFERROR(VLOOKUP(D325,'[1]Product Datasheet'!$A:$G,3,0),"")</f>
        <v/>
      </c>
      <c r="C325" s="40"/>
      <c r="D325" s="41"/>
      <c r="E325" s="41"/>
      <c r="F325" s="41"/>
      <c r="G325" s="42"/>
      <c r="H325" s="43"/>
      <c r="I325" s="42"/>
      <c r="J325" s="44"/>
      <c r="K325" s="44"/>
      <c r="L325" s="44"/>
      <c r="M325" s="45" t="str">
        <f t="shared" si="12"/>
        <v>Pass</v>
      </c>
      <c r="N325" s="46" t="str">
        <f>IFERROR(VLOOKUP(D325,'[1]Product Datasheet'!$A:$G,4,0),"")</f>
        <v/>
      </c>
      <c r="O325" s="47" t="str">
        <f>IFERROR(VLOOKUP(D325,'[1]Product Datasheet'!$A:$G,5,0),"")</f>
        <v/>
      </c>
      <c r="P325" s="47" t="str">
        <f>IFERROR(VLOOKUP(D325,'[1]Product Datasheet'!$A:$G,6,0),"")</f>
        <v/>
      </c>
      <c r="Q325" s="47" t="str">
        <f>IFERROR(VLOOKUP(D325,'[1]Product Datasheet'!$A:$G,7,0), "")</f>
        <v/>
      </c>
      <c r="R325" s="48"/>
      <c r="S325" s="49" t="str">
        <f t="shared" si="13"/>
        <v>Accept</v>
      </c>
      <c r="T325" s="50"/>
      <c r="U325" s="51"/>
    </row>
    <row r="326" spans="1:21" ht="24.75" customHeight="1" x14ac:dyDescent="0.3">
      <c r="A326" s="38" t="str">
        <f>IFERROR(VLOOKUP(D326,'[1]Product Datasheet'!$A:$G,2,0),"")</f>
        <v/>
      </c>
      <c r="B326" s="39" t="str">
        <f>IFERROR(VLOOKUP(D326,'[1]Product Datasheet'!$A:$G,3,0),"")</f>
        <v/>
      </c>
      <c r="C326" s="40"/>
      <c r="D326" s="41"/>
      <c r="E326" s="41"/>
      <c r="F326" s="41"/>
      <c r="G326" s="42"/>
      <c r="H326" s="43"/>
      <c r="I326" s="42"/>
      <c r="J326" s="44"/>
      <c r="K326" s="44"/>
      <c r="L326" s="44"/>
      <c r="M326" s="45" t="str">
        <f t="shared" si="12"/>
        <v>Pass</v>
      </c>
      <c r="N326" s="46" t="str">
        <f>IFERROR(VLOOKUP(D326,'[1]Product Datasheet'!$A:$G,4,0),"")</f>
        <v/>
      </c>
      <c r="O326" s="47" t="str">
        <f>IFERROR(VLOOKUP(D326,'[1]Product Datasheet'!$A:$G,5,0),"")</f>
        <v/>
      </c>
      <c r="P326" s="47" t="str">
        <f>IFERROR(VLOOKUP(D326,'[1]Product Datasheet'!$A:$G,6,0),"")</f>
        <v/>
      </c>
      <c r="Q326" s="47" t="str">
        <f>IFERROR(VLOOKUP(D326,'[1]Product Datasheet'!$A:$G,7,0), "")</f>
        <v/>
      </c>
      <c r="R326" s="48"/>
      <c r="S326" s="49" t="str">
        <f t="shared" si="13"/>
        <v>Accept</v>
      </c>
      <c r="T326" s="50"/>
      <c r="U326" s="51"/>
    </row>
    <row r="327" spans="1:21" ht="24.75" customHeight="1" x14ac:dyDescent="0.3">
      <c r="A327" s="38" t="str">
        <f>IFERROR(VLOOKUP(D327,'[1]Product Datasheet'!$A:$G,2,0),"")</f>
        <v/>
      </c>
      <c r="B327" s="39" t="str">
        <f>IFERROR(VLOOKUP(D327,'[1]Product Datasheet'!$A:$G,3,0),"")</f>
        <v/>
      </c>
      <c r="C327" s="40"/>
      <c r="D327" s="41"/>
      <c r="E327" s="41"/>
      <c r="F327" s="41"/>
      <c r="G327" s="42"/>
      <c r="H327" s="43"/>
      <c r="I327" s="42"/>
      <c r="J327" s="44"/>
      <c r="K327" s="44"/>
      <c r="L327" s="44"/>
      <c r="M327" s="45" t="str">
        <f t="shared" si="12"/>
        <v>Pass</v>
      </c>
      <c r="N327" s="46" t="str">
        <f>IFERROR(VLOOKUP(D327,'[1]Product Datasheet'!$A:$G,4,0),"")</f>
        <v/>
      </c>
      <c r="O327" s="47" t="str">
        <f>IFERROR(VLOOKUP(D327,'[1]Product Datasheet'!$A:$G,5,0),"")</f>
        <v/>
      </c>
      <c r="P327" s="47" t="str">
        <f>IFERROR(VLOOKUP(D327,'[1]Product Datasheet'!$A:$G,6,0),"")</f>
        <v/>
      </c>
      <c r="Q327" s="47" t="str">
        <f>IFERROR(VLOOKUP(D327,'[1]Product Datasheet'!$A:$G,7,0), "")</f>
        <v/>
      </c>
      <c r="R327" s="48"/>
      <c r="S327" s="49" t="str">
        <f t="shared" si="13"/>
        <v>Accept</v>
      </c>
      <c r="T327" s="50"/>
      <c r="U327" s="51"/>
    </row>
    <row r="328" spans="1:21" ht="24.75" customHeight="1" x14ac:dyDescent="0.3">
      <c r="A328" s="38" t="str">
        <f>IFERROR(VLOOKUP(D328,'[1]Product Datasheet'!$A:$G,2,0),"")</f>
        <v/>
      </c>
      <c r="B328" s="39" t="str">
        <f>IFERROR(VLOOKUP(D328,'[1]Product Datasheet'!$A:$G,3,0),"")</f>
        <v/>
      </c>
      <c r="C328" s="40"/>
      <c r="D328" s="41"/>
      <c r="E328" s="41"/>
      <c r="F328" s="41"/>
      <c r="G328" s="42"/>
      <c r="H328" s="43"/>
      <c r="I328" s="42"/>
      <c r="J328" s="44"/>
      <c r="K328" s="44"/>
      <c r="L328" s="44"/>
      <c r="M328" s="45" t="str">
        <f t="shared" ref="M328:M367" si="14">IF(AND(G328&lt;=O328,G328&gt;=N328,H328&lt;=Q328,H328&gt;=P328),"Pass","Fail")</f>
        <v>Pass</v>
      </c>
      <c r="N328" s="46" t="str">
        <f>IFERROR(VLOOKUP(D328,'[1]Product Datasheet'!$A:$G,4,0),"")</f>
        <v/>
      </c>
      <c r="O328" s="47" t="str">
        <f>IFERROR(VLOOKUP(D328,'[1]Product Datasheet'!$A:$G,5,0),"")</f>
        <v/>
      </c>
      <c r="P328" s="47" t="str">
        <f>IFERROR(VLOOKUP(D328,'[1]Product Datasheet'!$A:$G,6,0),"")</f>
        <v/>
      </c>
      <c r="Q328" s="47" t="str">
        <f>IFERROR(VLOOKUP(D328,'[1]Product Datasheet'!$A:$G,7,0), "")</f>
        <v/>
      </c>
      <c r="R328" s="48"/>
      <c r="S328" s="49" t="str">
        <f t="shared" si="13"/>
        <v>Accept</v>
      </c>
      <c r="T328" s="50"/>
      <c r="U328" s="51"/>
    </row>
    <row r="329" spans="1:21" ht="24.75" customHeight="1" x14ac:dyDescent="0.3">
      <c r="A329" s="38" t="str">
        <f>IFERROR(VLOOKUP(D329,'[1]Product Datasheet'!$A:$G,2,0),"")</f>
        <v/>
      </c>
      <c r="B329" s="39" t="str">
        <f>IFERROR(VLOOKUP(D329,'[1]Product Datasheet'!$A:$G,3,0),"")</f>
        <v/>
      </c>
      <c r="C329" s="40"/>
      <c r="D329" s="41"/>
      <c r="E329" s="41"/>
      <c r="F329" s="41"/>
      <c r="G329" s="42"/>
      <c r="H329" s="43"/>
      <c r="I329" s="42"/>
      <c r="J329" s="44"/>
      <c r="K329" s="44"/>
      <c r="L329" s="44"/>
      <c r="M329" s="45" t="str">
        <f t="shared" si="14"/>
        <v>Pass</v>
      </c>
      <c r="N329" s="46" t="str">
        <f>IFERROR(VLOOKUP(D329,'[1]Product Datasheet'!$A:$G,4,0),"")</f>
        <v/>
      </c>
      <c r="O329" s="47" t="str">
        <f>IFERROR(VLOOKUP(D329,'[1]Product Datasheet'!$A:$G,5,0),"")</f>
        <v/>
      </c>
      <c r="P329" s="47" t="str">
        <f>IFERROR(VLOOKUP(D329,'[1]Product Datasheet'!$A:$G,6,0),"")</f>
        <v/>
      </c>
      <c r="Q329" s="47" t="str">
        <f>IFERROR(VLOOKUP(D329,'[1]Product Datasheet'!$A:$G,7,0), "")</f>
        <v/>
      </c>
      <c r="R329" s="48"/>
      <c r="S329" s="49" t="str">
        <f t="shared" si="13"/>
        <v>Accept</v>
      </c>
      <c r="T329" s="50"/>
      <c r="U329" s="51"/>
    </row>
    <row r="330" spans="1:21" ht="24.75" customHeight="1" x14ac:dyDescent="0.3">
      <c r="A330" s="38" t="str">
        <f>IFERROR(VLOOKUP(D330,'[1]Product Datasheet'!$A:$G,2,0),"")</f>
        <v/>
      </c>
      <c r="B330" s="39" t="str">
        <f>IFERROR(VLOOKUP(D330,'[1]Product Datasheet'!$A:$G,3,0),"")</f>
        <v/>
      </c>
      <c r="C330" s="40"/>
      <c r="D330" s="41"/>
      <c r="E330" s="41"/>
      <c r="F330" s="41"/>
      <c r="G330" s="42"/>
      <c r="H330" s="43"/>
      <c r="I330" s="42"/>
      <c r="J330" s="44"/>
      <c r="K330" s="44"/>
      <c r="L330" s="44"/>
      <c r="M330" s="45" t="str">
        <f t="shared" si="14"/>
        <v>Pass</v>
      </c>
      <c r="N330" s="46" t="str">
        <f>IFERROR(VLOOKUP(D330,'[1]Product Datasheet'!$A:$G,4,0),"")</f>
        <v/>
      </c>
      <c r="O330" s="47" t="str">
        <f>IFERROR(VLOOKUP(D330,'[1]Product Datasheet'!$A:$G,5,0),"")</f>
        <v/>
      </c>
      <c r="P330" s="47" t="str">
        <f>IFERROR(VLOOKUP(D330,'[1]Product Datasheet'!$A:$G,6,0),"")</f>
        <v/>
      </c>
      <c r="Q330" s="47" t="str">
        <f>IFERROR(VLOOKUP(D330,'[1]Product Datasheet'!$A:$G,7,0), "")</f>
        <v/>
      </c>
      <c r="R330" s="48"/>
      <c r="S330" s="49" t="str">
        <f t="shared" si="13"/>
        <v>Accept</v>
      </c>
      <c r="T330" s="50"/>
      <c r="U330" s="51"/>
    </row>
    <row r="331" spans="1:21" ht="24.75" customHeight="1" x14ac:dyDescent="0.3">
      <c r="A331" s="38" t="str">
        <f>IFERROR(VLOOKUP(D331,'[1]Product Datasheet'!$A:$G,2,0),"")</f>
        <v/>
      </c>
      <c r="B331" s="39" t="str">
        <f>IFERROR(VLOOKUP(D331,'[1]Product Datasheet'!$A:$G,3,0),"")</f>
        <v/>
      </c>
      <c r="C331" s="40"/>
      <c r="D331" s="41"/>
      <c r="E331" s="41"/>
      <c r="F331" s="41"/>
      <c r="G331" s="42"/>
      <c r="H331" s="43"/>
      <c r="I331" s="42"/>
      <c r="J331" s="44"/>
      <c r="K331" s="44"/>
      <c r="L331" s="44"/>
      <c r="M331" s="45" t="str">
        <f t="shared" si="14"/>
        <v>Pass</v>
      </c>
      <c r="N331" s="46" t="str">
        <f>IFERROR(VLOOKUP(D331,'[1]Product Datasheet'!$A:$G,4,0),"")</f>
        <v/>
      </c>
      <c r="O331" s="47" t="str">
        <f>IFERROR(VLOOKUP(D331,'[1]Product Datasheet'!$A:$G,5,0),"")</f>
        <v/>
      </c>
      <c r="P331" s="47" t="str">
        <f>IFERROR(VLOOKUP(D331,'[1]Product Datasheet'!$A:$G,6,0),"")</f>
        <v/>
      </c>
      <c r="Q331" s="47" t="str">
        <f>IFERROR(VLOOKUP(D331,'[1]Product Datasheet'!$A:$G,7,0), "")</f>
        <v/>
      </c>
      <c r="R331" s="48"/>
      <c r="S331" s="49" t="str">
        <f t="shared" si="13"/>
        <v>Accept</v>
      </c>
      <c r="T331" s="50"/>
      <c r="U331" s="51"/>
    </row>
    <row r="332" spans="1:21" ht="24.75" customHeight="1" x14ac:dyDescent="0.3">
      <c r="A332" s="38" t="str">
        <f>IFERROR(VLOOKUP(D332,'[1]Product Datasheet'!$A:$G,2,0),"")</f>
        <v/>
      </c>
      <c r="B332" s="39" t="str">
        <f>IFERROR(VLOOKUP(D332,'[1]Product Datasheet'!$A:$G,3,0),"")</f>
        <v/>
      </c>
      <c r="C332" s="40"/>
      <c r="D332" s="41"/>
      <c r="E332" s="41"/>
      <c r="F332" s="41"/>
      <c r="G332" s="42"/>
      <c r="H332" s="43"/>
      <c r="I332" s="42"/>
      <c r="J332" s="44"/>
      <c r="K332" s="44"/>
      <c r="L332" s="44"/>
      <c r="M332" s="45" t="str">
        <f t="shared" si="14"/>
        <v>Pass</v>
      </c>
      <c r="N332" s="46" t="str">
        <f>IFERROR(VLOOKUP(D332,'[1]Product Datasheet'!$A:$G,4,0),"")</f>
        <v/>
      </c>
      <c r="O332" s="47" t="str">
        <f>IFERROR(VLOOKUP(D332,'[1]Product Datasheet'!$A:$G,5,0),"")</f>
        <v/>
      </c>
      <c r="P332" s="47" t="str">
        <f>IFERROR(VLOOKUP(D332,'[1]Product Datasheet'!$A:$G,6,0),"")</f>
        <v/>
      </c>
      <c r="Q332" s="47" t="str">
        <f>IFERROR(VLOOKUP(D332,'[1]Product Datasheet'!$A:$G,7,0), "")</f>
        <v/>
      </c>
      <c r="R332" s="48"/>
      <c r="S332" s="49" t="str">
        <f t="shared" si="13"/>
        <v>Accept</v>
      </c>
      <c r="T332" s="50"/>
      <c r="U332" s="51"/>
    </row>
    <row r="333" spans="1:21" ht="24.75" customHeight="1" x14ac:dyDescent="0.3">
      <c r="A333" s="38" t="str">
        <f>IFERROR(VLOOKUP(D333,'[1]Product Datasheet'!$A:$G,2,0),"")</f>
        <v/>
      </c>
      <c r="B333" s="39" t="str">
        <f>IFERROR(VLOOKUP(D333,'[1]Product Datasheet'!$A:$G,3,0),"")</f>
        <v/>
      </c>
      <c r="C333" s="40"/>
      <c r="D333" s="41"/>
      <c r="E333" s="41"/>
      <c r="F333" s="41"/>
      <c r="G333" s="42"/>
      <c r="H333" s="43"/>
      <c r="I333" s="42"/>
      <c r="J333" s="44"/>
      <c r="K333" s="44"/>
      <c r="L333" s="44"/>
      <c r="M333" s="45" t="str">
        <f t="shared" si="14"/>
        <v>Pass</v>
      </c>
      <c r="N333" s="46" t="str">
        <f>IFERROR(VLOOKUP(D333,'[1]Product Datasheet'!$A:$G,4,0),"")</f>
        <v/>
      </c>
      <c r="O333" s="47" t="str">
        <f>IFERROR(VLOOKUP(D333,'[1]Product Datasheet'!$A:$G,5,0),"")</f>
        <v/>
      </c>
      <c r="P333" s="47" t="str">
        <f>IFERROR(VLOOKUP(D333,'[1]Product Datasheet'!$A:$G,6,0),"")</f>
        <v/>
      </c>
      <c r="Q333" s="47" t="str">
        <f>IFERROR(VLOOKUP(D333,'[1]Product Datasheet'!$A:$G,7,0), "")</f>
        <v/>
      </c>
      <c r="R333" s="48"/>
      <c r="S333" s="49" t="str">
        <f t="shared" si="13"/>
        <v>Accept</v>
      </c>
      <c r="T333" s="50"/>
      <c r="U333" s="51"/>
    </row>
    <row r="334" spans="1:21" ht="24.75" customHeight="1" x14ac:dyDescent="0.3">
      <c r="A334" s="38" t="str">
        <f>IFERROR(VLOOKUP(D334,'[1]Product Datasheet'!$A:$G,2,0),"")</f>
        <v/>
      </c>
      <c r="B334" s="39" t="str">
        <f>IFERROR(VLOOKUP(D334,'[1]Product Datasheet'!$A:$G,3,0),"")</f>
        <v/>
      </c>
      <c r="C334" s="40"/>
      <c r="D334" s="41"/>
      <c r="E334" s="41"/>
      <c r="F334" s="41"/>
      <c r="G334" s="42"/>
      <c r="H334" s="43"/>
      <c r="I334" s="42"/>
      <c r="J334" s="44"/>
      <c r="K334" s="44"/>
      <c r="L334" s="44"/>
      <c r="M334" s="45" t="str">
        <f t="shared" si="14"/>
        <v>Pass</v>
      </c>
      <c r="N334" s="46" t="str">
        <f>IFERROR(VLOOKUP(D334,'[1]Product Datasheet'!$A:$G,4,0),"")</f>
        <v/>
      </c>
      <c r="O334" s="47" t="str">
        <f>IFERROR(VLOOKUP(D334,'[1]Product Datasheet'!$A:$G,5,0),"")</f>
        <v/>
      </c>
      <c r="P334" s="47" t="str">
        <f>IFERROR(VLOOKUP(D334,'[1]Product Datasheet'!$A:$G,6,0),"")</f>
        <v/>
      </c>
      <c r="Q334" s="47" t="str">
        <f>IFERROR(VLOOKUP(D334,'[1]Product Datasheet'!$A:$G,7,0), "")</f>
        <v/>
      </c>
      <c r="R334" s="48"/>
      <c r="S334" s="49" t="str">
        <f t="shared" si="13"/>
        <v>Accept</v>
      </c>
      <c r="T334" s="50"/>
      <c r="U334" s="51"/>
    </row>
    <row r="335" spans="1:21" ht="24.75" customHeight="1" x14ac:dyDescent="0.3">
      <c r="A335" s="38" t="str">
        <f>IFERROR(VLOOKUP(D335,'[1]Product Datasheet'!$A:$G,2,0),"")</f>
        <v/>
      </c>
      <c r="B335" s="39" t="str">
        <f>IFERROR(VLOOKUP(D335,'[1]Product Datasheet'!$A:$G,3,0),"")</f>
        <v/>
      </c>
      <c r="C335" s="40"/>
      <c r="D335" s="41"/>
      <c r="E335" s="41"/>
      <c r="F335" s="41"/>
      <c r="G335" s="42"/>
      <c r="H335" s="43"/>
      <c r="I335" s="42"/>
      <c r="J335" s="44"/>
      <c r="K335" s="44"/>
      <c r="L335" s="44"/>
      <c r="M335" s="45" t="str">
        <f t="shared" si="14"/>
        <v>Pass</v>
      </c>
      <c r="N335" s="46" t="str">
        <f>IFERROR(VLOOKUP(D335,'[1]Product Datasheet'!$A:$G,4,0),"")</f>
        <v/>
      </c>
      <c r="O335" s="47" t="str">
        <f>IFERROR(VLOOKUP(D335,'[1]Product Datasheet'!$A:$G,5,0),"")</f>
        <v/>
      </c>
      <c r="P335" s="47" t="str">
        <f>IFERROR(VLOOKUP(D335,'[1]Product Datasheet'!$A:$G,6,0),"")</f>
        <v/>
      </c>
      <c r="Q335" s="47" t="str">
        <f>IFERROR(VLOOKUP(D335,'[1]Product Datasheet'!$A:$G,7,0), "")</f>
        <v/>
      </c>
      <c r="R335" s="48"/>
      <c r="S335" s="49" t="str">
        <f t="shared" si="13"/>
        <v>Accept</v>
      </c>
      <c r="T335" s="50"/>
      <c r="U335" s="51"/>
    </row>
    <row r="336" spans="1:21" ht="24.75" customHeight="1" x14ac:dyDescent="0.3">
      <c r="A336" s="38" t="str">
        <f>IFERROR(VLOOKUP(D336,'[1]Product Datasheet'!$A:$G,2,0),"")</f>
        <v/>
      </c>
      <c r="B336" s="39" t="str">
        <f>IFERROR(VLOOKUP(D336,'[1]Product Datasheet'!$A:$G,3,0),"")</f>
        <v/>
      </c>
      <c r="C336" s="40"/>
      <c r="D336" s="41"/>
      <c r="E336" s="41"/>
      <c r="F336" s="41"/>
      <c r="G336" s="42"/>
      <c r="H336" s="43"/>
      <c r="I336" s="42"/>
      <c r="J336" s="44"/>
      <c r="K336" s="44"/>
      <c r="L336" s="44"/>
      <c r="M336" s="45" t="str">
        <f t="shared" si="14"/>
        <v>Pass</v>
      </c>
      <c r="N336" s="46" t="str">
        <f>IFERROR(VLOOKUP(D336,'[1]Product Datasheet'!$A:$G,4,0),"")</f>
        <v/>
      </c>
      <c r="O336" s="47" t="str">
        <f>IFERROR(VLOOKUP(D336,'[1]Product Datasheet'!$A:$G,5,0),"")</f>
        <v/>
      </c>
      <c r="P336" s="47" t="str">
        <f>IFERROR(VLOOKUP(D336,'[1]Product Datasheet'!$A:$G,6,0),"")</f>
        <v/>
      </c>
      <c r="Q336" s="47" t="str">
        <f>IFERROR(VLOOKUP(D336,'[1]Product Datasheet'!$A:$G,7,0), "")</f>
        <v/>
      </c>
      <c r="R336" s="48"/>
      <c r="S336" s="49" t="str">
        <f t="shared" si="13"/>
        <v>Accept</v>
      </c>
      <c r="T336" s="50"/>
      <c r="U336" s="51"/>
    </row>
    <row r="337" spans="1:21" ht="24.75" customHeight="1" x14ac:dyDescent="0.3">
      <c r="A337" s="38" t="str">
        <f>IFERROR(VLOOKUP(D337,'[1]Product Datasheet'!$A:$G,2,0),"")</f>
        <v/>
      </c>
      <c r="B337" s="39" t="str">
        <f>IFERROR(VLOOKUP(D337,'[1]Product Datasheet'!$A:$G,3,0),"")</f>
        <v/>
      </c>
      <c r="C337" s="40"/>
      <c r="D337" s="41"/>
      <c r="E337" s="41"/>
      <c r="F337" s="41"/>
      <c r="G337" s="42"/>
      <c r="H337" s="43"/>
      <c r="I337" s="42"/>
      <c r="J337" s="44"/>
      <c r="K337" s="44"/>
      <c r="L337" s="44"/>
      <c r="M337" s="45" t="str">
        <f t="shared" si="14"/>
        <v>Pass</v>
      </c>
      <c r="N337" s="46" t="str">
        <f>IFERROR(VLOOKUP(D337,'[1]Product Datasheet'!$A:$G,4,0),"")</f>
        <v/>
      </c>
      <c r="O337" s="47" t="str">
        <f>IFERROR(VLOOKUP(D337,'[1]Product Datasheet'!$A:$G,5,0),"")</f>
        <v/>
      </c>
      <c r="P337" s="47" t="str">
        <f>IFERROR(VLOOKUP(D337,'[1]Product Datasheet'!$A:$G,6,0),"")</f>
        <v/>
      </c>
      <c r="Q337" s="47" t="str">
        <f>IFERROR(VLOOKUP(D337,'[1]Product Datasheet'!$A:$G,7,0), "")</f>
        <v/>
      </c>
      <c r="R337" s="48"/>
      <c r="S337" s="49" t="str">
        <f t="shared" si="13"/>
        <v>Accept</v>
      </c>
      <c r="T337" s="50"/>
      <c r="U337" s="51"/>
    </row>
    <row r="338" spans="1:21" ht="24.75" customHeight="1" x14ac:dyDescent="0.3">
      <c r="A338" s="38" t="str">
        <f>IFERROR(VLOOKUP(D338,'[1]Product Datasheet'!$A:$G,2,0),"")</f>
        <v/>
      </c>
      <c r="B338" s="39" t="str">
        <f>IFERROR(VLOOKUP(D338,'[1]Product Datasheet'!$A:$G,3,0),"")</f>
        <v/>
      </c>
      <c r="C338" s="40"/>
      <c r="D338" s="41"/>
      <c r="E338" s="41"/>
      <c r="F338" s="41"/>
      <c r="G338" s="42"/>
      <c r="H338" s="43"/>
      <c r="I338" s="42"/>
      <c r="J338" s="44"/>
      <c r="K338" s="44"/>
      <c r="L338" s="44"/>
      <c r="M338" s="45" t="str">
        <f t="shared" si="14"/>
        <v>Pass</v>
      </c>
      <c r="N338" s="46" t="str">
        <f>IFERROR(VLOOKUP(D338,'[1]Product Datasheet'!$A:$G,4,0),"")</f>
        <v/>
      </c>
      <c r="O338" s="47" t="str">
        <f>IFERROR(VLOOKUP(D338,'[1]Product Datasheet'!$A:$G,5,0),"")</f>
        <v/>
      </c>
      <c r="P338" s="47" t="str">
        <f>IFERROR(VLOOKUP(D338,'[1]Product Datasheet'!$A:$G,6,0),"")</f>
        <v/>
      </c>
      <c r="Q338" s="47" t="str">
        <f>IFERROR(VLOOKUP(D338,'[1]Product Datasheet'!$A:$G,7,0), "")</f>
        <v/>
      </c>
      <c r="R338" s="48"/>
      <c r="S338" s="49" t="str">
        <f t="shared" si="13"/>
        <v>Accept</v>
      </c>
      <c r="T338" s="50"/>
      <c r="U338" s="51"/>
    </row>
    <row r="339" spans="1:21" ht="24.75" customHeight="1" x14ac:dyDescent="0.3">
      <c r="A339" s="38" t="str">
        <f>IFERROR(VLOOKUP(D339,'[1]Product Datasheet'!$A:$G,2,0),"")</f>
        <v/>
      </c>
      <c r="B339" s="39" t="str">
        <f>IFERROR(VLOOKUP(D339,'[1]Product Datasheet'!$A:$G,3,0),"")</f>
        <v/>
      </c>
      <c r="C339" s="40"/>
      <c r="D339" s="41"/>
      <c r="E339" s="41"/>
      <c r="F339" s="41"/>
      <c r="G339" s="42"/>
      <c r="H339" s="43"/>
      <c r="I339" s="42"/>
      <c r="J339" s="44"/>
      <c r="K339" s="44"/>
      <c r="L339" s="44"/>
      <c r="M339" s="45" t="str">
        <f t="shared" si="14"/>
        <v>Pass</v>
      </c>
      <c r="N339" s="46" t="str">
        <f>IFERROR(VLOOKUP(D339,'[1]Product Datasheet'!$A:$G,4,0),"")</f>
        <v/>
      </c>
      <c r="O339" s="47" t="str">
        <f>IFERROR(VLOOKUP(D339,'[1]Product Datasheet'!$A:$G,5,0),"")</f>
        <v/>
      </c>
      <c r="P339" s="47" t="str">
        <f>IFERROR(VLOOKUP(D339,'[1]Product Datasheet'!$A:$G,6,0),"")</f>
        <v/>
      </c>
      <c r="Q339" s="47" t="str">
        <f>IFERROR(VLOOKUP(D339,'[1]Product Datasheet'!$A:$G,7,0), "")</f>
        <v/>
      </c>
      <c r="R339" s="48"/>
      <c r="S339" s="49" t="str">
        <f t="shared" si="13"/>
        <v>Accept</v>
      </c>
      <c r="T339" s="50"/>
      <c r="U339" s="51"/>
    </row>
    <row r="340" spans="1:21" ht="24.75" customHeight="1" x14ac:dyDescent="0.3">
      <c r="A340" s="38" t="str">
        <f>IFERROR(VLOOKUP(D340,'[1]Product Datasheet'!$A:$G,2,0),"")</f>
        <v/>
      </c>
      <c r="B340" s="39" t="str">
        <f>IFERROR(VLOOKUP(D340,'[1]Product Datasheet'!$A:$G,3,0),"")</f>
        <v/>
      </c>
      <c r="C340" s="40"/>
      <c r="D340" s="41"/>
      <c r="E340" s="41"/>
      <c r="F340" s="41"/>
      <c r="G340" s="42"/>
      <c r="H340" s="43"/>
      <c r="I340" s="42"/>
      <c r="J340" s="44"/>
      <c r="K340" s="44"/>
      <c r="L340" s="44"/>
      <c r="M340" s="45" t="str">
        <f t="shared" si="14"/>
        <v>Pass</v>
      </c>
      <c r="N340" s="46" t="str">
        <f>IFERROR(VLOOKUP(D340,'[1]Product Datasheet'!$A:$G,4,0),"")</f>
        <v/>
      </c>
      <c r="O340" s="47" t="str">
        <f>IFERROR(VLOOKUP(D340,'[1]Product Datasheet'!$A:$G,5,0),"")</f>
        <v/>
      </c>
      <c r="P340" s="47" t="str">
        <f>IFERROR(VLOOKUP(D340,'[1]Product Datasheet'!$A:$G,6,0),"")</f>
        <v/>
      </c>
      <c r="Q340" s="47" t="str">
        <f>IFERROR(VLOOKUP(D340,'[1]Product Datasheet'!$A:$G,7,0), "")</f>
        <v/>
      </c>
      <c r="R340" s="48"/>
      <c r="S340" s="49" t="str">
        <f t="shared" si="13"/>
        <v>Accept</v>
      </c>
      <c r="T340" s="50"/>
      <c r="U340" s="51"/>
    </row>
    <row r="341" spans="1:21" ht="24.75" customHeight="1" x14ac:dyDescent="0.3">
      <c r="A341" s="38" t="str">
        <f>IFERROR(VLOOKUP(D341,'[1]Product Datasheet'!$A:$G,2,0),"")</f>
        <v/>
      </c>
      <c r="B341" s="39" t="str">
        <f>IFERROR(VLOOKUP(D341,'[1]Product Datasheet'!$A:$G,3,0),"")</f>
        <v/>
      </c>
      <c r="C341" s="40"/>
      <c r="D341" s="41"/>
      <c r="E341" s="41"/>
      <c r="F341" s="41"/>
      <c r="G341" s="42"/>
      <c r="H341" s="43"/>
      <c r="I341" s="42"/>
      <c r="J341" s="44"/>
      <c r="K341" s="44"/>
      <c r="L341" s="44"/>
      <c r="M341" s="45" t="str">
        <f t="shared" si="14"/>
        <v>Pass</v>
      </c>
      <c r="N341" s="46" t="str">
        <f>IFERROR(VLOOKUP(D341,'[1]Product Datasheet'!$A:$G,4,0),"")</f>
        <v/>
      </c>
      <c r="O341" s="47" t="str">
        <f>IFERROR(VLOOKUP(D341,'[1]Product Datasheet'!$A:$G,5,0),"")</f>
        <v/>
      </c>
      <c r="P341" s="47" t="str">
        <f>IFERROR(VLOOKUP(D341,'[1]Product Datasheet'!$A:$G,6,0),"")</f>
        <v/>
      </c>
      <c r="Q341" s="47" t="str">
        <f>IFERROR(VLOOKUP(D341,'[1]Product Datasheet'!$A:$G,7,0), "")</f>
        <v/>
      </c>
      <c r="R341" s="48"/>
      <c r="S341" s="49" t="str">
        <f t="shared" si="13"/>
        <v>Accept</v>
      </c>
      <c r="T341" s="50"/>
      <c r="U341" s="51"/>
    </row>
    <row r="342" spans="1:21" ht="24.75" customHeight="1" x14ac:dyDescent="0.3">
      <c r="A342" s="38" t="str">
        <f>IFERROR(VLOOKUP(D342,'[1]Product Datasheet'!$A:$G,2,0),"")</f>
        <v/>
      </c>
      <c r="B342" s="39" t="str">
        <f>IFERROR(VLOOKUP(D342,'[1]Product Datasheet'!$A:$G,3,0),"")</f>
        <v/>
      </c>
      <c r="C342" s="40"/>
      <c r="D342" s="41"/>
      <c r="E342" s="41"/>
      <c r="F342" s="41"/>
      <c r="G342" s="42"/>
      <c r="H342" s="43"/>
      <c r="I342" s="42"/>
      <c r="J342" s="44"/>
      <c r="K342" s="44"/>
      <c r="L342" s="44"/>
      <c r="M342" s="45" t="str">
        <f t="shared" si="14"/>
        <v>Pass</v>
      </c>
      <c r="N342" s="46" t="str">
        <f>IFERROR(VLOOKUP(D342,'[1]Product Datasheet'!$A:$G,4,0),"")</f>
        <v/>
      </c>
      <c r="O342" s="47" t="str">
        <f>IFERROR(VLOOKUP(D342,'[1]Product Datasheet'!$A:$G,5,0),"")</f>
        <v/>
      </c>
      <c r="P342" s="47" t="str">
        <f>IFERROR(VLOOKUP(D342,'[1]Product Datasheet'!$A:$G,6,0),"")</f>
        <v/>
      </c>
      <c r="Q342" s="47" t="str">
        <f>IFERROR(VLOOKUP(D342,'[1]Product Datasheet'!$A:$G,7,0), "")</f>
        <v/>
      </c>
      <c r="R342" s="48"/>
      <c r="S342" s="49" t="str">
        <f t="shared" si="13"/>
        <v>Accept</v>
      </c>
      <c r="T342" s="50"/>
      <c r="U342" s="51"/>
    </row>
    <row r="343" spans="1:21" ht="24.75" customHeight="1" x14ac:dyDescent="0.3">
      <c r="A343" s="38" t="str">
        <f>IFERROR(VLOOKUP(D343,'[1]Product Datasheet'!$A:$G,2,0),"")</f>
        <v/>
      </c>
      <c r="B343" s="39" t="str">
        <f>IFERROR(VLOOKUP(D343,'[1]Product Datasheet'!$A:$G,3,0),"")</f>
        <v/>
      </c>
      <c r="C343" s="40"/>
      <c r="D343" s="41"/>
      <c r="E343" s="41"/>
      <c r="F343" s="41"/>
      <c r="G343" s="42"/>
      <c r="H343" s="43"/>
      <c r="I343" s="42"/>
      <c r="J343" s="44"/>
      <c r="K343" s="44"/>
      <c r="L343" s="44"/>
      <c r="M343" s="45" t="str">
        <f t="shared" si="14"/>
        <v>Pass</v>
      </c>
      <c r="N343" s="46" t="str">
        <f>IFERROR(VLOOKUP(D343,'[1]Product Datasheet'!$A:$G,4,0),"")</f>
        <v/>
      </c>
      <c r="O343" s="47" t="str">
        <f>IFERROR(VLOOKUP(D343,'[1]Product Datasheet'!$A:$G,5,0),"")</f>
        <v/>
      </c>
      <c r="P343" s="47" t="str">
        <f>IFERROR(VLOOKUP(D343,'[1]Product Datasheet'!$A:$G,6,0),"")</f>
        <v/>
      </c>
      <c r="Q343" s="47" t="str">
        <f>IFERROR(VLOOKUP(D343,'[1]Product Datasheet'!$A:$G,7,0), "")</f>
        <v/>
      </c>
      <c r="R343" s="48"/>
      <c r="S343" s="49" t="str">
        <f t="shared" si="13"/>
        <v>Accept</v>
      </c>
      <c r="T343" s="50"/>
      <c r="U343" s="51"/>
    </row>
    <row r="344" spans="1:21" ht="24.75" customHeight="1" x14ac:dyDescent="0.3">
      <c r="A344" s="38" t="str">
        <f>IFERROR(VLOOKUP(D344,'[1]Product Datasheet'!$A:$G,2,0),"")</f>
        <v/>
      </c>
      <c r="B344" s="39" t="str">
        <f>IFERROR(VLOOKUP(D344,'[1]Product Datasheet'!$A:$G,3,0),"")</f>
        <v/>
      </c>
      <c r="C344" s="40"/>
      <c r="D344" s="41"/>
      <c r="E344" s="41"/>
      <c r="F344" s="41"/>
      <c r="G344" s="42"/>
      <c r="H344" s="43"/>
      <c r="I344" s="42"/>
      <c r="J344" s="44"/>
      <c r="K344" s="44"/>
      <c r="L344" s="44"/>
      <c r="M344" s="45" t="str">
        <f t="shared" si="14"/>
        <v>Pass</v>
      </c>
      <c r="N344" s="46" t="str">
        <f>IFERROR(VLOOKUP(D344,'[1]Product Datasheet'!$A:$G,4,0),"")</f>
        <v/>
      </c>
      <c r="O344" s="47" t="str">
        <f>IFERROR(VLOOKUP(D344,'[1]Product Datasheet'!$A:$G,5,0),"")</f>
        <v/>
      </c>
      <c r="P344" s="47" t="str">
        <f>IFERROR(VLOOKUP(D344,'[1]Product Datasheet'!$A:$G,6,0),"")</f>
        <v/>
      </c>
      <c r="Q344" s="47" t="str">
        <f>IFERROR(VLOOKUP(D344,'[1]Product Datasheet'!$A:$G,7,0), "")</f>
        <v/>
      </c>
      <c r="R344" s="48"/>
      <c r="S344" s="49" t="str">
        <f t="shared" si="13"/>
        <v>Accept</v>
      </c>
      <c r="T344" s="50"/>
      <c r="U344" s="51"/>
    </row>
    <row r="345" spans="1:21" ht="24.75" customHeight="1" x14ac:dyDescent="0.3">
      <c r="A345" s="38" t="str">
        <f>IFERROR(VLOOKUP(D345,'[1]Product Datasheet'!$A:$G,2,0),"")</f>
        <v/>
      </c>
      <c r="B345" s="39" t="str">
        <f>IFERROR(VLOOKUP(D345,'[1]Product Datasheet'!$A:$G,3,0),"")</f>
        <v/>
      </c>
      <c r="C345" s="40"/>
      <c r="D345" s="41"/>
      <c r="E345" s="41"/>
      <c r="F345" s="41"/>
      <c r="G345" s="42"/>
      <c r="H345" s="43"/>
      <c r="I345" s="42"/>
      <c r="J345" s="44"/>
      <c r="K345" s="44"/>
      <c r="L345" s="44"/>
      <c r="M345" s="45" t="str">
        <f t="shared" si="14"/>
        <v>Pass</v>
      </c>
      <c r="N345" s="46" t="str">
        <f>IFERROR(VLOOKUP(D345,'[1]Product Datasheet'!$A:$G,4,0),"")</f>
        <v/>
      </c>
      <c r="O345" s="47" t="str">
        <f>IFERROR(VLOOKUP(D345,'[1]Product Datasheet'!$A:$G,5,0),"")</f>
        <v/>
      </c>
      <c r="P345" s="47" t="str">
        <f>IFERROR(VLOOKUP(D345,'[1]Product Datasheet'!$A:$G,6,0),"")</f>
        <v/>
      </c>
      <c r="Q345" s="47" t="str">
        <f>IFERROR(VLOOKUP(D345,'[1]Product Datasheet'!$A:$G,7,0), "")</f>
        <v/>
      </c>
      <c r="R345" s="48"/>
      <c r="S345" s="49" t="str">
        <f t="shared" si="13"/>
        <v>Accept</v>
      </c>
      <c r="T345" s="50"/>
      <c r="U345" s="51"/>
    </row>
    <row r="346" spans="1:21" ht="24.75" customHeight="1" x14ac:dyDescent="0.3">
      <c r="A346" s="38" t="str">
        <f>IFERROR(VLOOKUP(D346,'[1]Product Datasheet'!$A:$G,2,0),"")</f>
        <v/>
      </c>
      <c r="B346" s="39" t="str">
        <f>IFERROR(VLOOKUP(D346,'[1]Product Datasheet'!$A:$G,3,0),"")</f>
        <v/>
      </c>
      <c r="C346" s="40"/>
      <c r="D346" s="41"/>
      <c r="E346" s="41"/>
      <c r="F346" s="41"/>
      <c r="G346" s="42"/>
      <c r="H346" s="43"/>
      <c r="I346" s="42"/>
      <c r="J346" s="44"/>
      <c r="K346" s="44"/>
      <c r="L346" s="44"/>
      <c r="M346" s="45" t="str">
        <f t="shared" si="14"/>
        <v>Pass</v>
      </c>
      <c r="N346" s="46" t="str">
        <f>IFERROR(VLOOKUP(D346,'[1]Product Datasheet'!$A:$G,4,0),"")</f>
        <v/>
      </c>
      <c r="O346" s="47" t="str">
        <f>IFERROR(VLOOKUP(D346,'[1]Product Datasheet'!$A:$G,5,0),"")</f>
        <v/>
      </c>
      <c r="P346" s="47" t="str">
        <f>IFERROR(VLOOKUP(D346,'[1]Product Datasheet'!$A:$G,6,0),"")</f>
        <v/>
      </c>
      <c r="Q346" s="47" t="str">
        <f>IFERROR(VLOOKUP(D346,'[1]Product Datasheet'!$A:$G,7,0), "")</f>
        <v/>
      </c>
      <c r="R346" s="48"/>
      <c r="S346" s="49" t="str">
        <f t="shared" ref="S346:S367" si="15">IFERROR(IF(AND(ROUND(H346, 2)&lt;=Q346, ROUND(G346,1)&lt;=O346), "Accept", "Reject"),"Reject")</f>
        <v>Accept</v>
      </c>
      <c r="T346" s="50"/>
      <c r="U346" s="51"/>
    </row>
    <row r="347" spans="1:21" ht="24.75" customHeight="1" x14ac:dyDescent="0.3">
      <c r="A347" s="38" t="str">
        <f>IFERROR(VLOOKUP(D347,'[1]Product Datasheet'!$A:$G,2,0),"")</f>
        <v/>
      </c>
      <c r="B347" s="39" t="str">
        <f>IFERROR(VLOOKUP(D347,'[1]Product Datasheet'!$A:$G,3,0),"")</f>
        <v/>
      </c>
      <c r="C347" s="40"/>
      <c r="D347" s="41"/>
      <c r="E347" s="41"/>
      <c r="F347" s="41"/>
      <c r="G347" s="42"/>
      <c r="H347" s="43"/>
      <c r="I347" s="42"/>
      <c r="J347" s="44"/>
      <c r="K347" s="44"/>
      <c r="L347" s="44"/>
      <c r="M347" s="45" t="str">
        <f t="shared" si="14"/>
        <v>Pass</v>
      </c>
      <c r="N347" s="46" t="str">
        <f>IFERROR(VLOOKUP(D347,'[1]Product Datasheet'!$A:$G,4,0),"")</f>
        <v/>
      </c>
      <c r="O347" s="47" t="str">
        <f>IFERROR(VLOOKUP(D347,'[1]Product Datasheet'!$A:$G,5,0),"")</f>
        <v/>
      </c>
      <c r="P347" s="47" t="str">
        <f>IFERROR(VLOOKUP(D347,'[1]Product Datasheet'!$A:$G,6,0),"")</f>
        <v/>
      </c>
      <c r="Q347" s="47" t="str">
        <f>IFERROR(VLOOKUP(D347,'[1]Product Datasheet'!$A:$G,7,0), "")</f>
        <v/>
      </c>
      <c r="R347" s="48"/>
      <c r="S347" s="49" t="str">
        <f t="shared" si="15"/>
        <v>Accept</v>
      </c>
      <c r="T347" s="50"/>
      <c r="U347" s="51"/>
    </row>
    <row r="348" spans="1:21" ht="24.75" customHeight="1" x14ac:dyDescent="0.3">
      <c r="A348" s="38" t="str">
        <f>IFERROR(VLOOKUP(D348,'[1]Product Datasheet'!$A:$G,2,0),"")</f>
        <v/>
      </c>
      <c r="B348" s="39" t="str">
        <f>IFERROR(VLOOKUP(D348,'[1]Product Datasheet'!$A:$G,3,0),"")</f>
        <v/>
      </c>
      <c r="C348" s="40"/>
      <c r="D348" s="41"/>
      <c r="E348" s="41"/>
      <c r="F348" s="41"/>
      <c r="G348" s="42"/>
      <c r="H348" s="43"/>
      <c r="I348" s="42"/>
      <c r="J348" s="44"/>
      <c r="K348" s="44"/>
      <c r="L348" s="44"/>
      <c r="M348" s="45" t="str">
        <f t="shared" si="14"/>
        <v>Pass</v>
      </c>
      <c r="N348" s="46" t="str">
        <f>IFERROR(VLOOKUP(D348,'[1]Product Datasheet'!$A:$G,4,0),"")</f>
        <v/>
      </c>
      <c r="O348" s="47" t="str">
        <f>IFERROR(VLOOKUP(D348,'[1]Product Datasheet'!$A:$G,5,0),"")</f>
        <v/>
      </c>
      <c r="P348" s="47" t="str">
        <f>IFERROR(VLOOKUP(D348,'[1]Product Datasheet'!$A:$G,6,0),"")</f>
        <v/>
      </c>
      <c r="Q348" s="47" t="str">
        <f>IFERROR(VLOOKUP(D348,'[1]Product Datasheet'!$A:$G,7,0), "")</f>
        <v/>
      </c>
      <c r="R348" s="48"/>
      <c r="S348" s="49" t="str">
        <f t="shared" si="15"/>
        <v>Accept</v>
      </c>
      <c r="T348" s="50"/>
      <c r="U348" s="51"/>
    </row>
    <row r="349" spans="1:21" ht="24.75" customHeight="1" x14ac:dyDescent="0.3">
      <c r="A349" s="38" t="str">
        <f>IFERROR(VLOOKUP(D349,'[1]Product Datasheet'!$A:$G,2,0),"")</f>
        <v/>
      </c>
      <c r="B349" s="39" t="str">
        <f>IFERROR(VLOOKUP(D349,'[1]Product Datasheet'!$A:$G,3,0),"")</f>
        <v/>
      </c>
      <c r="C349" s="40"/>
      <c r="D349" s="41"/>
      <c r="E349" s="41"/>
      <c r="F349" s="41"/>
      <c r="G349" s="42"/>
      <c r="H349" s="43"/>
      <c r="I349" s="42"/>
      <c r="J349" s="44"/>
      <c r="K349" s="44"/>
      <c r="L349" s="44"/>
      <c r="M349" s="45" t="str">
        <f t="shared" si="14"/>
        <v>Pass</v>
      </c>
      <c r="N349" s="46" t="str">
        <f>IFERROR(VLOOKUP(D349,'[1]Product Datasheet'!$A:$G,4,0),"")</f>
        <v/>
      </c>
      <c r="O349" s="47" t="str">
        <f>IFERROR(VLOOKUP(D349,'[1]Product Datasheet'!$A:$G,5,0),"")</f>
        <v/>
      </c>
      <c r="P349" s="47" t="str">
        <f>IFERROR(VLOOKUP(D349,'[1]Product Datasheet'!$A:$G,6,0),"")</f>
        <v/>
      </c>
      <c r="Q349" s="47" t="str">
        <f>IFERROR(VLOOKUP(D349,'[1]Product Datasheet'!$A:$G,7,0), "")</f>
        <v/>
      </c>
      <c r="R349" s="48"/>
      <c r="S349" s="49" t="str">
        <f t="shared" si="15"/>
        <v>Accept</v>
      </c>
      <c r="T349" s="50"/>
      <c r="U349" s="51"/>
    </row>
    <row r="350" spans="1:21" ht="24.75" customHeight="1" x14ac:dyDescent="0.3">
      <c r="A350" s="38" t="str">
        <f>IFERROR(VLOOKUP(D350,'[1]Product Datasheet'!$A:$G,2,0),"")</f>
        <v/>
      </c>
      <c r="B350" s="39" t="str">
        <f>IFERROR(VLOOKUP(D350,'[1]Product Datasheet'!$A:$G,3,0),"")</f>
        <v/>
      </c>
      <c r="C350" s="40"/>
      <c r="D350" s="41"/>
      <c r="E350" s="41"/>
      <c r="F350" s="41"/>
      <c r="G350" s="42"/>
      <c r="H350" s="43"/>
      <c r="I350" s="42"/>
      <c r="J350" s="44"/>
      <c r="K350" s="44"/>
      <c r="L350" s="44"/>
      <c r="M350" s="45" t="str">
        <f t="shared" si="14"/>
        <v>Pass</v>
      </c>
      <c r="N350" s="46" t="str">
        <f>IFERROR(VLOOKUP(D350,'[1]Product Datasheet'!$A:$G,4,0),"")</f>
        <v/>
      </c>
      <c r="O350" s="47" t="str">
        <f>IFERROR(VLOOKUP(D350,'[1]Product Datasheet'!$A:$G,5,0),"")</f>
        <v/>
      </c>
      <c r="P350" s="47" t="str">
        <f>IFERROR(VLOOKUP(D350,'[1]Product Datasheet'!$A:$G,6,0),"")</f>
        <v/>
      </c>
      <c r="Q350" s="47" t="str">
        <f>IFERROR(VLOOKUP(D350,'[1]Product Datasheet'!$A:$G,7,0), "")</f>
        <v/>
      </c>
      <c r="R350" s="48"/>
      <c r="S350" s="49" t="str">
        <f t="shared" si="15"/>
        <v>Accept</v>
      </c>
      <c r="T350" s="50"/>
      <c r="U350" s="51"/>
    </row>
    <row r="351" spans="1:21" ht="24.75" customHeight="1" x14ac:dyDescent="0.3">
      <c r="A351" s="38" t="str">
        <f>IFERROR(VLOOKUP(D351,'[1]Product Datasheet'!$A:$G,2,0),"")</f>
        <v/>
      </c>
      <c r="B351" s="39" t="str">
        <f>IFERROR(VLOOKUP(D351,'[1]Product Datasheet'!$A:$G,3,0),"")</f>
        <v/>
      </c>
      <c r="C351" s="40"/>
      <c r="D351" s="41"/>
      <c r="E351" s="41"/>
      <c r="F351" s="41"/>
      <c r="G351" s="42"/>
      <c r="H351" s="43"/>
      <c r="I351" s="42"/>
      <c r="J351" s="44"/>
      <c r="K351" s="44"/>
      <c r="L351" s="44"/>
      <c r="M351" s="45" t="str">
        <f t="shared" si="14"/>
        <v>Pass</v>
      </c>
      <c r="N351" s="46" t="str">
        <f>IFERROR(VLOOKUP(D351,'[1]Product Datasheet'!$A:$G,4,0),"")</f>
        <v/>
      </c>
      <c r="O351" s="47" t="str">
        <f>IFERROR(VLOOKUP(D351,'[1]Product Datasheet'!$A:$G,5,0),"")</f>
        <v/>
      </c>
      <c r="P351" s="47" t="str">
        <f>IFERROR(VLOOKUP(D351,'[1]Product Datasheet'!$A:$G,6,0),"")</f>
        <v/>
      </c>
      <c r="Q351" s="47" t="str">
        <f>IFERROR(VLOOKUP(D351,'[1]Product Datasheet'!$A:$G,7,0), "")</f>
        <v/>
      </c>
      <c r="R351" s="48"/>
      <c r="S351" s="49" t="str">
        <f t="shared" si="15"/>
        <v>Accept</v>
      </c>
      <c r="T351" s="50"/>
      <c r="U351" s="51"/>
    </row>
    <row r="352" spans="1:21" ht="24.75" customHeight="1" x14ac:dyDescent="0.3">
      <c r="A352" s="38" t="str">
        <f>IFERROR(VLOOKUP(D352,'[1]Product Datasheet'!$A:$G,2,0),"")</f>
        <v/>
      </c>
      <c r="B352" s="39" t="str">
        <f>IFERROR(VLOOKUP(D352,'[1]Product Datasheet'!$A:$G,3,0),"")</f>
        <v/>
      </c>
      <c r="C352" s="40"/>
      <c r="D352" s="41"/>
      <c r="E352" s="41"/>
      <c r="F352" s="41"/>
      <c r="G352" s="42"/>
      <c r="H352" s="43"/>
      <c r="I352" s="42"/>
      <c r="J352" s="44"/>
      <c r="K352" s="44"/>
      <c r="L352" s="44"/>
      <c r="M352" s="45" t="str">
        <f t="shared" si="14"/>
        <v>Pass</v>
      </c>
      <c r="N352" s="46" t="str">
        <f>IFERROR(VLOOKUP(D352,'[1]Product Datasheet'!$A:$G,4,0),"")</f>
        <v/>
      </c>
      <c r="O352" s="47" t="str">
        <f>IFERROR(VLOOKUP(D352,'[1]Product Datasheet'!$A:$G,5,0),"")</f>
        <v/>
      </c>
      <c r="P352" s="47" t="str">
        <f>IFERROR(VLOOKUP(D352,'[1]Product Datasheet'!$A:$G,6,0),"")</f>
        <v/>
      </c>
      <c r="Q352" s="47" t="str">
        <f>IFERROR(VLOOKUP(D352,'[1]Product Datasheet'!$A:$G,7,0), "")</f>
        <v/>
      </c>
      <c r="R352" s="48"/>
      <c r="S352" s="49" t="str">
        <f t="shared" si="15"/>
        <v>Accept</v>
      </c>
      <c r="T352" s="50"/>
      <c r="U352" s="51"/>
    </row>
    <row r="353" spans="1:21" ht="24.75" customHeight="1" x14ac:dyDescent="0.3">
      <c r="A353" s="38" t="str">
        <f>IFERROR(VLOOKUP(D353,'[1]Product Datasheet'!$A:$G,2,0),"")</f>
        <v/>
      </c>
      <c r="B353" s="39" t="str">
        <f>IFERROR(VLOOKUP(D353,'[1]Product Datasheet'!$A:$G,3,0),"")</f>
        <v/>
      </c>
      <c r="C353" s="40"/>
      <c r="D353" s="41"/>
      <c r="E353" s="41"/>
      <c r="F353" s="41"/>
      <c r="G353" s="42"/>
      <c r="H353" s="43"/>
      <c r="I353" s="42"/>
      <c r="J353" s="44"/>
      <c r="K353" s="44"/>
      <c r="L353" s="44"/>
      <c r="M353" s="45" t="str">
        <f t="shared" si="14"/>
        <v>Pass</v>
      </c>
      <c r="N353" s="46" t="str">
        <f>IFERROR(VLOOKUP(D353,'[1]Product Datasheet'!$A:$G,4,0),"")</f>
        <v/>
      </c>
      <c r="O353" s="47" t="str">
        <f>IFERROR(VLOOKUP(D353,'[1]Product Datasheet'!$A:$G,5,0),"")</f>
        <v/>
      </c>
      <c r="P353" s="47" t="str">
        <f>IFERROR(VLOOKUP(D353,'[1]Product Datasheet'!$A:$G,6,0),"")</f>
        <v/>
      </c>
      <c r="Q353" s="47" t="str">
        <f>IFERROR(VLOOKUP(D353,'[1]Product Datasheet'!$A:$G,7,0), "")</f>
        <v/>
      </c>
      <c r="R353" s="48"/>
      <c r="S353" s="49" t="str">
        <f t="shared" si="15"/>
        <v>Accept</v>
      </c>
      <c r="T353" s="50"/>
      <c r="U353" s="51"/>
    </row>
    <row r="354" spans="1:21" ht="24.75" customHeight="1" x14ac:dyDescent="0.3">
      <c r="A354" s="38" t="str">
        <f>IFERROR(VLOOKUP(D354,'[1]Product Datasheet'!$A:$G,2,0),"")</f>
        <v/>
      </c>
      <c r="B354" s="39" t="str">
        <f>IFERROR(VLOOKUP(D354,'[1]Product Datasheet'!$A:$G,3,0),"")</f>
        <v/>
      </c>
      <c r="C354" s="40"/>
      <c r="D354" s="41"/>
      <c r="E354" s="41"/>
      <c r="F354" s="41"/>
      <c r="G354" s="42"/>
      <c r="H354" s="43"/>
      <c r="I354" s="42"/>
      <c r="J354" s="44"/>
      <c r="K354" s="44"/>
      <c r="L354" s="44"/>
      <c r="M354" s="45" t="str">
        <f t="shared" si="14"/>
        <v>Pass</v>
      </c>
      <c r="N354" s="46" t="str">
        <f>IFERROR(VLOOKUP(D354,'[1]Product Datasheet'!$A:$G,4,0),"")</f>
        <v/>
      </c>
      <c r="O354" s="47" t="str">
        <f>IFERROR(VLOOKUP(D354,'[1]Product Datasheet'!$A:$G,5,0),"")</f>
        <v/>
      </c>
      <c r="P354" s="47" t="str">
        <f>IFERROR(VLOOKUP(D354,'[1]Product Datasheet'!$A:$G,6,0),"")</f>
        <v/>
      </c>
      <c r="Q354" s="47" t="str">
        <f>IFERROR(VLOOKUP(D354,'[1]Product Datasheet'!$A:$G,7,0), "")</f>
        <v/>
      </c>
      <c r="R354" s="48"/>
      <c r="S354" s="49" t="str">
        <f t="shared" si="15"/>
        <v>Accept</v>
      </c>
      <c r="T354" s="50"/>
      <c r="U354" s="51"/>
    </row>
    <row r="355" spans="1:21" ht="24.75" customHeight="1" x14ac:dyDescent="0.3">
      <c r="A355" s="38" t="str">
        <f>IFERROR(VLOOKUP(D355,'[1]Product Datasheet'!$A:$G,2,0),"")</f>
        <v/>
      </c>
      <c r="B355" s="39" t="str">
        <f>IFERROR(VLOOKUP(D355,'[1]Product Datasheet'!$A:$G,3,0),"")</f>
        <v/>
      </c>
      <c r="C355" s="40"/>
      <c r="D355" s="41"/>
      <c r="E355" s="41"/>
      <c r="F355" s="41"/>
      <c r="G355" s="42"/>
      <c r="H355" s="43"/>
      <c r="I355" s="42"/>
      <c r="J355" s="44"/>
      <c r="K355" s="44"/>
      <c r="L355" s="44"/>
      <c r="M355" s="45" t="str">
        <f t="shared" si="14"/>
        <v>Pass</v>
      </c>
      <c r="N355" s="46" t="str">
        <f>IFERROR(VLOOKUP(D355,'[1]Product Datasheet'!$A:$G,4,0),"")</f>
        <v/>
      </c>
      <c r="O355" s="47" t="str">
        <f>IFERROR(VLOOKUP(D355,'[1]Product Datasheet'!$A:$G,5,0),"")</f>
        <v/>
      </c>
      <c r="P355" s="47" t="str">
        <f>IFERROR(VLOOKUP(D355,'[1]Product Datasheet'!$A:$G,6,0),"")</f>
        <v/>
      </c>
      <c r="Q355" s="47" t="str">
        <f>IFERROR(VLOOKUP(D355,'[1]Product Datasheet'!$A:$G,7,0), "")</f>
        <v/>
      </c>
      <c r="R355" s="48"/>
      <c r="S355" s="49" t="str">
        <f t="shared" si="15"/>
        <v>Accept</v>
      </c>
      <c r="T355" s="50"/>
      <c r="U355" s="51"/>
    </row>
    <row r="356" spans="1:21" ht="24.75" customHeight="1" x14ac:dyDescent="0.3">
      <c r="A356" s="38" t="str">
        <f>IFERROR(VLOOKUP(D356,'[1]Product Datasheet'!$A:$G,2,0),"")</f>
        <v/>
      </c>
      <c r="B356" s="39" t="str">
        <f>IFERROR(VLOOKUP(D356,'[1]Product Datasheet'!$A:$G,3,0),"")</f>
        <v/>
      </c>
      <c r="C356" s="40"/>
      <c r="D356" s="41"/>
      <c r="E356" s="41"/>
      <c r="F356" s="41"/>
      <c r="G356" s="42"/>
      <c r="H356" s="43"/>
      <c r="I356" s="42"/>
      <c r="J356" s="44"/>
      <c r="K356" s="44"/>
      <c r="L356" s="44"/>
      <c r="M356" s="45" t="str">
        <f t="shared" si="14"/>
        <v>Pass</v>
      </c>
      <c r="N356" s="46" t="str">
        <f>IFERROR(VLOOKUP(D356,'[1]Product Datasheet'!$A:$G,4,0),"")</f>
        <v/>
      </c>
      <c r="O356" s="47" t="str">
        <f>IFERROR(VLOOKUP(D356,'[1]Product Datasheet'!$A:$G,5,0),"")</f>
        <v/>
      </c>
      <c r="P356" s="47" t="str">
        <f>IFERROR(VLOOKUP(D356,'[1]Product Datasheet'!$A:$G,6,0),"")</f>
        <v/>
      </c>
      <c r="Q356" s="47" t="str">
        <f>IFERROR(VLOOKUP(D356,'[1]Product Datasheet'!$A:$G,7,0), "")</f>
        <v/>
      </c>
      <c r="R356" s="48"/>
      <c r="S356" s="49" t="str">
        <f t="shared" si="15"/>
        <v>Accept</v>
      </c>
      <c r="T356" s="50"/>
      <c r="U356" s="51"/>
    </row>
    <row r="357" spans="1:21" ht="24.75" customHeight="1" x14ac:dyDescent="0.3">
      <c r="A357" s="38" t="str">
        <f>IFERROR(VLOOKUP(D357,'[1]Product Datasheet'!$A:$G,2,0),"")</f>
        <v/>
      </c>
      <c r="B357" s="39" t="str">
        <f>IFERROR(VLOOKUP(D357,'[1]Product Datasheet'!$A:$G,3,0),"")</f>
        <v/>
      </c>
      <c r="C357" s="40"/>
      <c r="D357" s="41"/>
      <c r="E357" s="41"/>
      <c r="F357" s="41"/>
      <c r="G357" s="42"/>
      <c r="H357" s="43"/>
      <c r="I357" s="42"/>
      <c r="J357" s="44"/>
      <c r="K357" s="44"/>
      <c r="L357" s="44"/>
      <c r="M357" s="45" t="str">
        <f t="shared" si="14"/>
        <v>Pass</v>
      </c>
      <c r="N357" s="46" t="str">
        <f>IFERROR(VLOOKUP(D357,'[1]Product Datasheet'!$A:$G,4,0),"")</f>
        <v/>
      </c>
      <c r="O357" s="47" t="str">
        <f>IFERROR(VLOOKUP(D357,'[1]Product Datasheet'!$A:$G,5,0),"")</f>
        <v/>
      </c>
      <c r="P357" s="47" t="str">
        <f>IFERROR(VLOOKUP(D357,'[1]Product Datasheet'!$A:$G,6,0),"")</f>
        <v/>
      </c>
      <c r="Q357" s="47" t="str">
        <f>IFERROR(VLOOKUP(D357,'[1]Product Datasheet'!$A:$G,7,0), "")</f>
        <v/>
      </c>
      <c r="R357" s="48"/>
      <c r="S357" s="49" t="str">
        <f t="shared" si="15"/>
        <v>Accept</v>
      </c>
      <c r="T357" s="50"/>
      <c r="U357" s="51"/>
    </row>
    <row r="358" spans="1:21" ht="24.75" customHeight="1" x14ac:dyDescent="0.3">
      <c r="A358" s="38" t="str">
        <f>IFERROR(VLOOKUP(D358,'[1]Product Datasheet'!$A:$G,2,0),"")</f>
        <v/>
      </c>
      <c r="B358" s="39" t="str">
        <f>IFERROR(VLOOKUP(D358,'[1]Product Datasheet'!$A:$G,3,0),"")</f>
        <v/>
      </c>
      <c r="C358" s="40"/>
      <c r="D358" s="41"/>
      <c r="E358" s="41"/>
      <c r="F358" s="41"/>
      <c r="G358" s="42"/>
      <c r="H358" s="43"/>
      <c r="I358" s="42"/>
      <c r="J358" s="44"/>
      <c r="K358" s="44"/>
      <c r="L358" s="44"/>
      <c r="M358" s="45" t="str">
        <f t="shared" si="14"/>
        <v>Pass</v>
      </c>
      <c r="N358" s="46" t="str">
        <f>IFERROR(VLOOKUP(D358,'[1]Product Datasheet'!$A:$G,4,0),"")</f>
        <v/>
      </c>
      <c r="O358" s="47" t="str">
        <f>IFERROR(VLOOKUP(D358,'[1]Product Datasheet'!$A:$G,5,0),"")</f>
        <v/>
      </c>
      <c r="P358" s="47" t="str">
        <f>IFERROR(VLOOKUP(D358,'[1]Product Datasheet'!$A:$G,6,0),"")</f>
        <v/>
      </c>
      <c r="Q358" s="47" t="str">
        <f>IFERROR(VLOOKUP(D358,'[1]Product Datasheet'!$A:$G,7,0), "")</f>
        <v/>
      </c>
      <c r="R358" s="48"/>
      <c r="S358" s="49" t="str">
        <f t="shared" si="15"/>
        <v>Accept</v>
      </c>
      <c r="T358" s="50"/>
      <c r="U358" s="51"/>
    </row>
    <row r="359" spans="1:21" ht="24.75" customHeight="1" x14ac:dyDescent="0.3">
      <c r="A359" s="38" t="str">
        <f>IFERROR(VLOOKUP(D359,'[1]Product Datasheet'!$A:$G,2,0),"")</f>
        <v/>
      </c>
      <c r="B359" s="39" t="str">
        <f>IFERROR(VLOOKUP(D359,'[1]Product Datasheet'!$A:$G,3,0),"")</f>
        <v/>
      </c>
      <c r="C359" s="40"/>
      <c r="D359" s="41"/>
      <c r="E359" s="41"/>
      <c r="F359" s="41"/>
      <c r="G359" s="42"/>
      <c r="H359" s="43"/>
      <c r="I359" s="42"/>
      <c r="J359" s="44"/>
      <c r="K359" s="44"/>
      <c r="L359" s="44"/>
      <c r="M359" s="45" t="str">
        <f t="shared" si="14"/>
        <v>Pass</v>
      </c>
      <c r="N359" s="46" t="str">
        <f>IFERROR(VLOOKUP(D359,'[1]Product Datasheet'!$A:$G,4,0),"")</f>
        <v/>
      </c>
      <c r="O359" s="47" t="str">
        <f>IFERROR(VLOOKUP(D359,'[1]Product Datasheet'!$A:$G,5,0),"")</f>
        <v/>
      </c>
      <c r="P359" s="47" t="str">
        <f>IFERROR(VLOOKUP(D359,'[1]Product Datasheet'!$A:$G,6,0),"")</f>
        <v/>
      </c>
      <c r="Q359" s="47" t="str">
        <f>IFERROR(VLOOKUP(D359,'[1]Product Datasheet'!$A:$G,7,0), "")</f>
        <v/>
      </c>
      <c r="R359" s="48"/>
      <c r="S359" s="49" t="str">
        <f t="shared" si="15"/>
        <v>Accept</v>
      </c>
      <c r="T359" s="50"/>
      <c r="U359" s="51"/>
    </row>
    <row r="360" spans="1:21" ht="24.75" customHeight="1" x14ac:dyDescent="0.3">
      <c r="A360" s="38" t="str">
        <f>IFERROR(VLOOKUP(D360,'[1]Product Datasheet'!$A:$G,2,0),"")</f>
        <v/>
      </c>
      <c r="B360" s="39" t="str">
        <f>IFERROR(VLOOKUP(D360,'[1]Product Datasheet'!$A:$G,3,0),"")</f>
        <v/>
      </c>
      <c r="C360" s="40"/>
      <c r="D360" s="41"/>
      <c r="E360" s="41"/>
      <c r="F360" s="41"/>
      <c r="G360" s="42"/>
      <c r="H360" s="43"/>
      <c r="I360" s="42"/>
      <c r="J360" s="44"/>
      <c r="K360" s="44"/>
      <c r="L360" s="44"/>
      <c r="M360" s="45" t="str">
        <f t="shared" si="14"/>
        <v>Pass</v>
      </c>
      <c r="N360" s="46" t="str">
        <f>IFERROR(VLOOKUP(D360,'[1]Product Datasheet'!$A:$G,4,0),"")</f>
        <v/>
      </c>
      <c r="O360" s="47" t="str">
        <f>IFERROR(VLOOKUP(D360,'[1]Product Datasheet'!$A:$G,5,0),"")</f>
        <v/>
      </c>
      <c r="P360" s="47" t="str">
        <f>IFERROR(VLOOKUP(D360,'[1]Product Datasheet'!$A:$G,6,0),"")</f>
        <v/>
      </c>
      <c r="Q360" s="47" t="str">
        <f>IFERROR(VLOOKUP(D360,'[1]Product Datasheet'!$A:$G,7,0), "")</f>
        <v/>
      </c>
      <c r="R360" s="48"/>
      <c r="S360" s="49" t="str">
        <f t="shared" si="15"/>
        <v>Accept</v>
      </c>
      <c r="T360" s="50"/>
      <c r="U360" s="51"/>
    </row>
    <row r="361" spans="1:21" ht="24.75" customHeight="1" x14ac:dyDescent="0.3">
      <c r="A361" s="38" t="str">
        <f>IFERROR(VLOOKUP(D361,'[1]Product Datasheet'!$A:$G,2,0),"")</f>
        <v/>
      </c>
      <c r="B361" s="39" t="str">
        <f>IFERROR(VLOOKUP(D361,'[1]Product Datasheet'!$A:$G,3,0),"")</f>
        <v/>
      </c>
      <c r="C361" s="40"/>
      <c r="D361" s="41"/>
      <c r="E361" s="41"/>
      <c r="F361" s="41"/>
      <c r="G361" s="42"/>
      <c r="H361" s="43"/>
      <c r="I361" s="42"/>
      <c r="J361" s="44"/>
      <c r="K361" s="44"/>
      <c r="L361" s="44"/>
      <c r="M361" s="45" t="str">
        <f t="shared" si="14"/>
        <v>Pass</v>
      </c>
      <c r="N361" s="46" t="str">
        <f>IFERROR(VLOOKUP(D361,'[1]Product Datasheet'!$A:$G,4,0),"")</f>
        <v/>
      </c>
      <c r="O361" s="47" t="str">
        <f>IFERROR(VLOOKUP(D361,'[1]Product Datasheet'!$A:$G,5,0),"")</f>
        <v/>
      </c>
      <c r="P361" s="47" t="str">
        <f>IFERROR(VLOOKUP(D361,'[1]Product Datasheet'!$A:$G,6,0),"")</f>
        <v/>
      </c>
      <c r="Q361" s="47" t="str">
        <f>IFERROR(VLOOKUP(D361,'[1]Product Datasheet'!$A:$G,7,0), "")</f>
        <v/>
      </c>
      <c r="R361" s="48"/>
      <c r="S361" s="49" t="str">
        <f t="shared" si="15"/>
        <v>Accept</v>
      </c>
      <c r="T361" s="50"/>
      <c r="U361" s="51"/>
    </row>
    <row r="362" spans="1:21" ht="24.75" customHeight="1" x14ac:dyDescent="0.3">
      <c r="A362" s="38" t="str">
        <f>IFERROR(VLOOKUP(D362,'[1]Product Datasheet'!$A:$G,2,0),"")</f>
        <v/>
      </c>
      <c r="B362" s="39" t="str">
        <f>IFERROR(VLOOKUP(D362,'[1]Product Datasheet'!$A:$G,3,0),"")</f>
        <v/>
      </c>
      <c r="C362" s="40"/>
      <c r="D362" s="41"/>
      <c r="E362" s="41"/>
      <c r="F362" s="41"/>
      <c r="G362" s="42"/>
      <c r="H362" s="43"/>
      <c r="I362" s="42"/>
      <c r="J362" s="44"/>
      <c r="K362" s="44"/>
      <c r="L362" s="44"/>
      <c r="M362" s="45" t="str">
        <f t="shared" si="14"/>
        <v>Pass</v>
      </c>
      <c r="N362" s="46" t="str">
        <f>IFERROR(VLOOKUP(D362,'[1]Product Datasheet'!$A:$G,4,0),"")</f>
        <v/>
      </c>
      <c r="O362" s="47" t="str">
        <f>IFERROR(VLOOKUP(D362,'[1]Product Datasheet'!$A:$G,5,0),"")</f>
        <v/>
      </c>
      <c r="P362" s="47" t="str">
        <f>IFERROR(VLOOKUP(D362,'[1]Product Datasheet'!$A:$G,6,0),"")</f>
        <v/>
      </c>
      <c r="Q362" s="47" t="str">
        <f>IFERROR(VLOOKUP(D362,'[1]Product Datasheet'!$A:$G,7,0), "")</f>
        <v/>
      </c>
      <c r="R362" s="48"/>
      <c r="S362" s="49" t="str">
        <f t="shared" si="15"/>
        <v>Accept</v>
      </c>
      <c r="T362" s="50"/>
      <c r="U362" s="51"/>
    </row>
    <row r="363" spans="1:21" ht="24.75" customHeight="1" x14ac:dyDescent="0.3">
      <c r="A363" s="38" t="str">
        <f>IFERROR(VLOOKUP(D363,'[1]Product Datasheet'!$A:$G,2,0),"")</f>
        <v/>
      </c>
      <c r="B363" s="39" t="str">
        <f>IFERROR(VLOOKUP(D363,'[1]Product Datasheet'!$A:$G,3,0),"")</f>
        <v/>
      </c>
      <c r="C363" s="40"/>
      <c r="D363" s="41"/>
      <c r="E363" s="41"/>
      <c r="F363" s="41"/>
      <c r="G363" s="42"/>
      <c r="H363" s="43"/>
      <c r="I363" s="42"/>
      <c r="J363" s="44"/>
      <c r="K363" s="44"/>
      <c r="L363" s="44"/>
      <c r="M363" s="45" t="str">
        <f t="shared" si="14"/>
        <v>Pass</v>
      </c>
      <c r="N363" s="46" t="str">
        <f>IFERROR(VLOOKUP(D363,'[1]Product Datasheet'!$A:$G,4,0),"")</f>
        <v/>
      </c>
      <c r="O363" s="47" t="str">
        <f>IFERROR(VLOOKUP(D363,'[1]Product Datasheet'!$A:$G,5,0),"")</f>
        <v/>
      </c>
      <c r="P363" s="47" t="str">
        <f>IFERROR(VLOOKUP(D363,'[1]Product Datasheet'!$A:$G,6,0),"")</f>
        <v/>
      </c>
      <c r="Q363" s="47" t="str">
        <f>IFERROR(VLOOKUP(D363,'[1]Product Datasheet'!$A:$G,7,0), "")</f>
        <v/>
      </c>
      <c r="R363" s="48"/>
      <c r="S363" s="49" t="str">
        <f t="shared" si="15"/>
        <v>Accept</v>
      </c>
      <c r="T363" s="50"/>
      <c r="U363" s="51"/>
    </row>
    <row r="364" spans="1:21" ht="24.75" customHeight="1" x14ac:dyDescent="0.3">
      <c r="A364" s="38" t="str">
        <f>IFERROR(VLOOKUP(D364,'[1]Product Datasheet'!$A:$G,2,0),"")</f>
        <v/>
      </c>
      <c r="B364" s="39" t="str">
        <f>IFERROR(VLOOKUP(D364,'[1]Product Datasheet'!$A:$G,3,0),"")</f>
        <v/>
      </c>
      <c r="C364" s="40"/>
      <c r="D364" s="41"/>
      <c r="E364" s="41"/>
      <c r="F364" s="41"/>
      <c r="G364" s="42"/>
      <c r="H364" s="43"/>
      <c r="I364" s="42"/>
      <c r="J364" s="44"/>
      <c r="K364" s="44"/>
      <c r="L364" s="44"/>
      <c r="M364" s="45" t="str">
        <f t="shared" si="14"/>
        <v>Pass</v>
      </c>
      <c r="N364" s="46" t="str">
        <f>IFERROR(VLOOKUP(D364,'[1]Product Datasheet'!$A:$G,4,0),"")</f>
        <v/>
      </c>
      <c r="O364" s="47" t="str">
        <f>IFERROR(VLOOKUP(D364,'[1]Product Datasheet'!$A:$G,5,0),"")</f>
        <v/>
      </c>
      <c r="P364" s="47" t="str">
        <f>IFERROR(VLOOKUP(D364,'[1]Product Datasheet'!$A:$G,6,0),"")</f>
        <v/>
      </c>
      <c r="Q364" s="47" t="str">
        <f>IFERROR(VLOOKUP(D364,'[1]Product Datasheet'!$A:$G,7,0), "")</f>
        <v/>
      </c>
      <c r="R364" s="48"/>
      <c r="S364" s="49" t="str">
        <f t="shared" si="15"/>
        <v>Accept</v>
      </c>
      <c r="T364" s="50"/>
      <c r="U364" s="51"/>
    </row>
    <row r="365" spans="1:21" ht="24.75" customHeight="1" x14ac:dyDescent="0.3">
      <c r="A365" s="38" t="str">
        <f>IFERROR(VLOOKUP(D365,'[1]Product Datasheet'!$A:$G,2,0),"")</f>
        <v/>
      </c>
      <c r="B365" s="39" t="str">
        <f>IFERROR(VLOOKUP(D365,'[1]Product Datasheet'!$A:$G,3,0),"")</f>
        <v/>
      </c>
      <c r="C365" s="40"/>
      <c r="D365" s="41"/>
      <c r="E365" s="41"/>
      <c r="F365" s="41"/>
      <c r="G365" s="42"/>
      <c r="H365" s="43"/>
      <c r="I365" s="42"/>
      <c r="J365" s="44"/>
      <c r="K365" s="44"/>
      <c r="L365" s="44"/>
      <c r="M365" s="45" t="str">
        <f t="shared" si="14"/>
        <v>Pass</v>
      </c>
      <c r="N365" s="46" t="str">
        <f>IFERROR(VLOOKUP(D365,'[1]Product Datasheet'!$A:$G,4,0),"")</f>
        <v/>
      </c>
      <c r="O365" s="47" t="str">
        <f>IFERROR(VLOOKUP(D365,'[1]Product Datasheet'!$A:$G,5,0),"")</f>
        <v/>
      </c>
      <c r="P365" s="47" t="str">
        <f>IFERROR(VLOOKUP(D365,'[1]Product Datasheet'!$A:$G,6,0),"")</f>
        <v/>
      </c>
      <c r="Q365" s="47" t="str">
        <f>IFERROR(VLOOKUP(D365,'[1]Product Datasheet'!$A:$G,7,0), "")</f>
        <v/>
      </c>
      <c r="R365" s="48"/>
      <c r="S365" s="49" t="str">
        <f t="shared" si="15"/>
        <v>Accept</v>
      </c>
      <c r="T365" s="50"/>
      <c r="U365" s="51"/>
    </row>
    <row r="366" spans="1:21" ht="24.75" customHeight="1" x14ac:dyDescent="0.3">
      <c r="A366" s="38" t="str">
        <f>IFERROR(VLOOKUP(D366,'[1]Product Datasheet'!$A:$G,2,0),"")</f>
        <v/>
      </c>
      <c r="B366" s="39" t="str">
        <f>IFERROR(VLOOKUP(D366,'[1]Product Datasheet'!$A:$G,3,0),"")</f>
        <v/>
      </c>
      <c r="C366" s="40"/>
      <c r="D366" s="41"/>
      <c r="E366" s="41"/>
      <c r="F366" s="41"/>
      <c r="G366" s="42"/>
      <c r="H366" s="43"/>
      <c r="I366" s="42"/>
      <c r="J366" s="44"/>
      <c r="K366" s="44"/>
      <c r="L366" s="44"/>
      <c r="M366" s="45" t="str">
        <f t="shared" si="14"/>
        <v>Pass</v>
      </c>
      <c r="N366" s="46" t="str">
        <f>IFERROR(VLOOKUP(D366,'[1]Product Datasheet'!$A:$G,4,0),"")</f>
        <v/>
      </c>
      <c r="O366" s="47" t="str">
        <f>IFERROR(VLOOKUP(D366,'[1]Product Datasheet'!$A:$G,5,0),"")</f>
        <v/>
      </c>
      <c r="P366" s="47" t="str">
        <f>IFERROR(VLOOKUP(D366,'[1]Product Datasheet'!$A:$G,6,0),"")</f>
        <v/>
      </c>
      <c r="Q366" s="47" t="str">
        <f>IFERROR(VLOOKUP(D366,'[1]Product Datasheet'!$A:$G,7,0), "")</f>
        <v/>
      </c>
      <c r="R366" s="48"/>
      <c r="S366" s="49" t="str">
        <f t="shared" si="15"/>
        <v>Accept</v>
      </c>
      <c r="T366" s="50"/>
      <c r="U366" s="51"/>
    </row>
    <row r="367" spans="1:21" ht="24.75" customHeight="1" x14ac:dyDescent="0.3">
      <c r="A367" s="38" t="str">
        <f>IFERROR(VLOOKUP(D367,'[1]Product Datasheet'!$A:$G,2,0),"")</f>
        <v/>
      </c>
      <c r="B367" s="39" t="str">
        <f>IFERROR(VLOOKUP(D367,'[1]Product Datasheet'!$A:$G,3,0),"")</f>
        <v/>
      </c>
      <c r="C367" s="40"/>
      <c r="D367" s="41"/>
      <c r="E367" s="41"/>
      <c r="F367" s="41"/>
      <c r="G367" s="42"/>
      <c r="H367" s="43"/>
      <c r="I367" s="42"/>
      <c r="J367" s="44"/>
      <c r="K367" s="44"/>
      <c r="L367" s="44"/>
      <c r="M367" s="45" t="str">
        <f t="shared" si="14"/>
        <v>Pass</v>
      </c>
      <c r="N367" s="46" t="str">
        <f>IFERROR(VLOOKUP(D367,'[1]Product Datasheet'!$A:$G,4,0),"")</f>
        <v/>
      </c>
      <c r="O367" s="47" t="str">
        <f>IFERROR(VLOOKUP(D367,'[1]Product Datasheet'!$A:$G,5,0),"")</f>
        <v/>
      </c>
      <c r="P367" s="47" t="str">
        <f>IFERROR(VLOOKUP(D367,'[1]Product Datasheet'!$A:$G,6,0),"")</f>
        <v/>
      </c>
      <c r="Q367" s="47" t="str">
        <f>IFERROR(VLOOKUP(D367,'[1]Product Datasheet'!$A:$G,7,0), "")</f>
        <v/>
      </c>
      <c r="R367" s="48"/>
      <c r="S367" s="49" t="str">
        <f t="shared" si="15"/>
        <v>Accept</v>
      </c>
      <c r="T367" s="50"/>
      <c r="U367" s="51"/>
    </row>
    <row r="368" spans="1:21" ht="24.75" customHeight="1" x14ac:dyDescent="0.3">
      <c r="A368" s="38" t="str">
        <f>IFERROR(VLOOKUP(D368,'[1]Product Datasheet'!$A:$G,2,0),"")</f>
        <v/>
      </c>
      <c r="B368" s="39" t="str">
        <f>IFERROR(VLOOKUP(D368,'[1]Product Datasheet'!$A:$G,3,0),"")</f>
        <v/>
      </c>
      <c r="C368" s="54"/>
      <c r="D368" s="55"/>
      <c r="E368" s="55"/>
      <c r="F368" s="55"/>
      <c r="G368" s="56"/>
      <c r="H368" s="57"/>
      <c r="I368" s="56"/>
      <c r="J368" s="58"/>
      <c r="K368" s="58"/>
      <c r="L368" s="58"/>
      <c r="M368" s="45" t="str">
        <f t="shared" ref="M368:M431" si="16">IF(AND(G409&lt;=O368,G409&gt;=N368,H409&lt;=Q368,H409&gt;=P368),"Pass","Fail")</f>
        <v>Pass</v>
      </c>
      <c r="N368" s="46" t="str">
        <f>IFERROR(VLOOKUP(D409,'[1]Product Datasheet'!$A:$G,4,0),"")</f>
        <v/>
      </c>
      <c r="O368" s="47" t="str">
        <f>IFERROR(VLOOKUP(D409,'[1]Product Datasheet'!$A:$G,5,0),"")</f>
        <v/>
      </c>
      <c r="P368" s="47" t="str">
        <f>IFERROR(VLOOKUP(D409,'[1]Product Datasheet'!$A:$G,6,0),"")</f>
        <v/>
      </c>
      <c r="Q368" s="47" t="str">
        <f>IFERROR(VLOOKUP(D409,'[1]Product Datasheet'!$A:$G,7,0), "")</f>
        <v/>
      </c>
      <c r="R368" s="48"/>
      <c r="S368" s="49" t="str">
        <f t="shared" ref="S368:S431" si="17">IFERROR(IF(AND(ROUND(H409, 2)&lt;=Q368, ROUND(G409,1)&lt;=O368), "Accept", "Reject"),"Reject")</f>
        <v>Accept</v>
      </c>
      <c r="T368" s="50"/>
      <c r="U368" s="51"/>
    </row>
    <row r="369" spans="1:21" ht="24.75" customHeight="1" x14ac:dyDescent="0.3">
      <c r="A369" s="38" t="str">
        <f>IFERROR(VLOOKUP(D369,'[1]Product Datasheet'!$A:$G,2,0),"")</f>
        <v/>
      </c>
      <c r="B369" s="39" t="str">
        <f>IFERROR(VLOOKUP(D369,'[1]Product Datasheet'!$A:$G,3,0),"")</f>
        <v/>
      </c>
      <c r="C369" s="54"/>
      <c r="D369" s="55"/>
      <c r="E369" s="55"/>
      <c r="F369" s="55"/>
      <c r="G369" s="56"/>
      <c r="H369" s="57"/>
      <c r="I369" s="56"/>
      <c r="J369" s="58"/>
      <c r="K369" s="58"/>
      <c r="L369" s="58"/>
      <c r="M369" s="45" t="str">
        <f t="shared" si="16"/>
        <v>Pass</v>
      </c>
      <c r="N369" s="46" t="str">
        <f>IFERROR(VLOOKUP(D410,'[1]Product Datasheet'!$A:$G,4,0),"")</f>
        <v/>
      </c>
      <c r="O369" s="47" t="str">
        <f>IFERROR(VLOOKUP(D410,'[1]Product Datasheet'!$A:$G,5,0),"")</f>
        <v/>
      </c>
      <c r="P369" s="47" t="str">
        <f>IFERROR(VLOOKUP(D410,'[1]Product Datasheet'!$A:$G,6,0),"")</f>
        <v/>
      </c>
      <c r="Q369" s="47" t="str">
        <f>IFERROR(VLOOKUP(D410,'[1]Product Datasheet'!$A:$G,7,0), "")</f>
        <v/>
      </c>
      <c r="R369" s="48"/>
      <c r="S369" s="49" t="str">
        <f t="shared" si="17"/>
        <v>Accept</v>
      </c>
      <c r="T369" s="50"/>
      <c r="U369" s="51"/>
    </row>
    <row r="370" spans="1:21" ht="24.75" customHeight="1" x14ac:dyDescent="0.3">
      <c r="A370" s="38" t="str">
        <f>IFERROR(VLOOKUP(D370,'[1]Product Datasheet'!$A:$G,2,0),"")</f>
        <v/>
      </c>
      <c r="B370" s="39" t="str">
        <f>IFERROR(VLOOKUP(D370,'[1]Product Datasheet'!$A:$G,3,0),"")</f>
        <v/>
      </c>
      <c r="C370" s="54"/>
      <c r="D370" s="55"/>
      <c r="E370" s="55"/>
      <c r="F370" s="55"/>
      <c r="G370" s="56"/>
      <c r="H370" s="57"/>
      <c r="I370" s="56"/>
      <c r="J370" s="58"/>
      <c r="K370" s="58"/>
      <c r="L370" s="58"/>
      <c r="M370" s="45" t="str">
        <f t="shared" si="16"/>
        <v>Pass</v>
      </c>
      <c r="N370" s="46" t="str">
        <f>IFERROR(VLOOKUP(D411,'[1]Product Datasheet'!$A:$G,4,0),"")</f>
        <v/>
      </c>
      <c r="O370" s="47" t="str">
        <f>IFERROR(VLOOKUP(D411,'[1]Product Datasheet'!$A:$G,5,0),"")</f>
        <v/>
      </c>
      <c r="P370" s="47" t="str">
        <f>IFERROR(VLOOKUP(D411,'[1]Product Datasheet'!$A:$G,6,0),"")</f>
        <v/>
      </c>
      <c r="Q370" s="47" t="str">
        <f>IFERROR(VLOOKUP(D411,'[1]Product Datasheet'!$A:$G,7,0), "")</f>
        <v/>
      </c>
      <c r="R370" s="48"/>
      <c r="S370" s="49" t="str">
        <f t="shared" si="17"/>
        <v>Accept</v>
      </c>
      <c r="T370" s="50"/>
      <c r="U370" s="51"/>
    </row>
    <row r="371" spans="1:21" ht="24.75" customHeight="1" x14ac:dyDescent="0.3">
      <c r="A371" s="38" t="str">
        <f>IFERROR(VLOOKUP(D371,'[1]Product Datasheet'!$A:$G,2,0),"")</f>
        <v/>
      </c>
      <c r="B371" s="39" t="str">
        <f>IFERROR(VLOOKUP(D371,'[1]Product Datasheet'!$A:$G,3,0),"")</f>
        <v/>
      </c>
      <c r="C371" s="54"/>
      <c r="D371" s="55"/>
      <c r="E371" s="55"/>
      <c r="F371" s="55"/>
      <c r="G371" s="56"/>
      <c r="H371" s="57"/>
      <c r="I371" s="56"/>
      <c r="J371" s="58"/>
      <c r="K371" s="58"/>
      <c r="L371" s="58"/>
      <c r="M371" s="45" t="str">
        <f t="shared" si="16"/>
        <v>Pass</v>
      </c>
      <c r="N371" s="46" t="str">
        <f>IFERROR(VLOOKUP(D412,'[1]Product Datasheet'!$A:$G,4,0),"")</f>
        <v/>
      </c>
      <c r="O371" s="47" t="str">
        <f>IFERROR(VLOOKUP(D412,'[1]Product Datasheet'!$A:$G,5,0),"")</f>
        <v/>
      </c>
      <c r="P371" s="47" t="str">
        <f>IFERROR(VLOOKUP(D412,'[1]Product Datasheet'!$A:$G,6,0),"")</f>
        <v/>
      </c>
      <c r="Q371" s="47" t="str">
        <f>IFERROR(VLOOKUP(D412,'[1]Product Datasheet'!$A:$G,7,0), "")</f>
        <v/>
      </c>
      <c r="R371" s="48"/>
      <c r="S371" s="49" t="str">
        <f t="shared" si="17"/>
        <v>Accept</v>
      </c>
      <c r="T371" s="50"/>
      <c r="U371" s="51"/>
    </row>
    <row r="372" spans="1:21" ht="24.75" customHeight="1" x14ac:dyDescent="0.3">
      <c r="A372" s="38" t="str">
        <f>IFERROR(VLOOKUP(D372,'[1]Product Datasheet'!$A:$G,2,0),"")</f>
        <v/>
      </c>
      <c r="B372" s="39" t="str">
        <f>IFERROR(VLOOKUP(D372,'[1]Product Datasheet'!$A:$G,3,0),"")</f>
        <v/>
      </c>
      <c r="C372" s="54"/>
      <c r="D372" s="55"/>
      <c r="E372" s="55"/>
      <c r="F372" s="55"/>
      <c r="G372" s="56"/>
      <c r="H372" s="57"/>
      <c r="I372" s="56"/>
      <c r="J372" s="58"/>
      <c r="K372" s="58"/>
      <c r="L372" s="58"/>
      <c r="M372" s="45" t="str">
        <f t="shared" si="16"/>
        <v>Pass</v>
      </c>
      <c r="N372" s="46" t="str">
        <f>IFERROR(VLOOKUP(D413,'[1]Product Datasheet'!$A:$G,4,0),"")</f>
        <v/>
      </c>
      <c r="O372" s="47" t="str">
        <f>IFERROR(VLOOKUP(D413,'[1]Product Datasheet'!$A:$G,5,0),"")</f>
        <v/>
      </c>
      <c r="P372" s="47" t="str">
        <f>IFERROR(VLOOKUP(D413,'[1]Product Datasheet'!$A:$G,6,0),"")</f>
        <v/>
      </c>
      <c r="Q372" s="47" t="str">
        <f>IFERROR(VLOOKUP(D413,'[1]Product Datasheet'!$A:$G,7,0), "")</f>
        <v/>
      </c>
      <c r="R372" s="48"/>
      <c r="S372" s="49" t="str">
        <f t="shared" si="17"/>
        <v>Accept</v>
      </c>
      <c r="T372" s="50"/>
      <c r="U372" s="51"/>
    </row>
    <row r="373" spans="1:21" ht="24.75" customHeight="1" x14ac:dyDescent="0.3">
      <c r="A373" s="38" t="str">
        <f>IFERROR(VLOOKUP(D373,'[1]Product Datasheet'!$A:$G,2,0),"")</f>
        <v/>
      </c>
      <c r="B373" s="39" t="str">
        <f>IFERROR(VLOOKUP(D373,'[1]Product Datasheet'!$A:$G,3,0),"")</f>
        <v/>
      </c>
      <c r="C373" s="54"/>
      <c r="D373" s="55"/>
      <c r="E373" s="55"/>
      <c r="F373" s="55"/>
      <c r="G373" s="56"/>
      <c r="H373" s="57"/>
      <c r="I373" s="56"/>
      <c r="J373" s="58"/>
      <c r="K373" s="58"/>
      <c r="L373" s="58"/>
      <c r="M373" s="45" t="str">
        <f t="shared" si="16"/>
        <v>Pass</v>
      </c>
      <c r="N373" s="46" t="str">
        <f>IFERROR(VLOOKUP(D414,'[1]Product Datasheet'!$A:$G,4,0),"")</f>
        <v/>
      </c>
      <c r="O373" s="47" t="str">
        <f>IFERROR(VLOOKUP(D414,'[1]Product Datasheet'!$A:$G,5,0),"")</f>
        <v/>
      </c>
      <c r="P373" s="47" t="str">
        <f>IFERROR(VLOOKUP(D414,'[1]Product Datasheet'!$A:$G,6,0),"")</f>
        <v/>
      </c>
      <c r="Q373" s="47" t="str">
        <f>IFERROR(VLOOKUP(D414,'[1]Product Datasheet'!$A:$G,7,0), "")</f>
        <v/>
      </c>
      <c r="R373" s="48"/>
      <c r="S373" s="49" t="str">
        <f t="shared" si="17"/>
        <v>Accept</v>
      </c>
      <c r="T373" s="50"/>
      <c r="U373" s="51"/>
    </row>
    <row r="374" spans="1:21" ht="24.75" customHeight="1" x14ac:dyDescent="0.3">
      <c r="A374" s="38" t="str">
        <f>IFERROR(VLOOKUP(D374,'[1]Product Datasheet'!$A:$G,2,0),"")</f>
        <v/>
      </c>
      <c r="B374" s="39" t="str">
        <f>IFERROR(VLOOKUP(D374,'[1]Product Datasheet'!$A:$G,3,0),"")</f>
        <v/>
      </c>
      <c r="C374" s="54"/>
      <c r="D374" s="55"/>
      <c r="E374" s="55"/>
      <c r="F374" s="55"/>
      <c r="G374" s="56"/>
      <c r="H374" s="57"/>
      <c r="I374" s="56"/>
      <c r="J374" s="58"/>
      <c r="K374" s="58"/>
      <c r="L374" s="58"/>
      <c r="M374" s="45" t="str">
        <f t="shared" si="16"/>
        <v>Pass</v>
      </c>
      <c r="N374" s="46" t="str">
        <f>IFERROR(VLOOKUP(D415,'[1]Product Datasheet'!$A:$G,4,0),"")</f>
        <v/>
      </c>
      <c r="O374" s="47" t="str">
        <f>IFERROR(VLOOKUP(D415,'[1]Product Datasheet'!$A:$G,5,0),"")</f>
        <v/>
      </c>
      <c r="P374" s="47" t="str">
        <f>IFERROR(VLOOKUP(D415,'[1]Product Datasheet'!$A:$G,6,0),"")</f>
        <v/>
      </c>
      <c r="Q374" s="47" t="str">
        <f>IFERROR(VLOOKUP(D415,'[1]Product Datasheet'!$A:$G,7,0), "")</f>
        <v/>
      </c>
      <c r="R374" s="48"/>
      <c r="S374" s="49" t="str">
        <f t="shared" si="17"/>
        <v>Accept</v>
      </c>
      <c r="T374" s="50"/>
      <c r="U374" s="51"/>
    </row>
    <row r="375" spans="1:21" ht="24.75" customHeight="1" x14ac:dyDescent="0.3">
      <c r="A375" s="38" t="str">
        <f>IFERROR(VLOOKUP(D375,'[1]Product Datasheet'!$A:$G,2,0),"")</f>
        <v/>
      </c>
      <c r="B375" s="39" t="str">
        <f>IFERROR(VLOOKUP(D375,'[1]Product Datasheet'!$A:$G,3,0),"")</f>
        <v/>
      </c>
      <c r="C375" s="54"/>
      <c r="D375" s="55"/>
      <c r="E375" s="55"/>
      <c r="F375" s="55"/>
      <c r="G375" s="56"/>
      <c r="H375" s="57"/>
      <c r="I375" s="56"/>
      <c r="J375" s="58"/>
      <c r="K375" s="58"/>
      <c r="L375" s="58"/>
      <c r="M375" s="45" t="str">
        <f t="shared" si="16"/>
        <v>Pass</v>
      </c>
      <c r="N375" s="46" t="str">
        <f>IFERROR(VLOOKUP(D416,'[1]Product Datasheet'!$A:$G,4,0),"")</f>
        <v/>
      </c>
      <c r="O375" s="47" t="str">
        <f>IFERROR(VLOOKUP(D416,'[1]Product Datasheet'!$A:$G,5,0),"")</f>
        <v/>
      </c>
      <c r="P375" s="47" t="str">
        <f>IFERROR(VLOOKUP(D416,'[1]Product Datasheet'!$A:$G,6,0),"")</f>
        <v/>
      </c>
      <c r="Q375" s="47" t="str">
        <f>IFERROR(VLOOKUP(D416,'[1]Product Datasheet'!$A:$G,7,0), "")</f>
        <v/>
      </c>
      <c r="R375" s="48"/>
      <c r="S375" s="49" t="str">
        <f t="shared" si="17"/>
        <v>Accept</v>
      </c>
      <c r="T375" s="50"/>
      <c r="U375" s="51"/>
    </row>
    <row r="376" spans="1:21" ht="24.75" customHeight="1" x14ac:dyDescent="0.3">
      <c r="A376" s="38" t="str">
        <f>IFERROR(VLOOKUP(D376,'[1]Product Datasheet'!$A:$G,2,0),"")</f>
        <v/>
      </c>
      <c r="B376" s="39" t="str">
        <f>IFERROR(VLOOKUP(D376,'[1]Product Datasheet'!$A:$G,3,0),"")</f>
        <v/>
      </c>
      <c r="C376" s="54"/>
      <c r="D376" s="55"/>
      <c r="E376" s="55"/>
      <c r="F376" s="55"/>
      <c r="G376" s="56"/>
      <c r="H376" s="57"/>
      <c r="I376" s="56"/>
      <c r="J376" s="58"/>
      <c r="K376" s="58"/>
      <c r="L376" s="58"/>
      <c r="M376" s="45" t="str">
        <f t="shared" si="16"/>
        <v>Pass</v>
      </c>
      <c r="N376" s="46" t="str">
        <f>IFERROR(VLOOKUP(D417,'[1]Product Datasheet'!$A:$G,4,0),"")</f>
        <v/>
      </c>
      <c r="O376" s="47" t="str">
        <f>IFERROR(VLOOKUP(D417,'[1]Product Datasheet'!$A:$G,5,0),"")</f>
        <v/>
      </c>
      <c r="P376" s="47" t="str">
        <f>IFERROR(VLOOKUP(D417,'[1]Product Datasheet'!$A:$G,6,0),"")</f>
        <v/>
      </c>
      <c r="Q376" s="47" t="str">
        <f>IFERROR(VLOOKUP(D417,'[1]Product Datasheet'!$A:$G,7,0), "")</f>
        <v/>
      </c>
      <c r="R376" s="48"/>
      <c r="S376" s="49" t="str">
        <f t="shared" si="17"/>
        <v>Accept</v>
      </c>
      <c r="T376" s="50"/>
      <c r="U376" s="51"/>
    </row>
    <row r="377" spans="1:21" ht="24.75" customHeight="1" x14ac:dyDescent="0.3">
      <c r="A377" s="38" t="str">
        <f>IFERROR(VLOOKUP(D377,'[1]Product Datasheet'!$A:$G,2,0),"")</f>
        <v/>
      </c>
      <c r="B377" s="39" t="str">
        <f>IFERROR(VLOOKUP(D377,'[1]Product Datasheet'!$A:$G,3,0),"")</f>
        <v/>
      </c>
      <c r="C377" s="54"/>
      <c r="D377" s="55"/>
      <c r="E377" s="55"/>
      <c r="F377" s="55"/>
      <c r="G377" s="56"/>
      <c r="H377" s="57"/>
      <c r="I377" s="56"/>
      <c r="J377" s="58"/>
      <c r="K377" s="58"/>
      <c r="L377" s="58"/>
      <c r="M377" s="45" t="str">
        <f t="shared" si="16"/>
        <v>Pass</v>
      </c>
      <c r="N377" s="46" t="str">
        <f>IFERROR(VLOOKUP(D418,'[1]Product Datasheet'!$A:$G,4,0),"")</f>
        <v/>
      </c>
      <c r="O377" s="47" t="str">
        <f>IFERROR(VLOOKUP(D418,'[1]Product Datasheet'!$A:$G,5,0),"")</f>
        <v/>
      </c>
      <c r="P377" s="47" t="str">
        <f>IFERROR(VLOOKUP(D418,'[1]Product Datasheet'!$A:$G,6,0),"")</f>
        <v/>
      </c>
      <c r="Q377" s="47" t="str">
        <f>IFERROR(VLOOKUP(D418,'[1]Product Datasheet'!$A:$G,7,0), "")</f>
        <v/>
      </c>
      <c r="R377" s="48"/>
      <c r="S377" s="49" t="str">
        <f t="shared" si="17"/>
        <v>Accept</v>
      </c>
      <c r="T377" s="50"/>
      <c r="U377" s="51"/>
    </row>
    <row r="378" spans="1:21" ht="24.75" customHeight="1" x14ac:dyDescent="0.3">
      <c r="A378" s="38" t="str">
        <f>IFERROR(VLOOKUP(D378,'[1]Product Datasheet'!$A:$G,2,0),"")</f>
        <v/>
      </c>
      <c r="B378" s="39" t="str">
        <f>IFERROR(VLOOKUP(D378,'[1]Product Datasheet'!$A:$G,3,0),"")</f>
        <v/>
      </c>
      <c r="C378" s="54"/>
      <c r="D378" s="55"/>
      <c r="E378" s="55"/>
      <c r="F378" s="55"/>
      <c r="G378" s="56"/>
      <c r="H378" s="57"/>
      <c r="I378" s="56"/>
      <c r="J378" s="58"/>
      <c r="K378" s="58"/>
      <c r="L378" s="58"/>
      <c r="M378" s="45" t="str">
        <f t="shared" si="16"/>
        <v>Pass</v>
      </c>
      <c r="N378" s="46" t="str">
        <f>IFERROR(VLOOKUP(D419,'[1]Product Datasheet'!$A:$G,4,0),"")</f>
        <v/>
      </c>
      <c r="O378" s="47" t="str">
        <f>IFERROR(VLOOKUP(D419,'[1]Product Datasheet'!$A:$G,5,0),"")</f>
        <v/>
      </c>
      <c r="P378" s="47" t="str">
        <f>IFERROR(VLOOKUP(D419,'[1]Product Datasheet'!$A:$G,6,0),"")</f>
        <v/>
      </c>
      <c r="Q378" s="47" t="str">
        <f>IFERROR(VLOOKUP(D419,'[1]Product Datasheet'!$A:$G,7,0), "")</f>
        <v/>
      </c>
      <c r="R378" s="48"/>
      <c r="S378" s="49" t="str">
        <f t="shared" si="17"/>
        <v>Accept</v>
      </c>
      <c r="T378" s="50"/>
      <c r="U378" s="51"/>
    </row>
    <row r="379" spans="1:21" ht="24.75" customHeight="1" x14ac:dyDescent="0.3">
      <c r="A379" s="38" t="str">
        <f>IFERROR(VLOOKUP(D379,'[1]Product Datasheet'!$A:$G,2,0),"")</f>
        <v/>
      </c>
      <c r="B379" s="39" t="str">
        <f>IFERROR(VLOOKUP(D379,'[1]Product Datasheet'!$A:$G,3,0),"")</f>
        <v/>
      </c>
      <c r="C379" s="54"/>
      <c r="D379" s="55"/>
      <c r="E379" s="55"/>
      <c r="F379" s="55"/>
      <c r="G379" s="56"/>
      <c r="H379" s="57"/>
      <c r="I379" s="56"/>
      <c r="J379" s="58"/>
      <c r="K379" s="58"/>
      <c r="L379" s="58"/>
      <c r="M379" s="45" t="str">
        <f t="shared" si="16"/>
        <v>Pass</v>
      </c>
      <c r="N379" s="46" t="str">
        <f>IFERROR(VLOOKUP(D420,'[1]Product Datasheet'!$A:$G,4,0),"")</f>
        <v/>
      </c>
      <c r="O379" s="47" t="str">
        <f>IFERROR(VLOOKUP(D420,'[1]Product Datasheet'!$A:$G,5,0),"")</f>
        <v/>
      </c>
      <c r="P379" s="47" t="str">
        <f>IFERROR(VLOOKUP(D420,'[1]Product Datasheet'!$A:$G,6,0),"")</f>
        <v/>
      </c>
      <c r="Q379" s="47" t="str">
        <f>IFERROR(VLOOKUP(D420,'[1]Product Datasheet'!$A:$G,7,0), "")</f>
        <v/>
      </c>
      <c r="R379" s="48"/>
      <c r="S379" s="49" t="str">
        <f t="shared" si="17"/>
        <v>Accept</v>
      </c>
      <c r="T379" s="50"/>
      <c r="U379" s="51"/>
    </row>
    <row r="380" spans="1:21" ht="24.75" customHeight="1" x14ac:dyDescent="0.3">
      <c r="A380" s="38" t="str">
        <f>IFERROR(VLOOKUP(D380,'[1]Product Datasheet'!$A:$G,2,0),"")</f>
        <v/>
      </c>
      <c r="B380" s="39" t="str">
        <f>IFERROR(VLOOKUP(D380,'[1]Product Datasheet'!$A:$G,3,0),"")</f>
        <v/>
      </c>
      <c r="C380" s="54"/>
      <c r="D380" s="55"/>
      <c r="E380" s="55"/>
      <c r="F380" s="55"/>
      <c r="G380" s="56"/>
      <c r="H380" s="57"/>
      <c r="I380" s="56"/>
      <c r="J380" s="58"/>
      <c r="K380" s="58"/>
      <c r="L380" s="58"/>
      <c r="M380" s="45" t="str">
        <f t="shared" si="16"/>
        <v>Pass</v>
      </c>
      <c r="N380" s="46" t="str">
        <f>IFERROR(VLOOKUP(D421,'[1]Product Datasheet'!$A:$G,4,0),"")</f>
        <v/>
      </c>
      <c r="O380" s="47" t="str">
        <f>IFERROR(VLOOKUP(D421,'[1]Product Datasheet'!$A:$G,5,0),"")</f>
        <v/>
      </c>
      <c r="P380" s="47" t="str">
        <f>IFERROR(VLOOKUP(D421,'[1]Product Datasheet'!$A:$G,6,0),"")</f>
        <v/>
      </c>
      <c r="Q380" s="47" t="str">
        <f>IFERROR(VLOOKUP(D421,'[1]Product Datasheet'!$A:$G,7,0), "")</f>
        <v/>
      </c>
      <c r="R380" s="48"/>
      <c r="S380" s="49" t="str">
        <f t="shared" si="17"/>
        <v>Accept</v>
      </c>
      <c r="T380" s="50"/>
      <c r="U380" s="51"/>
    </row>
    <row r="381" spans="1:21" ht="24.75" customHeight="1" x14ac:dyDescent="0.3">
      <c r="A381" s="38" t="str">
        <f>IFERROR(VLOOKUP(D381,'[1]Product Datasheet'!$A:$G,2,0),"")</f>
        <v/>
      </c>
      <c r="B381" s="39" t="str">
        <f>IFERROR(VLOOKUP(D381,'[1]Product Datasheet'!$A:$G,3,0),"")</f>
        <v/>
      </c>
      <c r="C381" s="54"/>
      <c r="D381" s="55"/>
      <c r="E381" s="55"/>
      <c r="F381" s="55"/>
      <c r="G381" s="56"/>
      <c r="H381" s="57"/>
      <c r="I381" s="56"/>
      <c r="J381" s="58"/>
      <c r="K381" s="58"/>
      <c r="L381" s="58"/>
      <c r="M381" s="45" t="str">
        <f t="shared" si="16"/>
        <v>Pass</v>
      </c>
      <c r="N381" s="46" t="str">
        <f>IFERROR(VLOOKUP(D422,'[1]Product Datasheet'!$A:$G,4,0),"")</f>
        <v/>
      </c>
      <c r="O381" s="47" t="str">
        <f>IFERROR(VLOOKUP(D422,'[1]Product Datasheet'!$A:$G,5,0),"")</f>
        <v/>
      </c>
      <c r="P381" s="47" t="str">
        <f>IFERROR(VLOOKUP(D422,'[1]Product Datasheet'!$A:$G,6,0),"")</f>
        <v/>
      </c>
      <c r="Q381" s="47" t="str">
        <f>IFERROR(VLOOKUP(D422,'[1]Product Datasheet'!$A:$G,7,0), "")</f>
        <v/>
      </c>
      <c r="R381" s="48"/>
      <c r="S381" s="49" t="str">
        <f t="shared" si="17"/>
        <v>Accept</v>
      </c>
      <c r="T381" s="50"/>
      <c r="U381" s="51"/>
    </row>
    <row r="382" spans="1:21" ht="24.75" customHeight="1" x14ac:dyDescent="0.3">
      <c r="A382" s="38" t="str">
        <f>IFERROR(VLOOKUP(D382,'[1]Product Datasheet'!$A:$G,2,0),"")</f>
        <v/>
      </c>
      <c r="B382" s="39" t="str">
        <f>IFERROR(VLOOKUP(D382,'[1]Product Datasheet'!$A:$G,3,0),"")</f>
        <v/>
      </c>
      <c r="C382" s="54"/>
      <c r="D382" s="55"/>
      <c r="E382" s="55"/>
      <c r="F382" s="55"/>
      <c r="G382" s="56"/>
      <c r="H382" s="57"/>
      <c r="I382" s="56"/>
      <c r="J382" s="58"/>
      <c r="K382" s="58"/>
      <c r="L382" s="58"/>
      <c r="M382" s="45" t="str">
        <f t="shared" si="16"/>
        <v>Pass</v>
      </c>
      <c r="N382" s="46" t="str">
        <f>IFERROR(VLOOKUP(D423,'[1]Product Datasheet'!$A:$G,4,0),"")</f>
        <v/>
      </c>
      <c r="O382" s="47" t="str">
        <f>IFERROR(VLOOKUP(D423,'[1]Product Datasheet'!$A:$G,5,0),"")</f>
        <v/>
      </c>
      <c r="P382" s="47" t="str">
        <f>IFERROR(VLOOKUP(D423,'[1]Product Datasheet'!$A:$G,6,0),"")</f>
        <v/>
      </c>
      <c r="Q382" s="47" t="str">
        <f>IFERROR(VLOOKUP(D423,'[1]Product Datasheet'!$A:$G,7,0), "")</f>
        <v/>
      </c>
      <c r="R382" s="48"/>
      <c r="S382" s="49" t="str">
        <f t="shared" si="17"/>
        <v>Accept</v>
      </c>
      <c r="T382" s="50"/>
      <c r="U382" s="51"/>
    </row>
    <row r="383" spans="1:21" ht="24.75" customHeight="1" x14ac:dyDescent="0.3">
      <c r="A383" s="38" t="str">
        <f>IFERROR(VLOOKUP(D383,'[1]Product Datasheet'!$A:$G,2,0),"")</f>
        <v/>
      </c>
      <c r="B383" s="39" t="str">
        <f>IFERROR(VLOOKUP(D383,'[1]Product Datasheet'!$A:$G,3,0),"")</f>
        <v/>
      </c>
      <c r="C383" s="54"/>
      <c r="D383" s="55"/>
      <c r="E383" s="55"/>
      <c r="F383" s="55"/>
      <c r="G383" s="56"/>
      <c r="H383" s="57"/>
      <c r="I383" s="56"/>
      <c r="J383" s="58"/>
      <c r="K383" s="58"/>
      <c r="L383" s="58"/>
      <c r="M383" s="45" t="str">
        <f t="shared" si="16"/>
        <v>Pass</v>
      </c>
      <c r="N383" s="46" t="str">
        <f>IFERROR(VLOOKUP(D424,'[1]Product Datasheet'!$A:$G,4,0),"")</f>
        <v/>
      </c>
      <c r="O383" s="47" t="str">
        <f>IFERROR(VLOOKUP(D424,'[1]Product Datasheet'!$A:$G,5,0),"")</f>
        <v/>
      </c>
      <c r="P383" s="47" t="str">
        <f>IFERROR(VLOOKUP(D424,'[1]Product Datasheet'!$A:$G,6,0),"")</f>
        <v/>
      </c>
      <c r="Q383" s="47" t="str">
        <f>IFERROR(VLOOKUP(D424,'[1]Product Datasheet'!$A:$G,7,0), "")</f>
        <v/>
      </c>
      <c r="R383" s="48"/>
      <c r="S383" s="49" t="str">
        <f t="shared" si="17"/>
        <v>Accept</v>
      </c>
      <c r="T383" s="50"/>
      <c r="U383" s="51"/>
    </row>
    <row r="384" spans="1:21" ht="24.75" customHeight="1" x14ac:dyDescent="0.3">
      <c r="A384" s="38" t="str">
        <f>IFERROR(VLOOKUP(D384,'[1]Product Datasheet'!$A:$G,2,0),"")</f>
        <v/>
      </c>
      <c r="B384" s="39" t="str">
        <f>IFERROR(VLOOKUP(D384,'[1]Product Datasheet'!$A:$G,3,0),"")</f>
        <v/>
      </c>
      <c r="C384" s="54"/>
      <c r="D384" s="55"/>
      <c r="E384" s="55"/>
      <c r="F384" s="55"/>
      <c r="G384" s="56"/>
      <c r="H384" s="57"/>
      <c r="I384" s="56"/>
      <c r="J384" s="58"/>
      <c r="K384" s="58"/>
      <c r="L384" s="58"/>
      <c r="M384" s="45" t="str">
        <f t="shared" si="16"/>
        <v>Pass</v>
      </c>
      <c r="N384" s="46" t="str">
        <f>IFERROR(VLOOKUP(D425,'[1]Product Datasheet'!$A:$G,4,0),"")</f>
        <v/>
      </c>
      <c r="O384" s="47" t="str">
        <f>IFERROR(VLOOKUP(D425,'[1]Product Datasheet'!$A:$G,5,0),"")</f>
        <v/>
      </c>
      <c r="P384" s="47" t="str">
        <f>IFERROR(VLOOKUP(D425,'[1]Product Datasheet'!$A:$G,6,0),"")</f>
        <v/>
      </c>
      <c r="Q384" s="47" t="str">
        <f>IFERROR(VLOOKUP(D425,'[1]Product Datasheet'!$A:$G,7,0), "")</f>
        <v/>
      </c>
      <c r="R384" s="48"/>
      <c r="S384" s="49" t="str">
        <f t="shared" si="17"/>
        <v>Accept</v>
      </c>
      <c r="T384" s="50"/>
      <c r="U384" s="51"/>
    </row>
    <row r="385" spans="1:21" ht="24.75" customHeight="1" x14ac:dyDescent="0.3">
      <c r="A385" s="38" t="str">
        <f>IFERROR(VLOOKUP(D385,'[1]Product Datasheet'!$A:$G,2,0),"")</f>
        <v/>
      </c>
      <c r="B385" s="39" t="str">
        <f>IFERROR(VLOOKUP(D385,'[1]Product Datasheet'!$A:$G,3,0),"")</f>
        <v/>
      </c>
      <c r="C385" s="54"/>
      <c r="D385" s="55"/>
      <c r="E385" s="55"/>
      <c r="F385" s="55"/>
      <c r="G385" s="56"/>
      <c r="H385" s="57"/>
      <c r="I385" s="56"/>
      <c r="J385" s="58"/>
      <c r="K385" s="58"/>
      <c r="L385" s="58"/>
      <c r="M385" s="45" t="str">
        <f t="shared" si="16"/>
        <v>Pass</v>
      </c>
      <c r="N385" s="46" t="str">
        <f>IFERROR(VLOOKUP(D426,'[1]Product Datasheet'!$A:$G,4,0),"")</f>
        <v/>
      </c>
      <c r="O385" s="47" t="str">
        <f>IFERROR(VLOOKUP(D426,'[1]Product Datasheet'!$A:$G,5,0),"")</f>
        <v/>
      </c>
      <c r="P385" s="47" t="str">
        <f>IFERROR(VLOOKUP(D426,'[1]Product Datasheet'!$A:$G,6,0),"")</f>
        <v/>
      </c>
      <c r="Q385" s="47" t="str">
        <f>IFERROR(VLOOKUP(D426,'[1]Product Datasheet'!$A:$G,7,0), "")</f>
        <v/>
      </c>
      <c r="R385" s="48"/>
      <c r="S385" s="49" t="str">
        <f t="shared" si="17"/>
        <v>Accept</v>
      </c>
      <c r="T385" s="50"/>
      <c r="U385" s="51"/>
    </row>
    <row r="386" spans="1:21" ht="24.75" customHeight="1" x14ac:dyDescent="0.3">
      <c r="A386" s="38" t="str">
        <f>IFERROR(VLOOKUP(D386,'[1]Product Datasheet'!$A:$G,2,0),"")</f>
        <v/>
      </c>
      <c r="B386" s="39" t="str">
        <f>IFERROR(VLOOKUP(D386,'[1]Product Datasheet'!$A:$G,3,0),"")</f>
        <v/>
      </c>
      <c r="C386" s="54"/>
      <c r="D386" s="55"/>
      <c r="E386" s="55"/>
      <c r="F386" s="55"/>
      <c r="G386" s="56"/>
      <c r="H386" s="57"/>
      <c r="I386" s="56"/>
      <c r="J386" s="58"/>
      <c r="K386" s="58"/>
      <c r="L386" s="58"/>
      <c r="M386" s="45" t="str">
        <f t="shared" si="16"/>
        <v>Pass</v>
      </c>
      <c r="N386" s="46" t="str">
        <f>IFERROR(VLOOKUP(D427,'[1]Product Datasheet'!$A:$G,4,0),"")</f>
        <v/>
      </c>
      <c r="O386" s="47" t="str">
        <f>IFERROR(VLOOKUP(D427,'[1]Product Datasheet'!$A:$G,5,0),"")</f>
        <v/>
      </c>
      <c r="P386" s="47" t="str">
        <f>IFERROR(VLOOKUP(D427,'[1]Product Datasheet'!$A:$G,6,0),"")</f>
        <v/>
      </c>
      <c r="Q386" s="47" t="str">
        <f>IFERROR(VLOOKUP(D427,'[1]Product Datasheet'!$A:$G,7,0), "")</f>
        <v/>
      </c>
      <c r="R386" s="48"/>
      <c r="S386" s="49" t="str">
        <f t="shared" si="17"/>
        <v>Accept</v>
      </c>
      <c r="T386" s="50"/>
      <c r="U386" s="51"/>
    </row>
    <row r="387" spans="1:21" ht="24.75" customHeight="1" x14ac:dyDescent="0.3">
      <c r="A387" s="38" t="str">
        <f>IFERROR(VLOOKUP(D387,'[1]Product Datasheet'!$A:$G,2,0),"")</f>
        <v/>
      </c>
      <c r="B387" s="39" t="str">
        <f>IFERROR(VLOOKUP(D387,'[1]Product Datasheet'!$A:$G,3,0),"")</f>
        <v/>
      </c>
      <c r="C387" s="54"/>
      <c r="D387" s="55"/>
      <c r="E387" s="55"/>
      <c r="F387" s="55"/>
      <c r="G387" s="56"/>
      <c r="H387" s="57"/>
      <c r="I387" s="56"/>
      <c r="J387" s="58"/>
      <c r="K387" s="58"/>
      <c r="L387" s="58"/>
      <c r="M387" s="45" t="str">
        <f t="shared" si="16"/>
        <v>Pass</v>
      </c>
      <c r="N387" s="46" t="str">
        <f>IFERROR(VLOOKUP(D428,'[1]Product Datasheet'!$A:$G,4,0),"")</f>
        <v/>
      </c>
      <c r="O387" s="47" t="str">
        <f>IFERROR(VLOOKUP(D428,'[1]Product Datasheet'!$A:$G,5,0),"")</f>
        <v/>
      </c>
      <c r="P387" s="47" t="str">
        <f>IFERROR(VLOOKUP(D428,'[1]Product Datasheet'!$A:$G,6,0),"")</f>
        <v/>
      </c>
      <c r="Q387" s="47" t="str">
        <f>IFERROR(VLOOKUP(D428,'[1]Product Datasheet'!$A:$G,7,0), "")</f>
        <v/>
      </c>
      <c r="R387" s="48"/>
      <c r="S387" s="49" t="str">
        <f t="shared" si="17"/>
        <v>Accept</v>
      </c>
      <c r="T387" s="50"/>
      <c r="U387" s="51"/>
    </row>
    <row r="388" spans="1:21" ht="24.75" customHeight="1" x14ac:dyDescent="0.3">
      <c r="A388" s="38" t="str">
        <f>IFERROR(VLOOKUP(D388,'[1]Product Datasheet'!$A:$G,2,0),"")</f>
        <v/>
      </c>
      <c r="B388" s="39" t="str">
        <f>IFERROR(VLOOKUP(D388,'[1]Product Datasheet'!$A:$G,3,0),"")</f>
        <v/>
      </c>
      <c r="C388" s="54"/>
      <c r="D388" s="55"/>
      <c r="E388" s="55"/>
      <c r="F388" s="55"/>
      <c r="G388" s="56"/>
      <c r="H388" s="57"/>
      <c r="I388" s="56"/>
      <c r="J388" s="58"/>
      <c r="K388" s="58"/>
      <c r="L388" s="58"/>
      <c r="M388" s="45" t="str">
        <f t="shared" si="16"/>
        <v>Pass</v>
      </c>
      <c r="N388" s="46" t="str">
        <f>IFERROR(VLOOKUP(D429,'[1]Product Datasheet'!$A:$G,4,0),"")</f>
        <v/>
      </c>
      <c r="O388" s="47" t="str">
        <f>IFERROR(VLOOKUP(D429,'[1]Product Datasheet'!$A:$G,5,0),"")</f>
        <v/>
      </c>
      <c r="P388" s="47" t="str">
        <f>IFERROR(VLOOKUP(D429,'[1]Product Datasheet'!$A:$G,6,0),"")</f>
        <v/>
      </c>
      <c r="Q388" s="47" t="str">
        <f>IFERROR(VLOOKUP(D429,'[1]Product Datasheet'!$A:$G,7,0), "")</f>
        <v/>
      </c>
      <c r="R388" s="48"/>
      <c r="S388" s="49" t="str">
        <f t="shared" si="17"/>
        <v>Accept</v>
      </c>
      <c r="T388" s="50"/>
      <c r="U388" s="51"/>
    </row>
    <row r="389" spans="1:21" ht="24.75" customHeight="1" x14ac:dyDescent="0.3">
      <c r="A389" s="38" t="str">
        <f>IFERROR(VLOOKUP(D389,'[1]Product Datasheet'!$A:$G,2,0),"")</f>
        <v/>
      </c>
      <c r="B389" s="39" t="str">
        <f>IFERROR(VLOOKUP(D389,'[1]Product Datasheet'!$A:$G,3,0),"")</f>
        <v/>
      </c>
      <c r="C389" s="54"/>
      <c r="D389" s="55"/>
      <c r="E389" s="55"/>
      <c r="F389" s="55"/>
      <c r="G389" s="56"/>
      <c r="H389" s="57"/>
      <c r="I389" s="56"/>
      <c r="J389" s="58"/>
      <c r="K389" s="58"/>
      <c r="L389" s="58"/>
      <c r="M389" s="45" t="str">
        <f t="shared" si="16"/>
        <v>Pass</v>
      </c>
      <c r="N389" s="46" t="str">
        <f>IFERROR(VLOOKUP(D430,'[1]Product Datasheet'!$A:$G,4,0),"")</f>
        <v/>
      </c>
      <c r="O389" s="47" t="str">
        <f>IFERROR(VLOOKUP(D430,'[1]Product Datasheet'!$A:$G,5,0),"")</f>
        <v/>
      </c>
      <c r="P389" s="47" t="str">
        <f>IFERROR(VLOOKUP(D430,'[1]Product Datasheet'!$A:$G,6,0),"")</f>
        <v/>
      </c>
      <c r="Q389" s="47" t="str">
        <f>IFERROR(VLOOKUP(D430,'[1]Product Datasheet'!$A:$G,7,0), "")</f>
        <v/>
      </c>
      <c r="R389" s="48"/>
      <c r="S389" s="49" t="str">
        <f t="shared" si="17"/>
        <v>Accept</v>
      </c>
      <c r="T389" s="50"/>
      <c r="U389" s="51"/>
    </row>
    <row r="390" spans="1:21" ht="24.75" customHeight="1" x14ac:dyDescent="0.3">
      <c r="A390" s="38" t="str">
        <f>IFERROR(VLOOKUP(D390,'[1]Product Datasheet'!$A:$G,2,0),"")</f>
        <v/>
      </c>
      <c r="B390" s="39" t="str">
        <f>IFERROR(VLOOKUP(D390,'[1]Product Datasheet'!$A:$G,3,0),"")</f>
        <v/>
      </c>
      <c r="C390" s="54"/>
      <c r="D390" s="55"/>
      <c r="E390" s="55"/>
      <c r="F390" s="55"/>
      <c r="G390" s="56"/>
      <c r="H390" s="57"/>
      <c r="I390" s="56"/>
      <c r="J390" s="58"/>
      <c r="K390" s="58"/>
      <c r="L390" s="58"/>
      <c r="M390" s="45" t="str">
        <f t="shared" si="16"/>
        <v>Pass</v>
      </c>
      <c r="N390" s="46" t="str">
        <f>IFERROR(VLOOKUP(D431,'[1]Product Datasheet'!$A:$G,4,0),"")</f>
        <v/>
      </c>
      <c r="O390" s="47" t="str">
        <f>IFERROR(VLOOKUP(D431,'[1]Product Datasheet'!$A:$G,5,0),"")</f>
        <v/>
      </c>
      <c r="P390" s="47" t="str">
        <f>IFERROR(VLOOKUP(D431,'[1]Product Datasheet'!$A:$G,6,0),"")</f>
        <v/>
      </c>
      <c r="Q390" s="47" t="str">
        <f>IFERROR(VLOOKUP(D431,'[1]Product Datasheet'!$A:$G,7,0), "")</f>
        <v/>
      </c>
      <c r="R390" s="48"/>
      <c r="S390" s="49" t="str">
        <f t="shared" si="17"/>
        <v>Accept</v>
      </c>
      <c r="T390" s="50"/>
      <c r="U390" s="51"/>
    </row>
    <row r="391" spans="1:21" ht="24.75" customHeight="1" x14ac:dyDescent="0.3">
      <c r="A391" s="38" t="str">
        <f>IFERROR(VLOOKUP(D391,'[1]Product Datasheet'!$A:$G,2,0),"")</f>
        <v/>
      </c>
      <c r="B391" s="39" t="str">
        <f>IFERROR(VLOOKUP(D391,'[1]Product Datasheet'!$A:$G,3,0),"")</f>
        <v/>
      </c>
      <c r="C391" s="54"/>
      <c r="D391" s="55"/>
      <c r="E391" s="55"/>
      <c r="F391" s="55"/>
      <c r="G391" s="56"/>
      <c r="H391" s="57"/>
      <c r="I391" s="56"/>
      <c r="J391" s="58"/>
      <c r="K391" s="58"/>
      <c r="L391" s="58"/>
      <c r="M391" s="45" t="str">
        <f t="shared" si="16"/>
        <v>Pass</v>
      </c>
      <c r="N391" s="46" t="str">
        <f>IFERROR(VLOOKUP(D432,'[1]Product Datasheet'!$A:$G,4,0),"")</f>
        <v/>
      </c>
      <c r="O391" s="47" t="str">
        <f>IFERROR(VLOOKUP(D432,'[1]Product Datasheet'!$A:$G,5,0),"")</f>
        <v/>
      </c>
      <c r="P391" s="47" t="str">
        <f>IFERROR(VLOOKUP(D432,'[1]Product Datasheet'!$A:$G,6,0),"")</f>
        <v/>
      </c>
      <c r="Q391" s="47" t="str">
        <f>IFERROR(VLOOKUP(D432,'[1]Product Datasheet'!$A:$G,7,0), "")</f>
        <v/>
      </c>
      <c r="R391" s="48"/>
      <c r="S391" s="49" t="str">
        <f t="shared" si="17"/>
        <v>Accept</v>
      </c>
      <c r="T391" s="50"/>
      <c r="U391" s="51"/>
    </row>
    <row r="392" spans="1:21" ht="24.75" customHeight="1" x14ac:dyDescent="0.3">
      <c r="A392" s="38" t="str">
        <f>IFERROR(VLOOKUP(D392,'[1]Product Datasheet'!$A:$G,2,0),"")</f>
        <v/>
      </c>
      <c r="B392" s="39" t="str">
        <f>IFERROR(VLOOKUP(D392,'[1]Product Datasheet'!$A:$G,3,0),"")</f>
        <v/>
      </c>
      <c r="C392" s="54"/>
      <c r="D392" s="55"/>
      <c r="E392" s="55"/>
      <c r="F392" s="55"/>
      <c r="G392" s="56"/>
      <c r="H392" s="57"/>
      <c r="I392" s="56"/>
      <c r="J392" s="58"/>
      <c r="K392" s="58"/>
      <c r="L392" s="58"/>
      <c r="M392" s="45" t="str">
        <f t="shared" si="16"/>
        <v>Pass</v>
      </c>
      <c r="N392" s="46" t="str">
        <f>IFERROR(VLOOKUP(D433,'[1]Product Datasheet'!$A:$G,4,0),"")</f>
        <v/>
      </c>
      <c r="O392" s="47" t="str">
        <f>IFERROR(VLOOKUP(D433,'[1]Product Datasheet'!$A:$G,5,0),"")</f>
        <v/>
      </c>
      <c r="P392" s="47" t="str">
        <f>IFERROR(VLOOKUP(D433,'[1]Product Datasheet'!$A:$G,6,0),"")</f>
        <v/>
      </c>
      <c r="Q392" s="47" t="str">
        <f>IFERROR(VLOOKUP(D433,'[1]Product Datasheet'!$A:$G,7,0), "")</f>
        <v/>
      </c>
      <c r="R392" s="48"/>
      <c r="S392" s="49" t="str">
        <f t="shared" si="17"/>
        <v>Accept</v>
      </c>
      <c r="T392" s="50"/>
      <c r="U392" s="51"/>
    </row>
    <row r="393" spans="1:21" ht="24.75" customHeight="1" x14ac:dyDescent="0.3">
      <c r="A393" s="38" t="str">
        <f>IFERROR(VLOOKUP(D393,'[1]Product Datasheet'!$A:$G,2,0),"")</f>
        <v/>
      </c>
      <c r="B393" s="39" t="str">
        <f>IFERROR(VLOOKUP(D393,'[1]Product Datasheet'!$A:$G,3,0),"")</f>
        <v/>
      </c>
      <c r="C393" s="54"/>
      <c r="D393" s="55"/>
      <c r="E393" s="55"/>
      <c r="F393" s="55"/>
      <c r="G393" s="56"/>
      <c r="H393" s="57"/>
      <c r="I393" s="56"/>
      <c r="J393" s="58"/>
      <c r="K393" s="58"/>
      <c r="L393" s="58"/>
      <c r="M393" s="45" t="str">
        <f t="shared" si="16"/>
        <v>Pass</v>
      </c>
      <c r="N393" s="46" t="str">
        <f>IFERROR(VLOOKUP(D434,'[1]Product Datasheet'!$A:$G,4,0),"")</f>
        <v/>
      </c>
      <c r="O393" s="47" t="str">
        <f>IFERROR(VLOOKUP(D434,'[1]Product Datasheet'!$A:$G,5,0),"")</f>
        <v/>
      </c>
      <c r="P393" s="47" t="str">
        <f>IFERROR(VLOOKUP(D434,'[1]Product Datasheet'!$A:$G,6,0),"")</f>
        <v/>
      </c>
      <c r="Q393" s="47" t="str">
        <f>IFERROR(VLOOKUP(D434,'[1]Product Datasheet'!$A:$G,7,0), "")</f>
        <v/>
      </c>
      <c r="R393" s="48"/>
      <c r="S393" s="49" t="str">
        <f t="shared" si="17"/>
        <v>Accept</v>
      </c>
      <c r="T393" s="50"/>
      <c r="U393" s="51"/>
    </row>
    <row r="394" spans="1:21" ht="24.75" customHeight="1" x14ac:dyDescent="0.3">
      <c r="A394" s="38" t="str">
        <f>IFERROR(VLOOKUP(D394,'[1]Product Datasheet'!$A:$G,2,0),"")</f>
        <v/>
      </c>
      <c r="B394" s="39" t="str">
        <f>IFERROR(VLOOKUP(D394,'[1]Product Datasheet'!$A:$G,3,0),"")</f>
        <v/>
      </c>
      <c r="C394" s="54"/>
      <c r="D394" s="55"/>
      <c r="E394" s="55"/>
      <c r="F394" s="55"/>
      <c r="G394" s="56"/>
      <c r="H394" s="57"/>
      <c r="I394" s="56"/>
      <c r="J394" s="58"/>
      <c r="K394" s="58"/>
      <c r="L394" s="58"/>
      <c r="M394" s="45" t="str">
        <f t="shared" si="16"/>
        <v>Pass</v>
      </c>
      <c r="N394" s="46" t="str">
        <f>IFERROR(VLOOKUP(D435,'[1]Product Datasheet'!$A:$G,4,0),"")</f>
        <v/>
      </c>
      <c r="O394" s="47" t="str">
        <f>IFERROR(VLOOKUP(D435,'[1]Product Datasheet'!$A:$G,5,0),"")</f>
        <v/>
      </c>
      <c r="P394" s="47" t="str">
        <f>IFERROR(VLOOKUP(D435,'[1]Product Datasheet'!$A:$G,6,0),"")</f>
        <v/>
      </c>
      <c r="Q394" s="47" t="str">
        <f>IFERROR(VLOOKUP(D435,'[1]Product Datasheet'!$A:$G,7,0), "")</f>
        <v/>
      </c>
      <c r="R394" s="48"/>
      <c r="S394" s="49" t="str">
        <f t="shared" si="17"/>
        <v>Accept</v>
      </c>
      <c r="T394" s="50"/>
      <c r="U394" s="51"/>
    </row>
    <row r="395" spans="1:21" ht="24.75" customHeight="1" x14ac:dyDescent="0.3">
      <c r="A395" s="38" t="str">
        <f>IFERROR(VLOOKUP(D395,'[1]Product Datasheet'!$A:$G,2,0),"")</f>
        <v/>
      </c>
      <c r="B395" s="39" t="str">
        <f>IFERROR(VLOOKUP(D395,'[1]Product Datasheet'!$A:$G,3,0),"")</f>
        <v/>
      </c>
      <c r="C395" s="54"/>
      <c r="D395" s="55"/>
      <c r="E395" s="55"/>
      <c r="F395" s="55"/>
      <c r="G395" s="56"/>
      <c r="H395" s="57"/>
      <c r="I395" s="56"/>
      <c r="J395" s="58"/>
      <c r="K395" s="58"/>
      <c r="L395" s="58"/>
      <c r="M395" s="45" t="str">
        <f t="shared" si="16"/>
        <v>Pass</v>
      </c>
      <c r="N395" s="46" t="str">
        <f>IFERROR(VLOOKUP(D436,'[1]Product Datasheet'!$A:$G,4,0),"")</f>
        <v/>
      </c>
      <c r="O395" s="47" t="str">
        <f>IFERROR(VLOOKUP(D436,'[1]Product Datasheet'!$A:$G,5,0),"")</f>
        <v/>
      </c>
      <c r="P395" s="47" t="str">
        <f>IFERROR(VLOOKUP(D436,'[1]Product Datasheet'!$A:$G,6,0),"")</f>
        <v/>
      </c>
      <c r="Q395" s="47" t="str">
        <f>IFERROR(VLOOKUP(D436,'[1]Product Datasheet'!$A:$G,7,0), "")</f>
        <v/>
      </c>
      <c r="R395" s="48"/>
      <c r="S395" s="49" t="str">
        <f t="shared" si="17"/>
        <v>Accept</v>
      </c>
      <c r="T395" s="50"/>
      <c r="U395" s="51"/>
    </row>
    <row r="396" spans="1:21" ht="24.75" customHeight="1" x14ac:dyDescent="0.3">
      <c r="A396" s="38" t="str">
        <f>IFERROR(VLOOKUP(D396,'[1]Product Datasheet'!$A:$G,2,0),"")</f>
        <v/>
      </c>
      <c r="B396" s="39" t="str">
        <f>IFERROR(VLOOKUP(D396,'[1]Product Datasheet'!$A:$G,3,0),"")</f>
        <v/>
      </c>
      <c r="C396" s="54"/>
      <c r="D396" s="55"/>
      <c r="E396" s="55"/>
      <c r="F396" s="55"/>
      <c r="G396" s="56"/>
      <c r="H396" s="57"/>
      <c r="I396" s="56"/>
      <c r="J396" s="58"/>
      <c r="K396" s="58"/>
      <c r="L396" s="58"/>
      <c r="M396" s="45" t="str">
        <f t="shared" si="16"/>
        <v>Pass</v>
      </c>
      <c r="N396" s="46" t="str">
        <f>IFERROR(VLOOKUP(D437,'[1]Product Datasheet'!$A:$G,4,0),"")</f>
        <v/>
      </c>
      <c r="O396" s="47" t="str">
        <f>IFERROR(VLOOKUP(D437,'[1]Product Datasheet'!$A:$G,5,0),"")</f>
        <v/>
      </c>
      <c r="P396" s="47" t="str">
        <f>IFERROR(VLOOKUP(D437,'[1]Product Datasheet'!$A:$G,6,0),"")</f>
        <v/>
      </c>
      <c r="Q396" s="47" t="str">
        <f>IFERROR(VLOOKUP(D437,'[1]Product Datasheet'!$A:$G,7,0), "")</f>
        <v/>
      </c>
      <c r="R396" s="48"/>
      <c r="S396" s="49" t="str">
        <f t="shared" si="17"/>
        <v>Accept</v>
      </c>
      <c r="T396" s="50"/>
      <c r="U396" s="51"/>
    </row>
    <row r="397" spans="1:21" ht="24.75" customHeight="1" x14ac:dyDescent="0.3">
      <c r="A397" s="38" t="str">
        <f>IFERROR(VLOOKUP(D397,'[1]Product Datasheet'!$A:$G,2,0),"")</f>
        <v/>
      </c>
      <c r="B397" s="39" t="str">
        <f>IFERROR(VLOOKUP(D397,'[1]Product Datasheet'!$A:$G,3,0),"")</f>
        <v/>
      </c>
      <c r="C397" s="54"/>
      <c r="D397" s="55"/>
      <c r="E397" s="55"/>
      <c r="F397" s="55"/>
      <c r="G397" s="56"/>
      <c r="H397" s="57"/>
      <c r="I397" s="56"/>
      <c r="J397" s="58"/>
      <c r="K397" s="58"/>
      <c r="L397" s="58"/>
      <c r="M397" s="45" t="str">
        <f t="shared" si="16"/>
        <v>Pass</v>
      </c>
      <c r="N397" s="46" t="str">
        <f>IFERROR(VLOOKUP(D438,'[1]Product Datasheet'!$A:$G,4,0),"")</f>
        <v/>
      </c>
      <c r="O397" s="47" t="str">
        <f>IFERROR(VLOOKUP(D438,'[1]Product Datasheet'!$A:$G,5,0),"")</f>
        <v/>
      </c>
      <c r="P397" s="47" t="str">
        <f>IFERROR(VLOOKUP(D438,'[1]Product Datasheet'!$A:$G,6,0),"")</f>
        <v/>
      </c>
      <c r="Q397" s="47" t="str">
        <f>IFERROR(VLOOKUP(D438,'[1]Product Datasheet'!$A:$G,7,0), "")</f>
        <v/>
      </c>
      <c r="R397" s="48"/>
      <c r="S397" s="49" t="str">
        <f t="shared" si="17"/>
        <v>Accept</v>
      </c>
      <c r="T397" s="50"/>
      <c r="U397" s="51"/>
    </row>
    <row r="398" spans="1:21" ht="24.75" customHeight="1" x14ac:dyDescent="0.3">
      <c r="A398" s="38" t="str">
        <f>IFERROR(VLOOKUP(D398,'[1]Product Datasheet'!$A:$G,2,0),"")</f>
        <v/>
      </c>
      <c r="B398" s="39" t="str">
        <f>IFERROR(VLOOKUP(D398,'[1]Product Datasheet'!$A:$G,3,0),"")</f>
        <v/>
      </c>
      <c r="C398" s="54"/>
      <c r="D398" s="55"/>
      <c r="E398" s="55"/>
      <c r="F398" s="55"/>
      <c r="G398" s="56"/>
      <c r="H398" s="57"/>
      <c r="I398" s="56"/>
      <c r="J398" s="58"/>
      <c r="K398" s="58"/>
      <c r="L398" s="58"/>
      <c r="M398" s="45" t="str">
        <f t="shared" si="16"/>
        <v>Pass</v>
      </c>
      <c r="N398" s="46" t="str">
        <f>IFERROR(VLOOKUP(D439,'[1]Product Datasheet'!$A:$G,4,0),"")</f>
        <v/>
      </c>
      <c r="O398" s="47" t="str">
        <f>IFERROR(VLOOKUP(D439,'[1]Product Datasheet'!$A:$G,5,0),"")</f>
        <v/>
      </c>
      <c r="P398" s="47" t="str">
        <f>IFERROR(VLOOKUP(D439,'[1]Product Datasheet'!$A:$G,6,0),"")</f>
        <v/>
      </c>
      <c r="Q398" s="47" t="str">
        <f>IFERROR(VLOOKUP(D439,'[1]Product Datasheet'!$A:$G,7,0), "")</f>
        <v/>
      </c>
      <c r="R398" s="48"/>
      <c r="S398" s="49" t="str">
        <f t="shared" si="17"/>
        <v>Accept</v>
      </c>
      <c r="T398" s="50"/>
      <c r="U398" s="51"/>
    </row>
    <row r="399" spans="1:21" ht="24.75" customHeight="1" x14ac:dyDescent="0.3">
      <c r="A399" s="38" t="str">
        <f>IFERROR(VLOOKUP(D399,'[1]Product Datasheet'!$A:$G,2,0),"")</f>
        <v/>
      </c>
      <c r="B399" s="39" t="str">
        <f>IFERROR(VLOOKUP(D399,'[1]Product Datasheet'!$A:$G,3,0),"")</f>
        <v/>
      </c>
      <c r="C399" s="54"/>
      <c r="D399" s="55"/>
      <c r="E399" s="55"/>
      <c r="F399" s="55"/>
      <c r="G399" s="56"/>
      <c r="H399" s="57"/>
      <c r="I399" s="56"/>
      <c r="J399" s="58"/>
      <c r="K399" s="58"/>
      <c r="L399" s="58"/>
      <c r="M399" s="45" t="str">
        <f t="shared" si="16"/>
        <v>Pass</v>
      </c>
      <c r="N399" s="46" t="str">
        <f>IFERROR(VLOOKUP(D440,'[1]Product Datasheet'!$A:$G,4,0),"")</f>
        <v/>
      </c>
      <c r="O399" s="47" t="str">
        <f>IFERROR(VLOOKUP(D440,'[1]Product Datasheet'!$A:$G,5,0),"")</f>
        <v/>
      </c>
      <c r="P399" s="47" t="str">
        <f>IFERROR(VLOOKUP(D440,'[1]Product Datasheet'!$A:$G,6,0),"")</f>
        <v/>
      </c>
      <c r="Q399" s="47" t="str">
        <f>IFERROR(VLOOKUP(D440,'[1]Product Datasheet'!$A:$G,7,0), "")</f>
        <v/>
      </c>
      <c r="R399" s="48"/>
      <c r="S399" s="49" t="str">
        <f t="shared" si="17"/>
        <v>Accept</v>
      </c>
      <c r="T399" s="50"/>
      <c r="U399" s="51"/>
    </row>
    <row r="400" spans="1:21" ht="24.75" customHeight="1" x14ac:dyDescent="0.3">
      <c r="A400" s="38" t="str">
        <f>IFERROR(VLOOKUP(D400,'[1]Product Datasheet'!$A:$G,2,0),"")</f>
        <v/>
      </c>
      <c r="B400" s="39" t="str">
        <f>IFERROR(VLOOKUP(D400,'[1]Product Datasheet'!$A:$G,3,0),"")</f>
        <v/>
      </c>
      <c r="C400" s="54"/>
      <c r="D400" s="55"/>
      <c r="E400" s="55"/>
      <c r="F400" s="55"/>
      <c r="G400" s="56"/>
      <c r="H400" s="57"/>
      <c r="I400" s="56"/>
      <c r="J400" s="58"/>
      <c r="K400" s="58"/>
      <c r="L400" s="58"/>
      <c r="M400" s="45" t="str">
        <f t="shared" si="16"/>
        <v>Pass</v>
      </c>
      <c r="N400" s="46" t="str">
        <f>IFERROR(VLOOKUP(D441,'[1]Product Datasheet'!$A:$G,4,0),"")</f>
        <v/>
      </c>
      <c r="O400" s="47" t="str">
        <f>IFERROR(VLOOKUP(D441,'[1]Product Datasheet'!$A:$G,5,0),"")</f>
        <v/>
      </c>
      <c r="P400" s="47" t="str">
        <f>IFERROR(VLOOKUP(D441,'[1]Product Datasheet'!$A:$G,6,0),"")</f>
        <v/>
      </c>
      <c r="Q400" s="47" t="str">
        <f>IFERROR(VLOOKUP(D441,'[1]Product Datasheet'!$A:$G,7,0), "")</f>
        <v/>
      </c>
      <c r="R400" s="48"/>
      <c r="S400" s="49" t="str">
        <f t="shared" si="17"/>
        <v>Accept</v>
      </c>
      <c r="T400" s="50"/>
      <c r="U400" s="51"/>
    </row>
    <row r="401" spans="1:21" ht="24.75" customHeight="1" x14ac:dyDescent="0.3">
      <c r="A401" s="38" t="str">
        <f>IFERROR(VLOOKUP(D401,'[1]Product Datasheet'!$A:$G,2,0),"")</f>
        <v/>
      </c>
      <c r="B401" s="39" t="str">
        <f>IFERROR(VLOOKUP(D401,'[1]Product Datasheet'!$A:$G,3,0),"")</f>
        <v/>
      </c>
      <c r="C401" s="54"/>
      <c r="D401" s="55"/>
      <c r="E401" s="55"/>
      <c r="F401" s="55"/>
      <c r="G401" s="56"/>
      <c r="H401" s="57"/>
      <c r="I401" s="56"/>
      <c r="J401" s="58"/>
      <c r="K401" s="58"/>
      <c r="L401" s="58"/>
      <c r="M401" s="45" t="str">
        <f t="shared" si="16"/>
        <v>Pass</v>
      </c>
      <c r="N401" s="46" t="str">
        <f>IFERROR(VLOOKUP(D442,'[1]Product Datasheet'!$A:$G,4,0),"")</f>
        <v/>
      </c>
      <c r="O401" s="47" t="str">
        <f>IFERROR(VLOOKUP(D442,'[1]Product Datasheet'!$A:$G,5,0),"")</f>
        <v/>
      </c>
      <c r="P401" s="47" t="str">
        <f>IFERROR(VLOOKUP(D442,'[1]Product Datasheet'!$A:$G,6,0),"")</f>
        <v/>
      </c>
      <c r="Q401" s="47" t="str">
        <f>IFERROR(VLOOKUP(D442,'[1]Product Datasheet'!$A:$G,7,0), "")</f>
        <v/>
      </c>
      <c r="R401" s="48"/>
      <c r="S401" s="49" t="str">
        <f t="shared" si="17"/>
        <v>Accept</v>
      </c>
      <c r="T401" s="50"/>
      <c r="U401" s="51"/>
    </row>
    <row r="402" spans="1:21" ht="24.75" customHeight="1" x14ac:dyDescent="0.3">
      <c r="A402" s="38" t="str">
        <f>IFERROR(VLOOKUP(D402,'[1]Product Datasheet'!$A:$G,2,0),"")</f>
        <v/>
      </c>
      <c r="B402" s="39" t="str">
        <f>IFERROR(VLOOKUP(D402,'[1]Product Datasheet'!$A:$G,3,0),"")</f>
        <v/>
      </c>
      <c r="C402" s="54"/>
      <c r="D402" s="55"/>
      <c r="E402" s="55"/>
      <c r="F402" s="55"/>
      <c r="G402" s="56"/>
      <c r="H402" s="57"/>
      <c r="I402" s="56"/>
      <c r="J402" s="58"/>
      <c r="K402" s="58"/>
      <c r="L402" s="58"/>
      <c r="M402" s="45" t="str">
        <f t="shared" si="16"/>
        <v>Pass</v>
      </c>
      <c r="N402" s="46" t="str">
        <f>IFERROR(VLOOKUP(D443,'[1]Product Datasheet'!$A:$G,4,0),"")</f>
        <v/>
      </c>
      <c r="O402" s="47" t="str">
        <f>IFERROR(VLOOKUP(D443,'[1]Product Datasheet'!$A:$G,5,0),"")</f>
        <v/>
      </c>
      <c r="P402" s="47" t="str">
        <f>IFERROR(VLOOKUP(D443,'[1]Product Datasheet'!$A:$G,6,0),"")</f>
        <v/>
      </c>
      <c r="Q402" s="47" t="str">
        <f>IFERROR(VLOOKUP(D443,'[1]Product Datasheet'!$A:$G,7,0), "")</f>
        <v/>
      </c>
      <c r="R402" s="48"/>
      <c r="S402" s="49" t="str">
        <f t="shared" si="17"/>
        <v>Accept</v>
      </c>
      <c r="T402" s="50"/>
      <c r="U402" s="51"/>
    </row>
    <row r="403" spans="1:21" ht="24.75" customHeight="1" x14ac:dyDescent="0.3">
      <c r="A403" s="38" t="str">
        <f>IFERROR(VLOOKUP(D403,'[1]Product Datasheet'!$A:$G,2,0),"")</f>
        <v/>
      </c>
      <c r="B403" s="39" t="str">
        <f>IFERROR(VLOOKUP(D403,'[1]Product Datasheet'!$A:$G,3,0),"")</f>
        <v/>
      </c>
      <c r="C403" s="54"/>
      <c r="D403" s="55"/>
      <c r="E403" s="55"/>
      <c r="F403" s="55"/>
      <c r="G403" s="56"/>
      <c r="H403" s="57"/>
      <c r="I403" s="56"/>
      <c r="J403" s="58"/>
      <c r="K403" s="58"/>
      <c r="L403" s="58"/>
      <c r="M403" s="45" t="str">
        <f t="shared" si="16"/>
        <v>Pass</v>
      </c>
      <c r="N403" s="46" t="str">
        <f>IFERROR(VLOOKUP(D444,'[1]Product Datasheet'!$A:$G,4,0),"")</f>
        <v/>
      </c>
      <c r="O403" s="47" t="str">
        <f>IFERROR(VLOOKUP(D444,'[1]Product Datasheet'!$A:$G,5,0),"")</f>
        <v/>
      </c>
      <c r="P403" s="47" t="str">
        <f>IFERROR(VLOOKUP(D444,'[1]Product Datasheet'!$A:$G,6,0),"")</f>
        <v/>
      </c>
      <c r="Q403" s="47" t="str">
        <f>IFERROR(VLOOKUP(D444,'[1]Product Datasheet'!$A:$G,7,0), "")</f>
        <v/>
      </c>
      <c r="R403" s="48"/>
      <c r="S403" s="49" t="str">
        <f t="shared" si="17"/>
        <v>Accept</v>
      </c>
      <c r="T403" s="50"/>
      <c r="U403" s="51"/>
    </row>
    <row r="404" spans="1:21" ht="24.75" customHeight="1" x14ac:dyDescent="0.3">
      <c r="A404" s="38" t="str">
        <f>IFERROR(VLOOKUP(D404,'[1]Product Datasheet'!$A:$G,2,0),"")</f>
        <v/>
      </c>
      <c r="B404" s="39" t="str">
        <f>IFERROR(VLOOKUP(D404,'[1]Product Datasheet'!$A:$G,3,0),"")</f>
        <v/>
      </c>
      <c r="C404" s="54"/>
      <c r="D404" s="55"/>
      <c r="E404" s="55"/>
      <c r="F404" s="55"/>
      <c r="G404" s="56"/>
      <c r="H404" s="57"/>
      <c r="I404" s="56"/>
      <c r="J404" s="58"/>
      <c r="K404" s="58"/>
      <c r="L404" s="58"/>
      <c r="M404" s="45" t="str">
        <f t="shared" si="16"/>
        <v>Pass</v>
      </c>
      <c r="N404" s="46" t="str">
        <f>IFERROR(VLOOKUP(D445,'[1]Product Datasheet'!$A:$G,4,0),"")</f>
        <v/>
      </c>
      <c r="O404" s="47" t="str">
        <f>IFERROR(VLOOKUP(D445,'[1]Product Datasheet'!$A:$G,5,0),"")</f>
        <v/>
      </c>
      <c r="P404" s="47" t="str">
        <f>IFERROR(VLOOKUP(D445,'[1]Product Datasheet'!$A:$G,6,0),"")</f>
        <v/>
      </c>
      <c r="Q404" s="47" t="str">
        <f>IFERROR(VLOOKUP(D445,'[1]Product Datasheet'!$A:$G,7,0), "")</f>
        <v/>
      </c>
      <c r="R404" s="48"/>
      <c r="S404" s="49" t="str">
        <f t="shared" si="17"/>
        <v>Accept</v>
      </c>
      <c r="T404" s="50"/>
      <c r="U404" s="51"/>
    </row>
    <row r="405" spans="1:21" ht="24.75" customHeight="1" x14ac:dyDescent="0.3">
      <c r="A405" s="38" t="str">
        <f>IFERROR(VLOOKUP(D405,'[1]Product Datasheet'!$A:$G,2,0),"")</f>
        <v/>
      </c>
      <c r="B405" s="39" t="str">
        <f>IFERROR(VLOOKUP(D405,'[1]Product Datasheet'!$A:$G,3,0),"")</f>
        <v/>
      </c>
      <c r="C405" s="54"/>
      <c r="D405" s="55"/>
      <c r="E405" s="55"/>
      <c r="F405" s="55"/>
      <c r="G405" s="56"/>
      <c r="H405" s="57"/>
      <c r="I405" s="56"/>
      <c r="J405" s="58"/>
      <c r="K405" s="58"/>
      <c r="L405" s="58"/>
      <c r="M405" s="45" t="str">
        <f t="shared" si="16"/>
        <v>Pass</v>
      </c>
      <c r="N405" s="46" t="str">
        <f>IFERROR(VLOOKUP(D446,'[1]Product Datasheet'!$A:$G,4,0),"")</f>
        <v/>
      </c>
      <c r="O405" s="47" t="str">
        <f>IFERROR(VLOOKUP(D446,'[1]Product Datasheet'!$A:$G,5,0),"")</f>
        <v/>
      </c>
      <c r="P405" s="47" t="str">
        <f>IFERROR(VLOOKUP(D446,'[1]Product Datasheet'!$A:$G,6,0),"")</f>
        <v/>
      </c>
      <c r="Q405" s="47" t="str">
        <f>IFERROR(VLOOKUP(D446,'[1]Product Datasheet'!$A:$G,7,0), "")</f>
        <v/>
      </c>
      <c r="R405" s="48"/>
      <c r="S405" s="49" t="str">
        <f t="shared" si="17"/>
        <v>Accept</v>
      </c>
      <c r="T405" s="50"/>
      <c r="U405" s="51"/>
    </row>
    <row r="406" spans="1:21" ht="24.75" customHeight="1" x14ac:dyDescent="0.3">
      <c r="A406" s="38" t="str">
        <f>IFERROR(VLOOKUP(D406,'[1]Product Datasheet'!$A:$G,2,0),"")</f>
        <v/>
      </c>
      <c r="B406" s="39" t="str">
        <f>IFERROR(VLOOKUP(D406,'[1]Product Datasheet'!$A:$G,3,0),"")</f>
        <v/>
      </c>
      <c r="C406" s="54"/>
      <c r="D406" s="55"/>
      <c r="E406" s="55"/>
      <c r="F406" s="55"/>
      <c r="G406" s="56"/>
      <c r="H406" s="57"/>
      <c r="I406" s="56"/>
      <c r="J406" s="58"/>
      <c r="K406" s="58"/>
      <c r="L406" s="58"/>
      <c r="M406" s="45" t="str">
        <f t="shared" si="16"/>
        <v>Pass</v>
      </c>
      <c r="N406" s="46" t="str">
        <f>IFERROR(VLOOKUP(D447,'[1]Product Datasheet'!$A:$G,4,0),"")</f>
        <v/>
      </c>
      <c r="O406" s="47" t="str">
        <f>IFERROR(VLOOKUP(D447,'[1]Product Datasheet'!$A:$G,5,0),"")</f>
        <v/>
      </c>
      <c r="P406" s="47" t="str">
        <f>IFERROR(VLOOKUP(D447,'[1]Product Datasheet'!$A:$G,6,0),"")</f>
        <v/>
      </c>
      <c r="Q406" s="47" t="str">
        <f>IFERROR(VLOOKUP(D447,'[1]Product Datasheet'!$A:$G,7,0), "")</f>
        <v/>
      </c>
      <c r="R406" s="48"/>
      <c r="S406" s="49" t="str">
        <f t="shared" si="17"/>
        <v>Accept</v>
      </c>
      <c r="T406" s="50"/>
      <c r="U406" s="51"/>
    </row>
    <row r="407" spans="1:21" ht="24.75" customHeight="1" x14ac:dyDescent="0.3">
      <c r="A407" s="38" t="str">
        <f>IFERROR(VLOOKUP(D407,'[1]Product Datasheet'!$A:$G,2,0),"")</f>
        <v/>
      </c>
      <c r="B407" s="39" t="str">
        <f>IFERROR(VLOOKUP(D407,'[1]Product Datasheet'!$A:$G,3,0),"")</f>
        <v/>
      </c>
      <c r="C407" s="54"/>
      <c r="D407" s="55"/>
      <c r="E407" s="55"/>
      <c r="F407" s="55"/>
      <c r="G407" s="56"/>
      <c r="H407" s="57"/>
      <c r="I407" s="56"/>
      <c r="J407" s="58"/>
      <c r="K407" s="58"/>
      <c r="L407" s="58"/>
      <c r="M407" s="45" t="str">
        <f t="shared" si="16"/>
        <v>Pass</v>
      </c>
      <c r="N407" s="46" t="str">
        <f>IFERROR(VLOOKUP(D448,'[1]Product Datasheet'!$A:$G,4,0),"")</f>
        <v/>
      </c>
      <c r="O407" s="47" t="str">
        <f>IFERROR(VLOOKUP(D448,'[1]Product Datasheet'!$A:$G,5,0),"")</f>
        <v/>
      </c>
      <c r="P407" s="47" t="str">
        <f>IFERROR(VLOOKUP(D448,'[1]Product Datasheet'!$A:$G,6,0),"")</f>
        <v/>
      </c>
      <c r="Q407" s="47" t="str">
        <f>IFERROR(VLOOKUP(D448,'[1]Product Datasheet'!$A:$G,7,0), "")</f>
        <v/>
      </c>
      <c r="R407" s="48"/>
      <c r="S407" s="49" t="str">
        <f t="shared" si="17"/>
        <v>Accept</v>
      </c>
      <c r="T407" s="50"/>
      <c r="U407" s="51"/>
    </row>
    <row r="408" spans="1:21" ht="24.75" customHeight="1" x14ac:dyDescent="0.3">
      <c r="A408" s="38" t="str">
        <f>IFERROR(VLOOKUP(D408,'[1]Product Datasheet'!$A:$G,2,0),"")</f>
        <v/>
      </c>
      <c r="B408" s="39" t="str">
        <f>IFERROR(VLOOKUP(D408,'[1]Product Datasheet'!$A:$G,3,0),"")</f>
        <v/>
      </c>
      <c r="C408" s="54"/>
      <c r="D408" s="55"/>
      <c r="E408" s="55"/>
      <c r="F408" s="55"/>
      <c r="G408" s="56"/>
      <c r="H408" s="57"/>
      <c r="I408" s="56"/>
      <c r="J408" s="58"/>
      <c r="K408" s="58"/>
      <c r="L408" s="58"/>
      <c r="M408" s="45" t="str">
        <f t="shared" si="16"/>
        <v>Pass</v>
      </c>
      <c r="N408" s="46" t="str">
        <f>IFERROR(VLOOKUP(D449,'[1]Product Datasheet'!$A:$G,4,0),"")</f>
        <v/>
      </c>
      <c r="O408" s="47" t="str">
        <f>IFERROR(VLOOKUP(D449,'[1]Product Datasheet'!$A:$G,5,0),"")</f>
        <v/>
      </c>
      <c r="P408" s="47" t="str">
        <f>IFERROR(VLOOKUP(D449,'[1]Product Datasheet'!$A:$G,6,0),"")</f>
        <v/>
      </c>
      <c r="Q408" s="47" t="str">
        <f>IFERROR(VLOOKUP(D449,'[1]Product Datasheet'!$A:$G,7,0), "")</f>
        <v/>
      </c>
      <c r="R408" s="48"/>
      <c r="S408" s="49" t="str">
        <f t="shared" si="17"/>
        <v>Accept</v>
      </c>
      <c r="T408" s="50"/>
      <c r="U408" s="51"/>
    </row>
    <row r="409" spans="1:21" ht="24.75" customHeight="1" x14ac:dyDescent="0.3">
      <c r="A409" s="38" t="str">
        <f>IFERROR(VLOOKUP(D409,'[1]Product Datasheet'!$A:$G,2,0),"")</f>
        <v/>
      </c>
      <c r="B409" s="39" t="str">
        <f>IFERROR(VLOOKUP(D409,'[1]Product Datasheet'!$A:$G,3,0),"")</f>
        <v/>
      </c>
      <c r="C409" s="54"/>
      <c r="D409" s="55"/>
      <c r="E409" s="55"/>
      <c r="F409" s="41"/>
      <c r="G409" s="42"/>
      <c r="H409" s="43"/>
      <c r="I409" s="42"/>
      <c r="J409" s="58"/>
      <c r="K409" s="58"/>
      <c r="L409" s="58"/>
      <c r="M409" s="45" t="str">
        <f t="shared" si="16"/>
        <v>Pass</v>
      </c>
      <c r="N409" s="46" t="str">
        <f>IFERROR(VLOOKUP(D450,'[1]Product Datasheet'!$A:$G,4,0),"")</f>
        <v/>
      </c>
      <c r="O409" s="47" t="str">
        <f>IFERROR(VLOOKUP(D450,'[1]Product Datasheet'!$A:$G,5,0),"")</f>
        <v/>
      </c>
      <c r="P409" s="47" t="str">
        <f>IFERROR(VLOOKUP(D450,'[1]Product Datasheet'!$A:$G,6,0),"")</f>
        <v/>
      </c>
      <c r="Q409" s="47" t="str">
        <f>IFERROR(VLOOKUP(D450,'[1]Product Datasheet'!$A:$G,7,0), "")</f>
        <v/>
      </c>
      <c r="R409" s="48"/>
      <c r="S409" s="49" t="str">
        <f t="shared" si="17"/>
        <v>Accept</v>
      </c>
      <c r="T409" s="50"/>
      <c r="U409" s="51"/>
    </row>
    <row r="410" spans="1:21" ht="24.75" customHeight="1" x14ac:dyDescent="0.3">
      <c r="A410" s="38" t="str">
        <f>IFERROR(VLOOKUP(D410,'[1]Product Datasheet'!$A:$G,2,0),"")</f>
        <v/>
      </c>
      <c r="B410" s="39" t="str">
        <f>IFERROR(VLOOKUP(D410,'[1]Product Datasheet'!$A:$G,3,0),"")</f>
        <v/>
      </c>
      <c r="C410" s="54"/>
      <c r="D410" s="55"/>
      <c r="E410" s="55"/>
      <c r="F410" s="41"/>
      <c r="G410" s="42"/>
      <c r="H410" s="43"/>
      <c r="I410" s="42"/>
      <c r="J410" s="58"/>
      <c r="K410" s="58"/>
      <c r="L410" s="58"/>
      <c r="M410" s="45" t="str">
        <f t="shared" si="16"/>
        <v>Pass</v>
      </c>
      <c r="N410" s="46" t="str">
        <f>IFERROR(VLOOKUP(D451,'[1]Product Datasheet'!$A:$G,4,0),"")</f>
        <v/>
      </c>
      <c r="O410" s="47" t="str">
        <f>IFERROR(VLOOKUP(D451,'[1]Product Datasheet'!$A:$G,5,0),"")</f>
        <v/>
      </c>
      <c r="P410" s="47" t="str">
        <f>IFERROR(VLOOKUP(D451,'[1]Product Datasheet'!$A:$G,6,0),"")</f>
        <v/>
      </c>
      <c r="Q410" s="47" t="str">
        <f>IFERROR(VLOOKUP(D451,'[1]Product Datasheet'!$A:$G,7,0), "")</f>
        <v/>
      </c>
      <c r="R410" s="48"/>
      <c r="S410" s="49" t="str">
        <f t="shared" si="17"/>
        <v>Accept</v>
      </c>
      <c r="T410" s="50"/>
      <c r="U410" s="51"/>
    </row>
    <row r="411" spans="1:21" ht="24.75" customHeight="1" x14ac:dyDescent="0.3">
      <c r="A411" s="38" t="str">
        <f>IFERROR(VLOOKUP(D411,'[1]Product Datasheet'!$A:$G,2,0),"")</f>
        <v/>
      </c>
      <c r="B411" s="39" t="str">
        <f>IFERROR(VLOOKUP(D411,'[1]Product Datasheet'!$A:$G,3,0),"")</f>
        <v/>
      </c>
      <c r="C411" s="54"/>
      <c r="D411" s="41"/>
      <c r="E411" s="41"/>
      <c r="F411" s="41"/>
      <c r="G411" s="42"/>
      <c r="H411" s="43"/>
      <c r="I411" s="42"/>
      <c r="J411" s="58"/>
      <c r="K411" s="58"/>
      <c r="L411" s="58"/>
      <c r="M411" s="45" t="str">
        <f t="shared" si="16"/>
        <v>Pass</v>
      </c>
      <c r="N411" s="46" t="str">
        <f>IFERROR(VLOOKUP(D452,'[1]Product Datasheet'!$A:$G,4,0),"")</f>
        <v/>
      </c>
      <c r="O411" s="47" t="str">
        <f>IFERROR(VLOOKUP(D452,'[1]Product Datasheet'!$A:$G,5,0),"")</f>
        <v/>
      </c>
      <c r="P411" s="47" t="str">
        <f>IFERROR(VLOOKUP(D452,'[1]Product Datasheet'!$A:$G,6,0),"")</f>
        <v/>
      </c>
      <c r="Q411" s="47" t="str">
        <f>IFERROR(VLOOKUP(D452,'[1]Product Datasheet'!$A:$G,7,0), "")</f>
        <v/>
      </c>
      <c r="R411" s="48"/>
      <c r="S411" s="49" t="str">
        <f t="shared" si="17"/>
        <v>Accept</v>
      </c>
      <c r="T411" s="50"/>
      <c r="U411" s="51"/>
    </row>
    <row r="412" spans="1:21" ht="24.75" customHeight="1" x14ac:dyDescent="0.3">
      <c r="A412" s="38" t="str">
        <f>IFERROR(VLOOKUP(D412,'[1]Product Datasheet'!$A:$G,2,0),"")</f>
        <v/>
      </c>
      <c r="B412" s="39" t="str">
        <f>IFERROR(VLOOKUP(D412,'[1]Product Datasheet'!$A:$G,3,0),"")</f>
        <v/>
      </c>
      <c r="C412" s="54"/>
      <c r="D412" s="41"/>
      <c r="E412" s="41"/>
      <c r="F412" s="41"/>
      <c r="G412" s="42"/>
      <c r="H412" s="43"/>
      <c r="I412" s="42"/>
      <c r="J412" s="58"/>
      <c r="K412" s="58"/>
      <c r="L412" s="58"/>
      <c r="M412" s="45" t="str">
        <f t="shared" si="16"/>
        <v>Pass</v>
      </c>
      <c r="N412" s="46" t="str">
        <f>IFERROR(VLOOKUP(D453,'[1]Product Datasheet'!$A:$G,4,0),"")</f>
        <v/>
      </c>
      <c r="O412" s="47" t="str">
        <f>IFERROR(VLOOKUP(D453,'[1]Product Datasheet'!$A:$G,5,0),"")</f>
        <v/>
      </c>
      <c r="P412" s="47" t="str">
        <f>IFERROR(VLOOKUP(D453,'[1]Product Datasheet'!$A:$G,6,0),"")</f>
        <v/>
      </c>
      <c r="Q412" s="47" t="str">
        <f>IFERROR(VLOOKUP(D453,'[1]Product Datasheet'!$A:$G,7,0), "")</f>
        <v/>
      </c>
      <c r="R412" s="48"/>
      <c r="S412" s="49" t="str">
        <f t="shared" si="17"/>
        <v>Accept</v>
      </c>
      <c r="T412" s="50"/>
      <c r="U412" s="51"/>
    </row>
    <row r="413" spans="1:21" ht="24.75" customHeight="1" x14ac:dyDescent="0.3">
      <c r="A413" s="38" t="str">
        <f>IFERROR(VLOOKUP(D413,'[1]Product Datasheet'!$A:$G,2,0),"")</f>
        <v/>
      </c>
      <c r="B413" s="39" t="str">
        <f>IFERROR(VLOOKUP(D413,'[1]Product Datasheet'!$A:$G,3,0),"")</f>
        <v/>
      </c>
      <c r="C413" s="40"/>
      <c r="D413" s="41"/>
      <c r="E413" s="41"/>
      <c r="F413" s="41"/>
      <c r="G413" s="42"/>
      <c r="H413" s="43"/>
      <c r="I413" s="42"/>
      <c r="J413" s="44"/>
      <c r="K413" s="58"/>
      <c r="L413" s="58"/>
      <c r="M413" s="45" t="str">
        <f t="shared" si="16"/>
        <v>Pass</v>
      </c>
      <c r="N413" s="46" t="str">
        <f>IFERROR(VLOOKUP(D454,'[1]Product Datasheet'!$A:$G,4,0),"")</f>
        <v/>
      </c>
      <c r="O413" s="47" t="str">
        <f>IFERROR(VLOOKUP(D454,'[1]Product Datasheet'!$A:$G,5,0),"")</f>
        <v/>
      </c>
      <c r="P413" s="47" t="str">
        <f>IFERROR(VLOOKUP(D454,'[1]Product Datasheet'!$A:$G,6,0),"")</f>
        <v/>
      </c>
      <c r="Q413" s="47" t="str">
        <f>IFERROR(VLOOKUP(D454,'[1]Product Datasheet'!$A:$G,7,0), "")</f>
        <v/>
      </c>
      <c r="R413" s="48"/>
      <c r="S413" s="49" t="str">
        <f t="shared" si="17"/>
        <v>Accept</v>
      </c>
      <c r="T413" s="50"/>
      <c r="U413" s="51"/>
    </row>
    <row r="414" spans="1:21" ht="24.75" customHeight="1" x14ac:dyDescent="0.3">
      <c r="A414" s="38" t="str">
        <f>IFERROR(VLOOKUP(D414,'[1]Product Datasheet'!$A:$G,2,0),"")</f>
        <v/>
      </c>
      <c r="B414" s="39" t="str">
        <f>IFERROR(VLOOKUP(D414,'[1]Product Datasheet'!$A:$G,3,0),"")</f>
        <v/>
      </c>
      <c r="C414" s="40"/>
      <c r="D414" s="41"/>
      <c r="E414" s="41"/>
      <c r="F414" s="41"/>
      <c r="G414" s="42"/>
      <c r="H414" s="43"/>
      <c r="I414" s="42"/>
      <c r="J414" s="44"/>
      <c r="K414" s="58"/>
      <c r="L414" s="58"/>
      <c r="M414" s="45" t="str">
        <f t="shared" si="16"/>
        <v>Pass</v>
      </c>
      <c r="N414" s="46" t="str">
        <f>IFERROR(VLOOKUP(D455,'[1]Product Datasheet'!$A:$G,4,0),"")</f>
        <v/>
      </c>
      <c r="O414" s="47" t="str">
        <f>IFERROR(VLOOKUP(D455,'[1]Product Datasheet'!$A:$G,5,0),"")</f>
        <v/>
      </c>
      <c r="P414" s="47" t="str">
        <f>IFERROR(VLOOKUP(D455,'[1]Product Datasheet'!$A:$G,6,0),"")</f>
        <v/>
      </c>
      <c r="Q414" s="47" t="str">
        <f>IFERROR(VLOOKUP(D455,'[1]Product Datasheet'!$A:$G,7,0), "")</f>
        <v/>
      </c>
      <c r="R414" s="48"/>
      <c r="S414" s="49" t="str">
        <f t="shared" si="17"/>
        <v>Accept</v>
      </c>
      <c r="T414" s="50"/>
      <c r="U414" s="51"/>
    </row>
    <row r="415" spans="1:21" ht="24.75" customHeight="1" x14ac:dyDescent="0.3">
      <c r="A415" s="38" t="str">
        <f>IFERROR(VLOOKUP(D415,'[1]Product Datasheet'!$A:$G,2,0),"")</f>
        <v/>
      </c>
      <c r="B415" s="39" t="str">
        <f>IFERROR(VLOOKUP(D415,'[1]Product Datasheet'!$A:$G,3,0),"")</f>
        <v/>
      </c>
      <c r="C415" s="40"/>
      <c r="D415" s="41"/>
      <c r="E415" s="41"/>
      <c r="F415" s="41"/>
      <c r="G415" s="42"/>
      <c r="H415" s="43"/>
      <c r="I415" s="42"/>
      <c r="J415" s="44"/>
      <c r="K415" s="58"/>
      <c r="L415" s="58"/>
      <c r="M415" s="45" t="str">
        <f t="shared" si="16"/>
        <v>Pass</v>
      </c>
      <c r="N415" s="46" t="str">
        <f>IFERROR(VLOOKUP(D456,'[1]Product Datasheet'!$A:$G,4,0),"")</f>
        <v/>
      </c>
      <c r="O415" s="47" t="str">
        <f>IFERROR(VLOOKUP(D456,'[1]Product Datasheet'!$A:$G,5,0),"")</f>
        <v/>
      </c>
      <c r="P415" s="47" t="str">
        <f>IFERROR(VLOOKUP(D456,'[1]Product Datasheet'!$A:$G,6,0),"")</f>
        <v/>
      </c>
      <c r="Q415" s="47" t="str">
        <f>IFERROR(VLOOKUP(D456,'[1]Product Datasheet'!$A:$G,7,0), "")</f>
        <v/>
      </c>
      <c r="R415" s="48"/>
      <c r="S415" s="49" t="str">
        <f t="shared" si="17"/>
        <v>Accept</v>
      </c>
      <c r="T415" s="50"/>
      <c r="U415" s="51"/>
    </row>
    <row r="416" spans="1:21" ht="24.75" customHeight="1" x14ac:dyDescent="0.3">
      <c r="A416" s="38" t="str">
        <f>IFERROR(VLOOKUP(D416,'[1]Product Datasheet'!$A:$G,2,0),"")</f>
        <v/>
      </c>
      <c r="B416" s="39" t="str">
        <f>IFERROR(VLOOKUP(D416,'[1]Product Datasheet'!$A:$G,3,0),"")</f>
        <v/>
      </c>
      <c r="C416" s="40"/>
      <c r="D416" s="41"/>
      <c r="E416" s="41"/>
      <c r="F416" s="41"/>
      <c r="G416" s="42"/>
      <c r="H416" s="43"/>
      <c r="I416" s="42"/>
      <c r="J416" s="44"/>
      <c r="K416" s="58"/>
      <c r="L416" s="58"/>
      <c r="M416" s="45" t="str">
        <f t="shared" si="16"/>
        <v>Pass</v>
      </c>
      <c r="N416" s="46" t="str">
        <f>IFERROR(VLOOKUP(D457,'[1]Product Datasheet'!$A:$G,4,0),"")</f>
        <v/>
      </c>
      <c r="O416" s="47" t="str">
        <f>IFERROR(VLOOKUP(D457,'[1]Product Datasheet'!$A:$G,5,0),"")</f>
        <v/>
      </c>
      <c r="P416" s="47" t="str">
        <f>IFERROR(VLOOKUP(D457,'[1]Product Datasheet'!$A:$G,6,0),"")</f>
        <v/>
      </c>
      <c r="Q416" s="47" t="str">
        <f>IFERROR(VLOOKUP(D457,'[1]Product Datasheet'!$A:$G,7,0), "")</f>
        <v/>
      </c>
      <c r="R416" s="48"/>
      <c r="S416" s="49" t="str">
        <f t="shared" si="17"/>
        <v>Accept</v>
      </c>
      <c r="T416" s="50"/>
      <c r="U416" s="51"/>
    </row>
    <row r="417" spans="1:21" ht="24.75" customHeight="1" x14ac:dyDescent="0.3">
      <c r="A417" s="38" t="str">
        <f>IFERROR(VLOOKUP(D417,'[1]Product Datasheet'!$A:$G,2,0),"")</f>
        <v/>
      </c>
      <c r="B417" s="39" t="str">
        <f>IFERROR(VLOOKUP(D417,'[1]Product Datasheet'!$A:$G,3,0),"")</f>
        <v/>
      </c>
      <c r="C417" s="40"/>
      <c r="D417" s="41"/>
      <c r="E417" s="41"/>
      <c r="F417" s="41"/>
      <c r="G417" s="42"/>
      <c r="H417" s="43"/>
      <c r="I417" s="42"/>
      <c r="J417" s="44"/>
      <c r="K417" s="58"/>
      <c r="L417" s="58"/>
      <c r="M417" s="45" t="str">
        <f t="shared" si="16"/>
        <v>Pass</v>
      </c>
      <c r="N417" s="46" t="str">
        <f>IFERROR(VLOOKUP(D458,'[1]Product Datasheet'!$A:$G,4,0),"")</f>
        <v/>
      </c>
      <c r="O417" s="47" t="str">
        <f>IFERROR(VLOOKUP(D458,'[1]Product Datasheet'!$A:$G,5,0),"")</f>
        <v/>
      </c>
      <c r="P417" s="47" t="str">
        <f>IFERROR(VLOOKUP(D458,'[1]Product Datasheet'!$A:$G,6,0),"")</f>
        <v/>
      </c>
      <c r="Q417" s="47" t="str">
        <f>IFERROR(VLOOKUP(D458,'[1]Product Datasheet'!$A:$G,7,0), "")</f>
        <v/>
      </c>
      <c r="R417" s="48"/>
      <c r="S417" s="49" t="str">
        <f t="shared" si="17"/>
        <v>Accept</v>
      </c>
      <c r="T417" s="50"/>
      <c r="U417" s="51"/>
    </row>
    <row r="418" spans="1:21" ht="24.75" customHeight="1" x14ac:dyDescent="0.3">
      <c r="A418" s="38" t="str">
        <f>IFERROR(VLOOKUP(D418,'[1]Product Datasheet'!$A:$G,2,0),"")</f>
        <v/>
      </c>
      <c r="B418" s="39" t="str">
        <f>IFERROR(VLOOKUP(D418,'[1]Product Datasheet'!$A:$G,3,0),"")</f>
        <v/>
      </c>
      <c r="C418" s="40"/>
      <c r="D418" s="41"/>
      <c r="E418" s="41"/>
      <c r="F418" s="41"/>
      <c r="G418" s="42"/>
      <c r="H418" s="43"/>
      <c r="I418" s="42"/>
      <c r="J418" s="44"/>
      <c r="K418" s="58"/>
      <c r="L418" s="58"/>
      <c r="M418" s="45" t="str">
        <f t="shared" si="16"/>
        <v>Pass</v>
      </c>
      <c r="N418" s="46" t="str">
        <f>IFERROR(VLOOKUP(D459,'[1]Product Datasheet'!$A:$G,4,0),"")</f>
        <v/>
      </c>
      <c r="O418" s="47" t="str">
        <f>IFERROR(VLOOKUP(D459,'[1]Product Datasheet'!$A:$G,5,0),"")</f>
        <v/>
      </c>
      <c r="P418" s="47" t="str">
        <f>IFERROR(VLOOKUP(D459,'[1]Product Datasheet'!$A:$G,6,0),"")</f>
        <v/>
      </c>
      <c r="Q418" s="47" t="str">
        <f>IFERROR(VLOOKUP(D459,'[1]Product Datasheet'!$A:$G,7,0), "")</f>
        <v/>
      </c>
      <c r="R418" s="48"/>
      <c r="S418" s="49" t="str">
        <f t="shared" si="17"/>
        <v>Accept</v>
      </c>
      <c r="T418" s="50"/>
      <c r="U418" s="51"/>
    </row>
    <row r="419" spans="1:21" ht="24.75" customHeight="1" x14ac:dyDescent="0.3">
      <c r="A419" s="38" t="str">
        <f>IFERROR(VLOOKUP(D419,'[1]Product Datasheet'!$A:$G,2,0),"")</f>
        <v/>
      </c>
      <c r="B419" s="39" t="str">
        <f>IFERROR(VLOOKUP(D419,'[1]Product Datasheet'!$A:$G,3,0),"")</f>
        <v/>
      </c>
      <c r="C419" s="40"/>
      <c r="D419" s="41"/>
      <c r="E419" s="41"/>
      <c r="F419" s="41"/>
      <c r="G419" s="42"/>
      <c r="H419" s="43"/>
      <c r="I419" s="42"/>
      <c r="J419" s="44"/>
      <c r="K419" s="58"/>
      <c r="L419" s="58"/>
      <c r="M419" s="45" t="str">
        <f t="shared" si="16"/>
        <v>Pass</v>
      </c>
      <c r="N419" s="46" t="str">
        <f>IFERROR(VLOOKUP(D460,'[1]Product Datasheet'!$A:$G,4,0),"")</f>
        <v/>
      </c>
      <c r="O419" s="47" t="str">
        <f>IFERROR(VLOOKUP(D460,'[1]Product Datasheet'!$A:$G,5,0),"")</f>
        <v/>
      </c>
      <c r="P419" s="47" t="str">
        <f>IFERROR(VLOOKUP(D460,'[1]Product Datasheet'!$A:$G,6,0),"")</f>
        <v/>
      </c>
      <c r="Q419" s="47" t="str">
        <f>IFERROR(VLOOKUP(D460,'[1]Product Datasheet'!$A:$G,7,0), "")</f>
        <v/>
      </c>
      <c r="R419" s="48"/>
      <c r="S419" s="49" t="str">
        <f t="shared" si="17"/>
        <v>Accept</v>
      </c>
      <c r="T419" s="50"/>
      <c r="U419" s="51"/>
    </row>
    <row r="420" spans="1:21" ht="24.75" customHeight="1" x14ac:dyDescent="0.3">
      <c r="A420" s="38" t="str">
        <f>IFERROR(VLOOKUP(D420,'[1]Product Datasheet'!$A:$G,2,0),"")</f>
        <v/>
      </c>
      <c r="B420" s="39" t="str">
        <f>IFERROR(VLOOKUP(D420,'[1]Product Datasheet'!$A:$G,3,0),"")</f>
        <v/>
      </c>
      <c r="C420" s="40"/>
      <c r="D420" s="41"/>
      <c r="E420" s="41"/>
      <c r="F420" s="41"/>
      <c r="G420" s="42"/>
      <c r="H420" s="43"/>
      <c r="I420" s="42"/>
      <c r="J420" s="44"/>
      <c r="K420" s="58"/>
      <c r="L420" s="58"/>
      <c r="M420" s="45" t="str">
        <f t="shared" si="16"/>
        <v>Pass</v>
      </c>
      <c r="N420" s="46" t="str">
        <f>IFERROR(VLOOKUP(D461,'[1]Product Datasheet'!$A:$G,4,0),"")</f>
        <v/>
      </c>
      <c r="O420" s="47" t="str">
        <f>IFERROR(VLOOKUP(D461,'[1]Product Datasheet'!$A:$G,5,0),"")</f>
        <v/>
      </c>
      <c r="P420" s="47" t="str">
        <f>IFERROR(VLOOKUP(D461,'[1]Product Datasheet'!$A:$G,6,0),"")</f>
        <v/>
      </c>
      <c r="Q420" s="47" t="str">
        <f>IFERROR(VLOOKUP(D461,'[1]Product Datasheet'!$A:$G,7,0), "")</f>
        <v/>
      </c>
      <c r="R420" s="48"/>
      <c r="S420" s="49" t="str">
        <f t="shared" si="17"/>
        <v>Accept</v>
      </c>
      <c r="T420" s="50"/>
      <c r="U420" s="51"/>
    </row>
    <row r="421" spans="1:21" ht="24.75" customHeight="1" x14ac:dyDescent="0.3">
      <c r="A421" s="38" t="str">
        <f>IFERROR(VLOOKUP(D421,'[1]Product Datasheet'!$A:$G,2,0),"")</f>
        <v/>
      </c>
      <c r="B421" s="39" t="str">
        <f>IFERROR(VLOOKUP(D421,'[1]Product Datasheet'!$A:$G,3,0),"")</f>
        <v/>
      </c>
      <c r="C421" s="40"/>
      <c r="D421" s="41"/>
      <c r="E421" s="41"/>
      <c r="F421" s="41"/>
      <c r="G421" s="42"/>
      <c r="H421" s="43"/>
      <c r="I421" s="42"/>
      <c r="J421" s="44"/>
      <c r="K421" s="58"/>
      <c r="L421" s="58"/>
      <c r="M421" s="45" t="str">
        <f t="shared" si="16"/>
        <v>Pass</v>
      </c>
      <c r="N421" s="46" t="str">
        <f>IFERROR(VLOOKUP(D462,'[1]Product Datasheet'!$A:$G,4,0),"")</f>
        <v/>
      </c>
      <c r="O421" s="47" t="str">
        <f>IFERROR(VLOOKUP(D462,'[1]Product Datasheet'!$A:$G,5,0),"")</f>
        <v/>
      </c>
      <c r="P421" s="47" t="str">
        <f>IFERROR(VLOOKUP(D462,'[1]Product Datasheet'!$A:$G,6,0),"")</f>
        <v/>
      </c>
      <c r="Q421" s="47" t="str">
        <f>IFERROR(VLOOKUP(D462,'[1]Product Datasheet'!$A:$G,7,0), "")</f>
        <v/>
      </c>
      <c r="R421" s="48"/>
      <c r="S421" s="49" t="str">
        <f t="shared" si="17"/>
        <v>Accept</v>
      </c>
      <c r="T421" s="50"/>
      <c r="U421" s="51"/>
    </row>
    <row r="422" spans="1:21" ht="24.75" customHeight="1" x14ac:dyDescent="0.3">
      <c r="A422" s="38" t="str">
        <f>IFERROR(VLOOKUP(D422,'[1]Product Datasheet'!$A:$G,2,0),"")</f>
        <v/>
      </c>
      <c r="B422" s="39" t="str">
        <f>IFERROR(VLOOKUP(D422,'[1]Product Datasheet'!$A:$G,3,0),"")</f>
        <v/>
      </c>
      <c r="C422" s="40"/>
      <c r="D422" s="41"/>
      <c r="E422" s="41"/>
      <c r="F422" s="41"/>
      <c r="G422" s="42"/>
      <c r="H422" s="43"/>
      <c r="I422" s="42"/>
      <c r="J422" s="44"/>
      <c r="K422" s="58"/>
      <c r="L422" s="58"/>
      <c r="M422" s="45" t="str">
        <f t="shared" si="16"/>
        <v>Pass</v>
      </c>
      <c r="N422" s="46" t="str">
        <f>IFERROR(VLOOKUP(D463,'[1]Product Datasheet'!$A:$G,4,0),"")</f>
        <v/>
      </c>
      <c r="O422" s="47" t="str">
        <f>IFERROR(VLOOKUP(D463,'[1]Product Datasheet'!$A:$G,5,0),"")</f>
        <v/>
      </c>
      <c r="P422" s="47" t="str">
        <f>IFERROR(VLOOKUP(D463,'[1]Product Datasheet'!$A:$G,6,0),"")</f>
        <v/>
      </c>
      <c r="Q422" s="47" t="str">
        <f>IFERROR(VLOOKUP(D463,'[1]Product Datasheet'!$A:$G,7,0), "")</f>
        <v/>
      </c>
      <c r="R422" s="48"/>
      <c r="S422" s="49" t="str">
        <f t="shared" si="17"/>
        <v>Accept</v>
      </c>
      <c r="T422" s="50"/>
      <c r="U422" s="51"/>
    </row>
    <row r="423" spans="1:21" ht="24.75" customHeight="1" x14ac:dyDescent="0.3">
      <c r="A423" s="38" t="str">
        <f>IFERROR(VLOOKUP(D423,'[1]Product Datasheet'!$A:$G,2,0),"")</f>
        <v/>
      </c>
      <c r="B423" s="39" t="str">
        <f>IFERROR(VLOOKUP(D423,'[1]Product Datasheet'!$A:$G,3,0),"")</f>
        <v/>
      </c>
      <c r="C423" s="40"/>
      <c r="D423" s="41"/>
      <c r="E423" s="41"/>
      <c r="F423" s="41"/>
      <c r="G423" s="42"/>
      <c r="H423" s="43"/>
      <c r="I423" s="42"/>
      <c r="J423" s="44"/>
      <c r="K423" s="58"/>
      <c r="L423" s="58"/>
      <c r="M423" s="45" t="str">
        <f t="shared" si="16"/>
        <v>Pass</v>
      </c>
      <c r="N423" s="46" t="str">
        <f>IFERROR(VLOOKUP(D464,'[1]Product Datasheet'!$A:$G,4,0),"")</f>
        <v/>
      </c>
      <c r="O423" s="47" t="str">
        <f>IFERROR(VLOOKUP(D464,'[1]Product Datasheet'!$A:$G,5,0),"")</f>
        <v/>
      </c>
      <c r="P423" s="47" t="str">
        <f>IFERROR(VLOOKUP(D464,'[1]Product Datasheet'!$A:$G,6,0),"")</f>
        <v/>
      </c>
      <c r="Q423" s="47" t="str">
        <f>IFERROR(VLOOKUP(D464,'[1]Product Datasheet'!$A:$G,7,0), "")</f>
        <v/>
      </c>
      <c r="R423" s="48"/>
      <c r="S423" s="49" t="str">
        <f t="shared" si="17"/>
        <v>Accept</v>
      </c>
      <c r="T423" s="50"/>
      <c r="U423" s="51"/>
    </row>
    <row r="424" spans="1:21" ht="24.75" customHeight="1" x14ac:dyDescent="0.3">
      <c r="A424" s="38" t="str">
        <f>IFERROR(VLOOKUP(D424,'[1]Product Datasheet'!$A:$G,2,0),"")</f>
        <v/>
      </c>
      <c r="B424" s="39" t="str">
        <f>IFERROR(VLOOKUP(D424,'[1]Product Datasheet'!$A:$G,3,0),"")</f>
        <v/>
      </c>
      <c r="C424" s="40"/>
      <c r="D424" s="41"/>
      <c r="E424" s="41"/>
      <c r="F424" s="41"/>
      <c r="G424" s="42"/>
      <c r="H424" s="43"/>
      <c r="I424" s="42"/>
      <c r="J424" s="44"/>
      <c r="K424" s="58"/>
      <c r="L424" s="58"/>
      <c r="M424" s="45" t="str">
        <f t="shared" si="16"/>
        <v>Pass</v>
      </c>
      <c r="N424" s="46" t="str">
        <f>IFERROR(VLOOKUP(D465,'[1]Product Datasheet'!$A:$G,4,0),"")</f>
        <v/>
      </c>
      <c r="O424" s="47" t="str">
        <f>IFERROR(VLOOKUP(D465,'[1]Product Datasheet'!$A:$G,5,0),"")</f>
        <v/>
      </c>
      <c r="P424" s="47" t="str">
        <f>IFERROR(VLOOKUP(D465,'[1]Product Datasheet'!$A:$G,6,0),"")</f>
        <v/>
      </c>
      <c r="Q424" s="47" t="str">
        <f>IFERROR(VLOOKUP(D465,'[1]Product Datasheet'!$A:$G,7,0), "")</f>
        <v/>
      </c>
      <c r="R424" s="48"/>
      <c r="S424" s="49" t="str">
        <f t="shared" si="17"/>
        <v>Accept</v>
      </c>
      <c r="T424" s="50"/>
      <c r="U424" s="51"/>
    </row>
    <row r="425" spans="1:21" ht="24.75" customHeight="1" x14ac:dyDescent="0.3">
      <c r="A425" s="38" t="str">
        <f>IFERROR(VLOOKUP(D425,'[1]Product Datasheet'!$A:$G,2,0),"")</f>
        <v/>
      </c>
      <c r="B425" s="39" t="str">
        <f>IFERROR(VLOOKUP(D425,'[1]Product Datasheet'!$A:$G,3,0),"")</f>
        <v/>
      </c>
      <c r="C425" s="40"/>
      <c r="D425" s="41"/>
      <c r="E425" s="41"/>
      <c r="F425" s="41"/>
      <c r="G425" s="42"/>
      <c r="H425" s="43"/>
      <c r="I425" s="42"/>
      <c r="J425" s="44"/>
      <c r="K425" s="58"/>
      <c r="L425" s="58"/>
      <c r="M425" s="45" t="str">
        <f t="shared" si="16"/>
        <v>Pass</v>
      </c>
      <c r="N425" s="46" t="str">
        <f>IFERROR(VLOOKUP(D466,'[1]Product Datasheet'!$A:$G,4,0),"")</f>
        <v/>
      </c>
      <c r="O425" s="47" t="str">
        <f>IFERROR(VLOOKUP(D466,'[1]Product Datasheet'!$A:$G,5,0),"")</f>
        <v/>
      </c>
      <c r="P425" s="47" t="str">
        <f>IFERROR(VLOOKUP(D466,'[1]Product Datasheet'!$A:$G,6,0),"")</f>
        <v/>
      </c>
      <c r="Q425" s="47" t="str">
        <f>IFERROR(VLOOKUP(D466,'[1]Product Datasheet'!$A:$G,7,0), "")</f>
        <v/>
      </c>
      <c r="R425" s="48"/>
      <c r="S425" s="49" t="str">
        <f t="shared" si="17"/>
        <v>Accept</v>
      </c>
      <c r="T425" s="50"/>
      <c r="U425" s="51"/>
    </row>
    <row r="426" spans="1:21" ht="24.75" customHeight="1" x14ac:dyDescent="0.3">
      <c r="A426" s="38" t="str">
        <f>IFERROR(VLOOKUP(D426,'[1]Product Datasheet'!$A:$G,2,0),"")</f>
        <v/>
      </c>
      <c r="B426" s="39" t="str">
        <f>IFERROR(VLOOKUP(D426,'[1]Product Datasheet'!$A:$G,3,0),"")</f>
        <v/>
      </c>
      <c r="C426" s="40"/>
      <c r="D426" s="41"/>
      <c r="E426" s="41"/>
      <c r="F426" s="41"/>
      <c r="G426" s="42"/>
      <c r="H426" s="43"/>
      <c r="I426" s="42"/>
      <c r="J426" s="44"/>
      <c r="K426" s="58"/>
      <c r="L426" s="58"/>
      <c r="M426" s="45" t="str">
        <f t="shared" si="16"/>
        <v>Pass</v>
      </c>
      <c r="N426" s="46" t="str">
        <f>IFERROR(VLOOKUP(D467,'[1]Product Datasheet'!$A:$G,4,0),"")</f>
        <v/>
      </c>
      <c r="O426" s="47" t="str">
        <f>IFERROR(VLOOKUP(D467,'[1]Product Datasheet'!$A:$G,5,0),"")</f>
        <v/>
      </c>
      <c r="P426" s="47" t="str">
        <f>IFERROR(VLOOKUP(D467,'[1]Product Datasheet'!$A:$G,6,0),"")</f>
        <v/>
      </c>
      <c r="Q426" s="47" t="str">
        <f>IFERROR(VLOOKUP(D467,'[1]Product Datasheet'!$A:$G,7,0), "")</f>
        <v/>
      </c>
      <c r="R426" s="48"/>
      <c r="S426" s="49" t="str">
        <f t="shared" si="17"/>
        <v>Accept</v>
      </c>
      <c r="T426" s="50"/>
      <c r="U426" s="51"/>
    </row>
    <row r="427" spans="1:21" ht="24.75" customHeight="1" x14ac:dyDescent="0.3">
      <c r="A427" s="38" t="str">
        <f>IFERROR(VLOOKUP(D427,'[1]Product Datasheet'!$A:$G,2,0),"")</f>
        <v/>
      </c>
      <c r="B427" s="39" t="str">
        <f>IFERROR(VLOOKUP(D427,'[1]Product Datasheet'!$A:$G,3,0),"")</f>
        <v/>
      </c>
      <c r="C427" s="40"/>
      <c r="D427" s="41"/>
      <c r="E427" s="41"/>
      <c r="F427" s="41"/>
      <c r="G427" s="42"/>
      <c r="H427" s="43"/>
      <c r="I427" s="42"/>
      <c r="J427" s="44"/>
      <c r="K427" s="58"/>
      <c r="L427" s="58"/>
      <c r="M427" s="45" t="str">
        <f t="shared" si="16"/>
        <v>Pass</v>
      </c>
      <c r="N427" s="46" t="str">
        <f>IFERROR(VLOOKUP(D468,'[1]Product Datasheet'!$A:$G,4,0),"")</f>
        <v/>
      </c>
      <c r="O427" s="47" t="str">
        <f>IFERROR(VLOOKUP(D468,'[1]Product Datasheet'!$A:$G,5,0),"")</f>
        <v/>
      </c>
      <c r="P427" s="47" t="str">
        <f>IFERROR(VLOOKUP(D468,'[1]Product Datasheet'!$A:$G,6,0),"")</f>
        <v/>
      </c>
      <c r="Q427" s="47" t="str">
        <f>IFERROR(VLOOKUP(D468,'[1]Product Datasheet'!$A:$G,7,0), "")</f>
        <v/>
      </c>
      <c r="R427" s="48"/>
      <c r="S427" s="49" t="str">
        <f t="shared" si="17"/>
        <v>Accept</v>
      </c>
      <c r="T427" s="50"/>
      <c r="U427" s="51"/>
    </row>
    <row r="428" spans="1:21" ht="24.75" customHeight="1" x14ac:dyDescent="0.3">
      <c r="A428" s="38" t="str">
        <f>IFERROR(VLOOKUP(D428,'[1]Product Datasheet'!$A:$G,2,0),"")</f>
        <v/>
      </c>
      <c r="B428" s="39" t="str">
        <f>IFERROR(VLOOKUP(D428,'[1]Product Datasheet'!$A:$G,3,0),"")</f>
        <v/>
      </c>
      <c r="C428" s="40"/>
      <c r="D428" s="41"/>
      <c r="E428" s="41"/>
      <c r="F428" s="41"/>
      <c r="G428" s="42"/>
      <c r="H428" s="43"/>
      <c r="I428" s="42"/>
      <c r="J428" s="44"/>
      <c r="K428" s="58"/>
      <c r="L428" s="58"/>
      <c r="M428" s="45" t="str">
        <f t="shared" si="16"/>
        <v>Pass</v>
      </c>
      <c r="N428" s="46" t="str">
        <f>IFERROR(VLOOKUP(D469,'[1]Product Datasheet'!$A:$G,4,0),"")</f>
        <v/>
      </c>
      <c r="O428" s="47" t="str">
        <f>IFERROR(VLOOKUP(D469,'[1]Product Datasheet'!$A:$G,5,0),"")</f>
        <v/>
      </c>
      <c r="P428" s="47" t="str">
        <f>IFERROR(VLOOKUP(D469,'[1]Product Datasheet'!$A:$G,6,0),"")</f>
        <v/>
      </c>
      <c r="Q428" s="47" t="str">
        <f>IFERROR(VLOOKUP(D469,'[1]Product Datasheet'!$A:$G,7,0), "")</f>
        <v/>
      </c>
      <c r="R428" s="48"/>
      <c r="S428" s="49" t="str">
        <f t="shared" si="17"/>
        <v>Accept</v>
      </c>
      <c r="T428" s="50"/>
      <c r="U428" s="51"/>
    </row>
    <row r="429" spans="1:21" ht="24.75" customHeight="1" x14ac:dyDescent="0.3">
      <c r="A429" s="38" t="str">
        <f>IFERROR(VLOOKUP(D429,'[1]Product Datasheet'!$A:$G,2,0),"")</f>
        <v/>
      </c>
      <c r="B429" s="39" t="str">
        <f>IFERROR(VLOOKUP(D429,'[1]Product Datasheet'!$A:$G,3,0),"")</f>
        <v/>
      </c>
      <c r="C429" s="40"/>
      <c r="D429" s="41"/>
      <c r="E429" s="41"/>
      <c r="F429" s="41"/>
      <c r="G429" s="42"/>
      <c r="H429" s="43"/>
      <c r="I429" s="42"/>
      <c r="J429" s="44"/>
      <c r="K429" s="58"/>
      <c r="L429" s="58"/>
      <c r="M429" s="45" t="str">
        <f t="shared" si="16"/>
        <v>Pass</v>
      </c>
      <c r="N429" s="46" t="str">
        <f>IFERROR(VLOOKUP(D470,'[1]Product Datasheet'!$A:$G,4,0),"")</f>
        <v/>
      </c>
      <c r="O429" s="47" t="str">
        <f>IFERROR(VLOOKUP(D470,'[1]Product Datasheet'!$A:$G,5,0),"")</f>
        <v/>
      </c>
      <c r="P429" s="47" t="str">
        <f>IFERROR(VLOOKUP(D470,'[1]Product Datasheet'!$A:$G,6,0),"")</f>
        <v/>
      </c>
      <c r="Q429" s="47" t="str">
        <f>IFERROR(VLOOKUP(D470,'[1]Product Datasheet'!$A:$G,7,0), "")</f>
        <v/>
      </c>
      <c r="R429" s="48"/>
      <c r="S429" s="49" t="str">
        <f t="shared" si="17"/>
        <v>Accept</v>
      </c>
      <c r="T429" s="50"/>
      <c r="U429" s="51"/>
    </row>
    <row r="430" spans="1:21" ht="24.75" customHeight="1" x14ac:dyDescent="0.3">
      <c r="A430" s="38" t="str">
        <f>IFERROR(VLOOKUP(D430,'[1]Product Datasheet'!$A:$G,2,0),"")</f>
        <v/>
      </c>
      <c r="B430" s="39" t="str">
        <f>IFERROR(VLOOKUP(D430,'[1]Product Datasheet'!$A:$G,3,0),"")</f>
        <v/>
      </c>
      <c r="C430" s="40"/>
      <c r="D430" s="41"/>
      <c r="E430" s="41"/>
      <c r="F430" s="41"/>
      <c r="G430" s="42"/>
      <c r="H430" s="43"/>
      <c r="I430" s="42"/>
      <c r="J430" s="44"/>
      <c r="K430" s="58"/>
      <c r="L430" s="58"/>
      <c r="M430" s="45" t="str">
        <f t="shared" si="16"/>
        <v>Pass</v>
      </c>
      <c r="N430" s="46" t="str">
        <f>IFERROR(VLOOKUP(D471,'[1]Product Datasheet'!$A:$G,4,0),"")</f>
        <v/>
      </c>
      <c r="O430" s="47" t="str">
        <f>IFERROR(VLOOKUP(D471,'[1]Product Datasheet'!$A:$G,5,0),"")</f>
        <v/>
      </c>
      <c r="P430" s="47" t="str">
        <f>IFERROR(VLOOKUP(D471,'[1]Product Datasheet'!$A:$G,6,0),"")</f>
        <v/>
      </c>
      <c r="Q430" s="47" t="str">
        <f>IFERROR(VLOOKUP(D471,'[1]Product Datasheet'!$A:$G,7,0), "")</f>
        <v/>
      </c>
      <c r="R430" s="48"/>
      <c r="S430" s="49" t="str">
        <f t="shared" si="17"/>
        <v>Accept</v>
      </c>
      <c r="T430" s="50"/>
      <c r="U430" s="51"/>
    </row>
    <row r="431" spans="1:21" ht="24.75" customHeight="1" x14ac:dyDescent="0.3">
      <c r="A431" s="38" t="str">
        <f>IFERROR(VLOOKUP(D431,'[1]Product Datasheet'!$A:$G,2,0),"")</f>
        <v/>
      </c>
      <c r="B431" s="39" t="str">
        <f>IFERROR(VLOOKUP(D431,'[1]Product Datasheet'!$A:$G,3,0),"")</f>
        <v/>
      </c>
      <c r="C431" s="40"/>
      <c r="D431" s="41"/>
      <c r="E431" s="41"/>
      <c r="F431" s="41"/>
      <c r="G431" s="42"/>
      <c r="H431" s="43"/>
      <c r="I431" s="42"/>
      <c r="J431" s="44"/>
      <c r="K431" s="58"/>
      <c r="L431" s="58"/>
      <c r="M431" s="45" t="str">
        <f t="shared" si="16"/>
        <v>Pass</v>
      </c>
      <c r="N431" s="46" t="str">
        <f>IFERROR(VLOOKUP(D472,'[1]Product Datasheet'!$A:$G,4,0),"")</f>
        <v/>
      </c>
      <c r="O431" s="47" t="str">
        <f>IFERROR(VLOOKUP(D472,'[1]Product Datasheet'!$A:$G,5,0),"")</f>
        <v/>
      </c>
      <c r="P431" s="47" t="str">
        <f>IFERROR(VLOOKUP(D472,'[1]Product Datasheet'!$A:$G,6,0),"")</f>
        <v/>
      </c>
      <c r="Q431" s="47" t="str">
        <f>IFERROR(VLOOKUP(D472,'[1]Product Datasheet'!$A:$G,7,0), "")</f>
        <v/>
      </c>
      <c r="R431" s="48"/>
      <c r="S431" s="49" t="str">
        <f t="shared" si="17"/>
        <v>Accept</v>
      </c>
      <c r="T431" s="50"/>
      <c r="U431" s="51"/>
    </row>
    <row r="432" spans="1:21" ht="24.75" customHeight="1" x14ac:dyDescent="0.3">
      <c r="A432" s="38" t="str">
        <f>IFERROR(VLOOKUP(D432,'[1]Product Datasheet'!$A:$G,2,0),"")</f>
        <v/>
      </c>
      <c r="B432" s="39" t="str">
        <f>IFERROR(VLOOKUP(D432,'[1]Product Datasheet'!$A:$G,3,0),"")</f>
        <v/>
      </c>
      <c r="C432" s="40"/>
      <c r="D432" s="41"/>
      <c r="E432" s="41"/>
      <c r="F432" s="41"/>
      <c r="G432" s="42"/>
      <c r="H432" s="43"/>
      <c r="I432" s="42"/>
      <c r="J432" s="44"/>
      <c r="K432" s="58"/>
      <c r="L432" s="58"/>
      <c r="M432" s="45" t="str">
        <f t="shared" ref="M432:M456" si="18">IF(AND(G473&lt;=O432,G473&gt;=N432,H473&lt;=Q432,H473&gt;=P432),"Pass","Fail")</f>
        <v>Pass</v>
      </c>
      <c r="N432" s="46" t="str">
        <f>IFERROR(VLOOKUP(D473,'[1]Product Datasheet'!$A:$G,4,0),"")</f>
        <v/>
      </c>
      <c r="O432" s="47" t="str">
        <f>IFERROR(VLOOKUP(D473,'[1]Product Datasheet'!$A:$G,5,0),"")</f>
        <v/>
      </c>
      <c r="P432" s="47" t="str">
        <f>IFERROR(VLOOKUP(D473,'[1]Product Datasheet'!$A:$G,6,0),"")</f>
        <v/>
      </c>
      <c r="Q432" s="47" t="str">
        <f>IFERROR(VLOOKUP(D473,'[1]Product Datasheet'!$A:$G,7,0), "")</f>
        <v/>
      </c>
      <c r="R432" s="48"/>
      <c r="S432" s="49" t="str">
        <f t="shared" ref="S432:S456" si="19">IFERROR(IF(AND(ROUND(H473, 2)&lt;=Q432, ROUND(G473,1)&lt;=O432), "Accept", "Reject"),"Reject")</f>
        <v>Accept</v>
      </c>
      <c r="T432" s="50"/>
      <c r="U432" s="51"/>
    </row>
    <row r="433" spans="1:21" ht="24.75" customHeight="1" x14ac:dyDescent="0.3">
      <c r="A433" s="38" t="str">
        <f>IFERROR(VLOOKUP(D433,'[1]Product Datasheet'!$A:$G,2,0),"")</f>
        <v/>
      </c>
      <c r="B433" s="39" t="str">
        <f>IFERROR(VLOOKUP(D433,'[1]Product Datasheet'!$A:$G,3,0),"")</f>
        <v/>
      </c>
      <c r="C433" s="40"/>
      <c r="D433" s="41"/>
      <c r="E433" s="41"/>
      <c r="F433" s="41"/>
      <c r="G433" s="42"/>
      <c r="H433" s="43"/>
      <c r="I433" s="42"/>
      <c r="J433" s="44"/>
      <c r="K433" s="58"/>
      <c r="L433" s="58"/>
      <c r="M433" s="45" t="str">
        <f t="shared" si="18"/>
        <v>Pass</v>
      </c>
      <c r="N433" s="46" t="str">
        <f>IFERROR(VLOOKUP(D474,'[1]Product Datasheet'!$A:$G,4,0),"")</f>
        <v/>
      </c>
      <c r="O433" s="47" t="str">
        <f>IFERROR(VLOOKUP(D474,'[1]Product Datasheet'!$A:$G,5,0),"")</f>
        <v/>
      </c>
      <c r="P433" s="47" t="str">
        <f>IFERROR(VLOOKUP(D474,'[1]Product Datasheet'!$A:$G,6,0),"")</f>
        <v/>
      </c>
      <c r="Q433" s="47" t="str">
        <f>IFERROR(VLOOKUP(D474,'[1]Product Datasheet'!$A:$G,7,0), "")</f>
        <v/>
      </c>
      <c r="R433" s="48"/>
      <c r="S433" s="49" t="str">
        <f t="shared" si="19"/>
        <v>Accept</v>
      </c>
      <c r="T433" s="50"/>
      <c r="U433" s="51"/>
    </row>
    <row r="434" spans="1:21" ht="24.75" customHeight="1" x14ac:dyDescent="0.3">
      <c r="A434" s="38" t="str">
        <f>IFERROR(VLOOKUP(D434,'[1]Product Datasheet'!$A:$G,2,0),"")</f>
        <v/>
      </c>
      <c r="B434" s="39" t="str">
        <f>IFERROR(VLOOKUP(D434,'[1]Product Datasheet'!$A:$G,3,0),"")</f>
        <v/>
      </c>
      <c r="C434" s="40"/>
      <c r="D434" s="41"/>
      <c r="E434" s="41"/>
      <c r="F434" s="41"/>
      <c r="G434" s="42"/>
      <c r="H434" s="43"/>
      <c r="I434" s="42"/>
      <c r="J434" s="44"/>
      <c r="K434" s="58"/>
      <c r="L434" s="58"/>
      <c r="M434" s="45" t="str">
        <f t="shared" si="18"/>
        <v>Pass</v>
      </c>
      <c r="N434" s="46" t="str">
        <f>IFERROR(VLOOKUP(D475,'[1]Product Datasheet'!$A:$G,4,0),"")</f>
        <v/>
      </c>
      <c r="O434" s="47" t="str">
        <f>IFERROR(VLOOKUP(D475,'[1]Product Datasheet'!$A:$G,5,0),"")</f>
        <v/>
      </c>
      <c r="P434" s="47" t="str">
        <f>IFERROR(VLOOKUP(D475,'[1]Product Datasheet'!$A:$G,6,0),"")</f>
        <v/>
      </c>
      <c r="Q434" s="47" t="str">
        <f>IFERROR(VLOOKUP(D475,'[1]Product Datasheet'!$A:$G,7,0), "")</f>
        <v/>
      </c>
      <c r="R434" s="48"/>
      <c r="S434" s="49" t="str">
        <f t="shared" si="19"/>
        <v>Accept</v>
      </c>
      <c r="T434" s="50"/>
      <c r="U434" s="51"/>
    </row>
    <row r="435" spans="1:21" ht="24.75" customHeight="1" x14ac:dyDescent="0.3">
      <c r="A435" s="38" t="str">
        <f>IFERROR(VLOOKUP(D435,'[1]Product Datasheet'!$A:$G,2,0),"")</f>
        <v/>
      </c>
      <c r="B435" s="39" t="str">
        <f>IFERROR(VLOOKUP(D435,'[1]Product Datasheet'!$A:$G,3,0),"")</f>
        <v/>
      </c>
      <c r="C435" s="40"/>
      <c r="D435" s="41"/>
      <c r="E435" s="41"/>
      <c r="F435" s="41"/>
      <c r="G435" s="42"/>
      <c r="H435" s="43"/>
      <c r="I435" s="42"/>
      <c r="J435" s="44"/>
      <c r="K435" s="58"/>
      <c r="L435" s="58"/>
      <c r="M435" s="45" t="str">
        <f t="shared" si="18"/>
        <v>Pass</v>
      </c>
      <c r="N435" s="46" t="str">
        <f>IFERROR(VLOOKUP(D476,'[1]Product Datasheet'!$A:$G,4,0),"")</f>
        <v/>
      </c>
      <c r="O435" s="47" t="str">
        <f>IFERROR(VLOOKUP(D476,'[1]Product Datasheet'!$A:$G,5,0),"")</f>
        <v/>
      </c>
      <c r="P435" s="47" t="str">
        <f>IFERROR(VLOOKUP(D476,'[1]Product Datasheet'!$A:$G,6,0),"")</f>
        <v/>
      </c>
      <c r="Q435" s="47" t="str">
        <f>IFERROR(VLOOKUP(D476,'[1]Product Datasheet'!$A:$G,7,0), "")</f>
        <v/>
      </c>
      <c r="R435" s="48"/>
      <c r="S435" s="49" t="str">
        <f t="shared" si="19"/>
        <v>Accept</v>
      </c>
      <c r="T435" s="50"/>
      <c r="U435" s="51"/>
    </row>
    <row r="436" spans="1:21" ht="24.75" customHeight="1" x14ac:dyDescent="0.3">
      <c r="A436" s="38" t="str">
        <f>IFERROR(VLOOKUP(D436,'[1]Product Datasheet'!$A:$G,2,0),"")</f>
        <v/>
      </c>
      <c r="B436" s="39" t="str">
        <f>IFERROR(VLOOKUP(D436,'[1]Product Datasheet'!$A:$G,3,0),"")</f>
        <v/>
      </c>
      <c r="C436" s="40"/>
      <c r="D436" s="41"/>
      <c r="E436" s="41"/>
      <c r="F436" s="41"/>
      <c r="G436" s="42"/>
      <c r="H436" s="43"/>
      <c r="I436" s="42"/>
      <c r="J436" s="44"/>
      <c r="K436" s="58"/>
      <c r="L436" s="58"/>
      <c r="M436" s="45" t="str">
        <f t="shared" si="18"/>
        <v>Pass</v>
      </c>
      <c r="N436" s="46" t="str">
        <f>IFERROR(VLOOKUP(D477,'[1]Product Datasheet'!$A:$G,4,0),"")</f>
        <v/>
      </c>
      <c r="O436" s="47" t="str">
        <f>IFERROR(VLOOKUP(D477,'[1]Product Datasheet'!$A:$G,5,0),"")</f>
        <v/>
      </c>
      <c r="P436" s="47" t="str">
        <f>IFERROR(VLOOKUP(D477,'[1]Product Datasheet'!$A:$G,6,0),"")</f>
        <v/>
      </c>
      <c r="Q436" s="47" t="str">
        <f>IFERROR(VLOOKUP(D477,'[1]Product Datasheet'!$A:$G,7,0), "")</f>
        <v/>
      </c>
      <c r="R436" s="48"/>
      <c r="S436" s="49" t="str">
        <f t="shared" si="19"/>
        <v>Accept</v>
      </c>
      <c r="T436" s="50"/>
      <c r="U436" s="51"/>
    </row>
    <row r="437" spans="1:21" ht="24.75" customHeight="1" x14ac:dyDescent="0.3">
      <c r="A437" s="38" t="str">
        <f>IFERROR(VLOOKUP(D437,'[1]Product Datasheet'!$A:$G,2,0),"")</f>
        <v/>
      </c>
      <c r="B437" s="39" t="str">
        <f>IFERROR(VLOOKUP(D437,'[1]Product Datasheet'!$A:$G,3,0),"")</f>
        <v/>
      </c>
      <c r="C437" s="40"/>
      <c r="D437" s="41"/>
      <c r="E437" s="41"/>
      <c r="F437" s="41"/>
      <c r="G437" s="42"/>
      <c r="H437" s="43"/>
      <c r="I437" s="42"/>
      <c r="J437" s="44"/>
      <c r="K437" s="58"/>
      <c r="L437" s="58"/>
      <c r="M437" s="45" t="str">
        <f t="shared" si="18"/>
        <v>Pass</v>
      </c>
      <c r="N437" s="46" t="str">
        <f>IFERROR(VLOOKUP(D478,'[1]Product Datasheet'!$A:$G,4,0),"")</f>
        <v/>
      </c>
      <c r="O437" s="47" t="str">
        <f>IFERROR(VLOOKUP(D478,'[1]Product Datasheet'!$A:$G,5,0),"")</f>
        <v/>
      </c>
      <c r="P437" s="47" t="str">
        <f>IFERROR(VLOOKUP(D478,'[1]Product Datasheet'!$A:$G,6,0),"")</f>
        <v/>
      </c>
      <c r="Q437" s="47" t="str">
        <f>IFERROR(VLOOKUP(D478,'[1]Product Datasheet'!$A:$G,7,0), "")</f>
        <v/>
      </c>
      <c r="R437" s="48"/>
      <c r="S437" s="49" t="str">
        <f t="shared" si="19"/>
        <v>Accept</v>
      </c>
      <c r="T437" s="50"/>
      <c r="U437" s="51"/>
    </row>
    <row r="438" spans="1:21" ht="24.75" customHeight="1" x14ac:dyDescent="0.3">
      <c r="A438" s="38" t="str">
        <f>IFERROR(VLOOKUP(D438,'[1]Product Datasheet'!$A:$G,2,0),"")</f>
        <v/>
      </c>
      <c r="B438" s="39" t="str">
        <f>IFERROR(VLOOKUP(D438,'[1]Product Datasheet'!$A:$G,3,0),"")</f>
        <v/>
      </c>
      <c r="C438" s="40"/>
      <c r="D438" s="41"/>
      <c r="E438" s="41"/>
      <c r="F438" s="41"/>
      <c r="G438" s="42"/>
      <c r="H438" s="43"/>
      <c r="I438" s="42"/>
      <c r="J438" s="44"/>
      <c r="K438" s="58"/>
      <c r="L438" s="58"/>
      <c r="M438" s="45" t="str">
        <f t="shared" si="18"/>
        <v>Pass</v>
      </c>
      <c r="N438" s="46" t="str">
        <f>IFERROR(VLOOKUP(D479,'[1]Product Datasheet'!$A:$G,4,0),"")</f>
        <v/>
      </c>
      <c r="O438" s="47" t="str">
        <f>IFERROR(VLOOKUP(D479,'[1]Product Datasheet'!$A:$G,5,0),"")</f>
        <v/>
      </c>
      <c r="P438" s="47" t="str">
        <f>IFERROR(VLOOKUP(D479,'[1]Product Datasheet'!$A:$G,6,0),"")</f>
        <v/>
      </c>
      <c r="Q438" s="47" t="str">
        <f>IFERROR(VLOOKUP(D479,'[1]Product Datasheet'!$A:$G,7,0), "")</f>
        <v/>
      </c>
      <c r="R438" s="48"/>
      <c r="S438" s="49" t="str">
        <f t="shared" si="19"/>
        <v>Accept</v>
      </c>
      <c r="T438" s="50"/>
      <c r="U438" s="51"/>
    </row>
    <row r="439" spans="1:21" ht="24.75" customHeight="1" x14ac:dyDescent="0.3">
      <c r="A439" s="38" t="str">
        <f>IFERROR(VLOOKUP(D439,'[1]Product Datasheet'!$A:$G,2,0),"")</f>
        <v/>
      </c>
      <c r="B439" s="39" t="str">
        <f>IFERROR(VLOOKUP(D439,'[1]Product Datasheet'!$A:$G,3,0),"")</f>
        <v/>
      </c>
      <c r="C439" s="40"/>
      <c r="D439" s="41"/>
      <c r="E439" s="41"/>
      <c r="F439" s="41"/>
      <c r="G439" s="42"/>
      <c r="H439" s="43"/>
      <c r="I439" s="42"/>
      <c r="J439" s="44"/>
      <c r="K439" s="58"/>
      <c r="L439" s="58"/>
      <c r="M439" s="45" t="str">
        <f t="shared" si="18"/>
        <v>Pass</v>
      </c>
      <c r="N439" s="46" t="str">
        <f>IFERROR(VLOOKUP(D480,'[1]Product Datasheet'!$A:$G,4,0),"")</f>
        <v/>
      </c>
      <c r="O439" s="47" t="str">
        <f>IFERROR(VLOOKUP(D480,'[1]Product Datasheet'!$A:$G,5,0),"")</f>
        <v/>
      </c>
      <c r="P439" s="47" t="str">
        <f>IFERROR(VLOOKUP(D480,'[1]Product Datasheet'!$A:$G,6,0),"")</f>
        <v/>
      </c>
      <c r="Q439" s="47" t="str">
        <f>IFERROR(VLOOKUP(D480,'[1]Product Datasheet'!$A:$G,7,0), "")</f>
        <v/>
      </c>
      <c r="R439" s="48"/>
      <c r="S439" s="49" t="str">
        <f t="shared" si="19"/>
        <v>Accept</v>
      </c>
      <c r="T439" s="50"/>
      <c r="U439" s="51"/>
    </row>
    <row r="440" spans="1:21" ht="24.75" customHeight="1" x14ac:dyDescent="0.3">
      <c r="A440" s="38" t="str">
        <f>IFERROR(VLOOKUP(D440,'[1]Product Datasheet'!$A:$G,2,0),"")</f>
        <v/>
      </c>
      <c r="B440" s="39" t="str">
        <f>IFERROR(VLOOKUP(D440,'[1]Product Datasheet'!$A:$G,3,0),"")</f>
        <v/>
      </c>
      <c r="C440" s="40"/>
      <c r="D440" s="41"/>
      <c r="E440" s="41"/>
      <c r="F440" s="41"/>
      <c r="G440" s="42"/>
      <c r="H440" s="43"/>
      <c r="I440" s="42"/>
      <c r="J440" s="44"/>
      <c r="K440" s="58"/>
      <c r="L440" s="58"/>
      <c r="M440" s="45" t="str">
        <f t="shared" si="18"/>
        <v>Pass</v>
      </c>
      <c r="N440" s="46" t="str">
        <f>IFERROR(VLOOKUP(D481,'[1]Product Datasheet'!$A:$G,4,0),"")</f>
        <v/>
      </c>
      <c r="O440" s="47" t="str">
        <f>IFERROR(VLOOKUP(D481,'[1]Product Datasheet'!$A:$G,5,0),"")</f>
        <v/>
      </c>
      <c r="P440" s="47" t="str">
        <f>IFERROR(VLOOKUP(D481,'[1]Product Datasheet'!$A:$G,6,0),"")</f>
        <v/>
      </c>
      <c r="Q440" s="47" t="str">
        <f>IFERROR(VLOOKUP(D481,'[1]Product Datasheet'!$A:$G,7,0), "")</f>
        <v/>
      </c>
      <c r="R440" s="48"/>
      <c r="S440" s="49" t="str">
        <f t="shared" si="19"/>
        <v>Accept</v>
      </c>
      <c r="T440" s="50"/>
      <c r="U440" s="51"/>
    </row>
    <row r="441" spans="1:21" ht="24.75" customHeight="1" x14ac:dyDescent="0.3">
      <c r="A441" s="38" t="str">
        <f>IFERROR(VLOOKUP(D441,'[1]Product Datasheet'!$A:$G,2,0),"")</f>
        <v/>
      </c>
      <c r="B441" s="39" t="str">
        <f>IFERROR(VLOOKUP(D441,'[1]Product Datasheet'!$A:$G,3,0),"")</f>
        <v/>
      </c>
      <c r="C441" s="40"/>
      <c r="D441" s="41"/>
      <c r="E441" s="41"/>
      <c r="F441" s="41"/>
      <c r="G441" s="42"/>
      <c r="H441" s="43"/>
      <c r="I441" s="42"/>
      <c r="J441" s="44"/>
      <c r="K441" s="58"/>
      <c r="L441" s="58"/>
      <c r="M441" s="45" t="str">
        <f t="shared" si="18"/>
        <v>Pass</v>
      </c>
      <c r="N441" s="46" t="str">
        <f>IFERROR(VLOOKUP(D482,'[1]Product Datasheet'!$A:$G,4,0),"")</f>
        <v/>
      </c>
      <c r="O441" s="47" t="str">
        <f>IFERROR(VLOOKUP(D482,'[1]Product Datasheet'!$A:$G,5,0),"")</f>
        <v/>
      </c>
      <c r="P441" s="47" t="str">
        <f>IFERROR(VLOOKUP(D482,'[1]Product Datasheet'!$A:$G,6,0),"")</f>
        <v/>
      </c>
      <c r="Q441" s="47" t="str">
        <f>IFERROR(VLOOKUP(D482,'[1]Product Datasheet'!$A:$G,7,0), "")</f>
        <v/>
      </c>
      <c r="R441" s="48"/>
      <c r="S441" s="49" t="str">
        <f t="shared" si="19"/>
        <v>Accept</v>
      </c>
      <c r="T441" s="50"/>
      <c r="U441" s="51"/>
    </row>
    <row r="442" spans="1:21" ht="24.75" customHeight="1" x14ac:dyDescent="0.3">
      <c r="A442" s="38" t="str">
        <f>IFERROR(VLOOKUP(D442,'[1]Product Datasheet'!$A:$G,2,0),"")</f>
        <v/>
      </c>
      <c r="B442" s="39" t="str">
        <f>IFERROR(VLOOKUP(D442,'[1]Product Datasheet'!$A:$G,3,0),"")</f>
        <v/>
      </c>
      <c r="C442" s="40"/>
      <c r="D442" s="41"/>
      <c r="E442" s="41"/>
      <c r="F442" s="41"/>
      <c r="G442" s="42"/>
      <c r="H442" s="43"/>
      <c r="I442" s="42"/>
      <c r="J442" s="44"/>
      <c r="K442" s="58"/>
      <c r="L442" s="58"/>
      <c r="M442" s="45" t="str">
        <f t="shared" si="18"/>
        <v>Pass</v>
      </c>
      <c r="N442" s="46" t="str">
        <f>IFERROR(VLOOKUP(D483,'[1]Product Datasheet'!$A:$G,4,0),"")</f>
        <v/>
      </c>
      <c r="O442" s="47" t="str">
        <f>IFERROR(VLOOKUP(D483,'[1]Product Datasheet'!$A:$G,5,0),"")</f>
        <v/>
      </c>
      <c r="P442" s="47" t="str">
        <f>IFERROR(VLOOKUP(D483,'[1]Product Datasheet'!$A:$G,6,0),"")</f>
        <v/>
      </c>
      <c r="Q442" s="47" t="str">
        <f>IFERROR(VLOOKUP(D483,'[1]Product Datasheet'!$A:$G,7,0), "")</f>
        <v/>
      </c>
      <c r="R442" s="48"/>
      <c r="S442" s="49" t="str">
        <f t="shared" si="19"/>
        <v>Accept</v>
      </c>
      <c r="T442" s="50"/>
      <c r="U442" s="51"/>
    </row>
    <row r="443" spans="1:21" ht="24.75" customHeight="1" x14ac:dyDescent="0.3">
      <c r="A443" s="38" t="str">
        <f>IFERROR(VLOOKUP(D443,'[1]Product Datasheet'!$A:$G,2,0),"")</f>
        <v/>
      </c>
      <c r="B443" s="39" t="str">
        <f>IFERROR(VLOOKUP(D443,'[1]Product Datasheet'!$A:$G,3,0),"")</f>
        <v/>
      </c>
      <c r="C443" s="40"/>
      <c r="D443" s="41"/>
      <c r="E443" s="41"/>
      <c r="F443" s="41"/>
      <c r="G443" s="42"/>
      <c r="H443" s="43"/>
      <c r="I443" s="42"/>
      <c r="J443" s="44"/>
      <c r="K443" s="58"/>
      <c r="L443" s="58"/>
      <c r="M443" s="45" t="str">
        <f t="shared" si="18"/>
        <v>Pass</v>
      </c>
      <c r="N443" s="46" t="str">
        <f>IFERROR(VLOOKUP(D484,'[1]Product Datasheet'!$A:$G,4,0),"")</f>
        <v/>
      </c>
      <c r="O443" s="47" t="str">
        <f>IFERROR(VLOOKUP(D484,'[1]Product Datasheet'!$A:$G,5,0),"")</f>
        <v/>
      </c>
      <c r="P443" s="47" t="str">
        <f>IFERROR(VLOOKUP(D484,'[1]Product Datasheet'!$A:$G,6,0),"")</f>
        <v/>
      </c>
      <c r="Q443" s="47" t="str">
        <f>IFERROR(VLOOKUP(D484,'[1]Product Datasheet'!$A:$G,7,0), "")</f>
        <v/>
      </c>
      <c r="R443" s="48"/>
      <c r="S443" s="49" t="str">
        <f t="shared" si="19"/>
        <v>Accept</v>
      </c>
      <c r="T443" s="50"/>
      <c r="U443" s="51"/>
    </row>
    <row r="444" spans="1:21" ht="24.75" customHeight="1" x14ac:dyDescent="0.3">
      <c r="A444" s="38" t="str">
        <f>IFERROR(VLOOKUP(D444,'[1]Product Datasheet'!$A:$G,2,0),"")</f>
        <v/>
      </c>
      <c r="B444" s="39" t="str">
        <f>IFERROR(VLOOKUP(D444,'[1]Product Datasheet'!$A:$G,3,0),"")</f>
        <v/>
      </c>
      <c r="C444" s="40"/>
      <c r="D444" s="41"/>
      <c r="E444" s="41"/>
      <c r="F444" s="41"/>
      <c r="G444" s="42"/>
      <c r="H444" s="43"/>
      <c r="I444" s="42"/>
      <c r="J444" s="44"/>
      <c r="K444" s="58"/>
      <c r="L444" s="58"/>
      <c r="M444" s="45" t="str">
        <f t="shared" si="18"/>
        <v>Pass</v>
      </c>
      <c r="N444" s="46" t="str">
        <f>IFERROR(VLOOKUP(D485,'[1]Product Datasheet'!$A:$G,4,0),"")</f>
        <v/>
      </c>
      <c r="O444" s="47" t="str">
        <f>IFERROR(VLOOKUP(D485,'[1]Product Datasheet'!$A:$G,5,0),"")</f>
        <v/>
      </c>
      <c r="P444" s="47" t="str">
        <f>IFERROR(VLOOKUP(D485,'[1]Product Datasheet'!$A:$G,6,0),"")</f>
        <v/>
      </c>
      <c r="Q444" s="47" t="str">
        <f>IFERROR(VLOOKUP(D485,'[1]Product Datasheet'!$A:$G,7,0), "")</f>
        <v/>
      </c>
      <c r="R444" s="48"/>
      <c r="S444" s="49" t="str">
        <f t="shared" si="19"/>
        <v>Accept</v>
      </c>
      <c r="T444" s="50"/>
      <c r="U444" s="51"/>
    </row>
    <row r="445" spans="1:21" ht="24.75" customHeight="1" x14ac:dyDescent="0.3">
      <c r="A445" s="38" t="str">
        <f>IFERROR(VLOOKUP(D445,'[1]Product Datasheet'!$A:$G,2,0),"")</f>
        <v/>
      </c>
      <c r="B445" s="39" t="str">
        <f>IFERROR(VLOOKUP(D445,'[1]Product Datasheet'!$A:$G,3,0),"")</f>
        <v/>
      </c>
      <c r="C445" s="40"/>
      <c r="D445" s="41"/>
      <c r="E445" s="41"/>
      <c r="F445" s="41"/>
      <c r="G445" s="42"/>
      <c r="H445" s="43"/>
      <c r="I445" s="42"/>
      <c r="J445" s="44"/>
      <c r="K445" s="58"/>
      <c r="L445" s="58"/>
      <c r="M445" s="45" t="str">
        <f t="shared" si="18"/>
        <v>Pass</v>
      </c>
      <c r="N445" s="46" t="str">
        <f>IFERROR(VLOOKUP(D486,'[1]Product Datasheet'!$A:$G,4,0),"")</f>
        <v/>
      </c>
      <c r="O445" s="47" t="str">
        <f>IFERROR(VLOOKUP(D486,'[1]Product Datasheet'!$A:$G,5,0),"")</f>
        <v/>
      </c>
      <c r="P445" s="47" t="str">
        <f>IFERROR(VLOOKUP(D486,'[1]Product Datasheet'!$A:$G,6,0),"")</f>
        <v/>
      </c>
      <c r="Q445" s="47" t="str">
        <f>IFERROR(VLOOKUP(D486,'[1]Product Datasheet'!$A:$G,7,0), "")</f>
        <v/>
      </c>
      <c r="R445" s="48"/>
      <c r="S445" s="49" t="str">
        <f t="shared" si="19"/>
        <v>Accept</v>
      </c>
      <c r="T445" s="50"/>
      <c r="U445" s="51"/>
    </row>
    <row r="446" spans="1:21" ht="24.75" customHeight="1" x14ac:dyDescent="0.3">
      <c r="A446" s="38" t="str">
        <f>IFERROR(VLOOKUP(D446,'[1]Product Datasheet'!$A:$G,2,0),"")</f>
        <v/>
      </c>
      <c r="B446" s="39" t="str">
        <f>IFERROR(VLOOKUP(D446,'[1]Product Datasheet'!$A:$G,3,0),"")</f>
        <v/>
      </c>
      <c r="C446" s="40"/>
      <c r="D446" s="41"/>
      <c r="E446" s="41"/>
      <c r="F446" s="41"/>
      <c r="G446" s="42"/>
      <c r="H446" s="43"/>
      <c r="I446" s="42"/>
      <c r="J446" s="44"/>
      <c r="K446" s="58"/>
      <c r="L446" s="58"/>
      <c r="M446" s="45" t="str">
        <f t="shared" si="18"/>
        <v>Pass</v>
      </c>
      <c r="N446" s="46" t="str">
        <f>IFERROR(VLOOKUP(D487,'[1]Product Datasheet'!$A:$G,4,0),"")</f>
        <v/>
      </c>
      <c r="O446" s="47" t="str">
        <f>IFERROR(VLOOKUP(D487,'[1]Product Datasheet'!$A:$G,5,0),"")</f>
        <v/>
      </c>
      <c r="P446" s="47" t="str">
        <f>IFERROR(VLOOKUP(D487,'[1]Product Datasheet'!$A:$G,6,0),"")</f>
        <v/>
      </c>
      <c r="Q446" s="47" t="str">
        <f>IFERROR(VLOOKUP(D487,'[1]Product Datasheet'!$A:$G,7,0), "")</f>
        <v/>
      </c>
      <c r="R446" s="48"/>
      <c r="S446" s="49" t="str">
        <f t="shared" si="19"/>
        <v>Accept</v>
      </c>
      <c r="T446" s="50"/>
      <c r="U446" s="51"/>
    </row>
    <row r="447" spans="1:21" ht="24.75" customHeight="1" x14ac:dyDescent="0.3">
      <c r="A447" s="38" t="str">
        <f>IFERROR(VLOOKUP(D447,'[1]Product Datasheet'!$A:$G,2,0),"")</f>
        <v/>
      </c>
      <c r="B447" s="39" t="str">
        <f>IFERROR(VLOOKUP(D447,'[1]Product Datasheet'!$A:$G,3,0),"")</f>
        <v/>
      </c>
      <c r="C447" s="40"/>
      <c r="D447" s="41"/>
      <c r="E447" s="41"/>
      <c r="F447" s="41"/>
      <c r="G447" s="42"/>
      <c r="H447" s="43"/>
      <c r="I447" s="42"/>
      <c r="J447" s="44"/>
      <c r="K447" s="58"/>
      <c r="L447" s="58"/>
      <c r="M447" s="45" t="str">
        <f t="shared" si="18"/>
        <v>Pass</v>
      </c>
      <c r="N447" s="46" t="str">
        <f>IFERROR(VLOOKUP(D488,'[1]Product Datasheet'!$A:$G,4,0),"")</f>
        <v/>
      </c>
      <c r="O447" s="47" t="str">
        <f>IFERROR(VLOOKUP(D488,'[1]Product Datasheet'!$A:$G,5,0),"")</f>
        <v/>
      </c>
      <c r="P447" s="47" t="str">
        <f>IFERROR(VLOOKUP(D488,'[1]Product Datasheet'!$A:$G,6,0),"")</f>
        <v/>
      </c>
      <c r="Q447" s="47" t="str">
        <f>IFERROR(VLOOKUP(D488,'[1]Product Datasheet'!$A:$G,7,0), "")</f>
        <v/>
      </c>
      <c r="R447" s="48"/>
      <c r="S447" s="49" t="str">
        <f t="shared" si="19"/>
        <v>Accept</v>
      </c>
      <c r="T447" s="50"/>
      <c r="U447" s="51"/>
    </row>
    <row r="448" spans="1:21" ht="24.75" customHeight="1" x14ac:dyDescent="0.3">
      <c r="A448" s="38" t="str">
        <f>IFERROR(VLOOKUP(D448,'[1]Product Datasheet'!$A:$G,2,0),"")</f>
        <v/>
      </c>
      <c r="B448" s="39" t="str">
        <f>IFERROR(VLOOKUP(D448,'[1]Product Datasheet'!$A:$G,3,0),"")</f>
        <v/>
      </c>
      <c r="C448" s="40"/>
      <c r="D448" s="41"/>
      <c r="E448" s="41"/>
      <c r="F448" s="41"/>
      <c r="G448" s="42"/>
      <c r="H448" s="43"/>
      <c r="I448" s="42"/>
      <c r="J448" s="44"/>
      <c r="K448" s="58"/>
      <c r="L448" s="58"/>
      <c r="M448" s="45" t="str">
        <f t="shared" si="18"/>
        <v>Pass</v>
      </c>
      <c r="N448" s="46" t="str">
        <f>IFERROR(VLOOKUP(D489,'[1]Product Datasheet'!$A:$G,4,0),"")</f>
        <v/>
      </c>
      <c r="O448" s="47" t="str">
        <f>IFERROR(VLOOKUP(D489,'[1]Product Datasheet'!$A:$G,5,0),"")</f>
        <v/>
      </c>
      <c r="P448" s="47" t="str">
        <f>IFERROR(VLOOKUP(D489,'[1]Product Datasheet'!$A:$G,6,0),"")</f>
        <v/>
      </c>
      <c r="Q448" s="47" t="str">
        <f>IFERROR(VLOOKUP(D489,'[1]Product Datasheet'!$A:$G,7,0), "")</f>
        <v/>
      </c>
      <c r="R448" s="48"/>
      <c r="S448" s="49" t="str">
        <f t="shared" si="19"/>
        <v>Accept</v>
      </c>
      <c r="T448" s="50"/>
      <c r="U448" s="51"/>
    </row>
    <row r="449" spans="1:21" ht="24.75" customHeight="1" x14ac:dyDescent="0.3">
      <c r="A449" s="38" t="str">
        <f>IFERROR(VLOOKUP(D449,'[1]Product Datasheet'!$A:$G,2,0),"")</f>
        <v/>
      </c>
      <c r="B449" s="39" t="str">
        <f>IFERROR(VLOOKUP(D449,'[1]Product Datasheet'!$A:$G,3,0),"")</f>
        <v/>
      </c>
      <c r="C449" s="40"/>
      <c r="D449" s="41"/>
      <c r="E449" s="41"/>
      <c r="F449" s="41"/>
      <c r="G449" s="42"/>
      <c r="H449" s="43"/>
      <c r="I449" s="42"/>
      <c r="J449" s="44"/>
      <c r="K449" s="58"/>
      <c r="L449" s="58"/>
      <c r="M449" s="45" t="str">
        <f t="shared" si="18"/>
        <v>Pass</v>
      </c>
      <c r="N449" s="46" t="str">
        <f>IFERROR(VLOOKUP(D490,'[1]Product Datasheet'!$A:$G,4,0),"")</f>
        <v/>
      </c>
      <c r="O449" s="47" t="str">
        <f>IFERROR(VLOOKUP(D490,'[1]Product Datasheet'!$A:$G,5,0),"")</f>
        <v/>
      </c>
      <c r="P449" s="47" t="str">
        <f>IFERROR(VLOOKUP(D490,'[1]Product Datasheet'!$A:$G,6,0),"")</f>
        <v/>
      </c>
      <c r="Q449" s="47" t="str">
        <f>IFERROR(VLOOKUP(D490,'[1]Product Datasheet'!$A:$G,7,0), "")</f>
        <v/>
      </c>
      <c r="R449" s="48"/>
      <c r="S449" s="49" t="str">
        <f t="shared" si="19"/>
        <v>Accept</v>
      </c>
      <c r="T449" s="50"/>
      <c r="U449" s="51"/>
    </row>
    <row r="450" spans="1:21" ht="24.75" customHeight="1" x14ac:dyDescent="0.3">
      <c r="A450" s="38" t="str">
        <f>IFERROR(VLOOKUP(D450,'[1]Product Datasheet'!$A:$G,2,0),"")</f>
        <v/>
      </c>
      <c r="B450" s="39" t="str">
        <f>IFERROR(VLOOKUP(D450,'[1]Product Datasheet'!$A:$G,3,0),"")</f>
        <v/>
      </c>
      <c r="C450" s="40"/>
      <c r="D450" s="41"/>
      <c r="E450" s="41"/>
      <c r="F450" s="41"/>
      <c r="G450" s="42"/>
      <c r="H450" s="43"/>
      <c r="I450" s="42"/>
      <c r="J450" s="44"/>
      <c r="K450" s="58"/>
      <c r="L450" s="58"/>
      <c r="M450" s="45" t="str">
        <f t="shared" si="18"/>
        <v>Pass</v>
      </c>
      <c r="N450" s="46" t="str">
        <f>IFERROR(VLOOKUP(D491,'[1]Product Datasheet'!$A:$G,4,0),"")</f>
        <v/>
      </c>
      <c r="O450" s="47" t="str">
        <f>IFERROR(VLOOKUP(D491,'[1]Product Datasheet'!$A:$G,5,0),"")</f>
        <v/>
      </c>
      <c r="P450" s="47" t="str">
        <f>IFERROR(VLOOKUP(D491,'[1]Product Datasheet'!$A:$G,6,0),"")</f>
        <v/>
      </c>
      <c r="Q450" s="47" t="str">
        <f>IFERROR(VLOOKUP(D491,'[1]Product Datasheet'!$A:$G,7,0), "")</f>
        <v/>
      </c>
      <c r="R450" s="48"/>
      <c r="S450" s="49" t="str">
        <f t="shared" si="19"/>
        <v>Accept</v>
      </c>
      <c r="T450" s="50"/>
      <c r="U450" s="51"/>
    </row>
    <row r="451" spans="1:21" ht="24.75" customHeight="1" x14ac:dyDescent="0.3">
      <c r="A451" s="38" t="str">
        <f>IFERROR(VLOOKUP(D451,'[1]Product Datasheet'!$A:$G,2,0),"")</f>
        <v/>
      </c>
      <c r="B451" s="39" t="str">
        <f>IFERROR(VLOOKUP(D451,'[1]Product Datasheet'!$A:$G,3,0),"")</f>
        <v/>
      </c>
      <c r="C451" s="40"/>
      <c r="D451" s="41"/>
      <c r="E451" s="41"/>
      <c r="F451" s="41"/>
      <c r="G451" s="42"/>
      <c r="H451" s="43"/>
      <c r="I451" s="42"/>
      <c r="J451" s="44"/>
      <c r="K451" s="58"/>
      <c r="L451" s="58"/>
      <c r="M451" s="45" t="str">
        <f t="shared" si="18"/>
        <v>Pass</v>
      </c>
      <c r="N451" s="46" t="str">
        <f>IFERROR(VLOOKUP(D492,'[1]Product Datasheet'!$A:$G,4,0),"")</f>
        <v/>
      </c>
      <c r="O451" s="47" t="str">
        <f>IFERROR(VLOOKUP(D492,'[1]Product Datasheet'!$A:$G,5,0),"")</f>
        <v/>
      </c>
      <c r="P451" s="47" t="str">
        <f>IFERROR(VLOOKUP(D492,'[1]Product Datasheet'!$A:$G,6,0),"")</f>
        <v/>
      </c>
      <c r="Q451" s="47" t="str">
        <f>IFERROR(VLOOKUP(D492,'[1]Product Datasheet'!$A:$G,7,0), "")</f>
        <v/>
      </c>
      <c r="R451" s="48"/>
      <c r="S451" s="49" t="str">
        <f t="shared" si="19"/>
        <v>Accept</v>
      </c>
      <c r="T451" s="50"/>
      <c r="U451" s="51"/>
    </row>
    <row r="452" spans="1:21" ht="24.75" customHeight="1" x14ac:dyDescent="0.3">
      <c r="A452" s="38" t="str">
        <f>IFERROR(VLOOKUP(D452,'[1]Product Datasheet'!$A:$G,2,0),"")</f>
        <v/>
      </c>
      <c r="B452" s="39" t="str">
        <f>IFERROR(VLOOKUP(D452,'[1]Product Datasheet'!$A:$G,3,0),"")</f>
        <v/>
      </c>
      <c r="C452" s="40"/>
      <c r="D452" s="41"/>
      <c r="E452" s="41"/>
      <c r="F452" s="41"/>
      <c r="G452" s="42"/>
      <c r="H452" s="43"/>
      <c r="I452" s="42"/>
      <c r="J452" s="44"/>
      <c r="K452" s="58"/>
      <c r="L452" s="58"/>
      <c r="M452" s="45" t="str">
        <f t="shared" si="18"/>
        <v>Pass</v>
      </c>
      <c r="N452" s="46" t="str">
        <f>IFERROR(VLOOKUP(D493,'[1]Product Datasheet'!$A:$G,4,0),"")</f>
        <v/>
      </c>
      <c r="O452" s="47" t="str">
        <f>IFERROR(VLOOKUP(D493,'[1]Product Datasheet'!$A:$G,5,0),"")</f>
        <v/>
      </c>
      <c r="P452" s="47" t="str">
        <f>IFERROR(VLOOKUP(D493,'[1]Product Datasheet'!$A:$G,6,0),"")</f>
        <v/>
      </c>
      <c r="Q452" s="47" t="str">
        <f>IFERROR(VLOOKUP(D493,'[1]Product Datasheet'!$A:$G,7,0), "")</f>
        <v/>
      </c>
      <c r="R452" s="48"/>
      <c r="S452" s="49" t="str">
        <f t="shared" si="19"/>
        <v>Accept</v>
      </c>
      <c r="T452" s="50"/>
      <c r="U452" s="51"/>
    </row>
    <row r="453" spans="1:21" ht="24.75" customHeight="1" x14ac:dyDescent="0.3">
      <c r="A453" s="38" t="str">
        <f>IFERROR(VLOOKUP(D453,'[1]Product Datasheet'!$A:$G,2,0),"")</f>
        <v/>
      </c>
      <c r="B453" s="39" t="str">
        <f>IFERROR(VLOOKUP(D453,'[1]Product Datasheet'!$A:$G,3,0),"")</f>
        <v/>
      </c>
      <c r="C453" s="40"/>
      <c r="D453" s="41"/>
      <c r="E453" s="41"/>
      <c r="F453" s="41"/>
      <c r="G453" s="42"/>
      <c r="H453" s="43"/>
      <c r="I453" s="42"/>
      <c r="J453" s="44"/>
      <c r="K453" s="58"/>
      <c r="L453" s="58"/>
      <c r="M453" s="45" t="str">
        <f t="shared" si="18"/>
        <v>Pass</v>
      </c>
      <c r="N453" s="46" t="str">
        <f>IFERROR(VLOOKUP(D494,'[1]Product Datasheet'!$A:$G,4,0),"")</f>
        <v/>
      </c>
      <c r="O453" s="47" t="str">
        <f>IFERROR(VLOOKUP(D494,'[1]Product Datasheet'!$A:$G,5,0),"")</f>
        <v/>
      </c>
      <c r="P453" s="47" t="str">
        <f>IFERROR(VLOOKUP(D494,'[1]Product Datasheet'!$A:$G,6,0),"")</f>
        <v/>
      </c>
      <c r="Q453" s="47" t="str">
        <f>IFERROR(VLOOKUP(D494,'[1]Product Datasheet'!$A:$G,7,0), "")</f>
        <v/>
      </c>
      <c r="R453" s="48"/>
      <c r="S453" s="49" t="str">
        <f t="shared" si="19"/>
        <v>Accept</v>
      </c>
      <c r="T453" s="50"/>
      <c r="U453" s="51"/>
    </row>
    <row r="454" spans="1:21" ht="24.75" customHeight="1" x14ac:dyDescent="0.3">
      <c r="A454" s="38" t="str">
        <f>IFERROR(VLOOKUP(D454,'[1]Product Datasheet'!$A:$G,2,0),"")</f>
        <v/>
      </c>
      <c r="B454" s="39" t="str">
        <f>IFERROR(VLOOKUP(D454,'[1]Product Datasheet'!$A:$G,3,0),"")</f>
        <v/>
      </c>
      <c r="C454" s="40"/>
      <c r="D454" s="41"/>
      <c r="E454" s="41"/>
      <c r="F454" s="41"/>
      <c r="G454" s="42"/>
      <c r="H454" s="43"/>
      <c r="I454" s="42"/>
      <c r="J454" s="44"/>
      <c r="K454" s="58"/>
      <c r="L454" s="58"/>
      <c r="M454" s="45" t="str">
        <f t="shared" si="18"/>
        <v>Pass</v>
      </c>
      <c r="N454" s="46" t="str">
        <f>IFERROR(VLOOKUP(D495,'[1]Product Datasheet'!$A:$G,4,0),"")</f>
        <v/>
      </c>
      <c r="O454" s="47" t="str">
        <f>IFERROR(VLOOKUP(D495,'[1]Product Datasheet'!$A:$G,5,0),"")</f>
        <v/>
      </c>
      <c r="P454" s="47" t="str">
        <f>IFERROR(VLOOKUP(D495,'[1]Product Datasheet'!$A:$G,6,0),"")</f>
        <v/>
      </c>
      <c r="Q454" s="47" t="str">
        <f>IFERROR(VLOOKUP(D495,'[1]Product Datasheet'!$A:$G,7,0), "")</f>
        <v/>
      </c>
      <c r="R454" s="48"/>
      <c r="S454" s="49" t="str">
        <f t="shared" si="19"/>
        <v>Accept</v>
      </c>
      <c r="T454" s="50"/>
      <c r="U454" s="51"/>
    </row>
    <row r="455" spans="1:21" ht="24.75" customHeight="1" x14ac:dyDescent="0.3">
      <c r="A455" s="38" t="str">
        <f>IFERROR(VLOOKUP(D455,'[1]Product Datasheet'!$A:$G,2,0),"")</f>
        <v/>
      </c>
      <c r="B455" s="39" t="str">
        <f>IFERROR(VLOOKUP(D455,'[1]Product Datasheet'!$A:$G,3,0),"")</f>
        <v/>
      </c>
      <c r="C455" s="40"/>
      <c r="D455" s="41"/>
      <c r="E455" s="41"/>
      <c r="F455" s="41"/>
      <c r="G455" s="42"/>
      <c r="H455" s="43"/>
      <c r="I455" s="42"/>
      <c r="J455" s="44"/>
      <c r="K455" s="58"/>
      <c r="L455" s="58"/>
      <c r="M455" s="45" t="str">
        <f t="shared" si="18"/>
        <v>Pass</v>
      </c>
      <c r="N455" s="46" t="str">
        <f>IFERROR(VLOOKUP(D496,'[1]Product Datasheet'!$A:$G,4,0),"")</f>
        <v/>
      </c>
      <c r="O455" s="47" t="str">
        <f>IFERROR(VLOOKUP(D496,'[1]Product Datasheet'!$A:$G,5,0),"")</f>
        <v/>
      </c>
      <c r="P455" s="47" t="str">
        <f>IFERROR(VLOOKUP(D496,'[1]Product Datasheet'!$A:$G,6,0),"")</f>
        <v/>
      </c>
      <c r="Q455" s="47" t="str">
        <f>IFERROR(VLOOKUP(D496,'[1]Product Datasheet'!$A:$G,7,0), "")</f>
        <v/>
      </c>
      <c r="R455" s="48"/>
      <c r="S455" s="49" t="str">
        <f t="shared" si="19"/>
        <v>Accept</v>
      </c>
      <c r="T455" s="50"/>
      <c r="U455" s="51"/>
    </row>
    <row r="456" spans="1:21" ht="24.75" customHeight="1" x14ac:dyDescent="0.3">
      <c r="A456" s="38" t="str">
        <f>IFERROR(VLOOKUP(D456,'[1]Product Datasheet'!$A:$G,2,0),"")</f>
        <v/>
      </c>
      <c r="B456" s="39" t="str">
        <f>IFERROR(VLOOKUP(D456,'[1]Product Datasheet'!$A:$G,3,0),"")</f>
        <v/>
      </c>
      <c r="C456" s="40"/>
      <c r="D456" s="41"/>
      <c r="E456" s="41"/>
      <c r="F456" s="41"/>
      <c r="G456" s="42"/>
      <c r="H456" s="43"/>
      <c r="I456" s="42"/>
      <c r="J456" s="44"/>
      <c r="K456" s="58"/>
      <c r="L456" s="58"/>
      <c r="M456" s="45" t="str">
        <f t="shared" si="18"/>
        <v>Pass</v>
      </c>
      <c r="N456" s="46" t="str">
        <f>IFERROR(VLOOKUP(D497,'[1]Product Datasheet'!$A:$G,4,0),"")</f>
        <v/>
      </c>
      <c r="O456" s="47" t="str">
        <f>IFERROR(VLOOKUP(D497,'[1]Product Datasheet'!$A:$G,5,0),"")</f>
        <v/>
      </c>
      <c r="P456" s="47" t="str">
        <f>IFERROR(VLOOKUP(D497,'[1]Product Datasheet'!$A:$G,6,0),"")</f>
        <v/>
      </c>
      <c r="Q456" s="47" t="str">
        <f>IFERROR(VLOOKUP(D497,'[1]Product Datasheet'!$A:$G,7,0), "")</f>
        <v/>
      </c>
      <c r="R456" s="48"/>
      <c r="S456" s="49" t="str">
        <f t="shared" si="19"/>
        <v>Accept</v>
      </c>
      <c r="T456" s="50"/>
      <c r="U456" s="51"/>
    </row>
    <row r="457" spans="1:21" ht="24.75" customHeight="1" x14ac:dyDescent="0.3">
      <c r="A457" s="38" t="str">
        <f>IFERROR(VLOOKUP(D457,'[1]Product Datasheet'!$A:$G,2,0),"")</f>
        <v/>
      </c>
      <c r="B457" s="39" t="str">
        <f>IFERROR(VLOOKUP(D457,'[1]Product Datasheet'!$A:$G,3,0),"")</f>
        <v/>
      </c>
      <c r="C457" s="40"/>
      <c r="D457" s="41"/>
      <c r="E457" s="41"/>
      <c r="F457" s="41"/>
      <c r="G457" s="42"/>
      <c r="H457" s="43"/>
      <c r="I457" s="42"/>
      <c r="J457" s="44"/>
      <c r="K457" s="58"/>
      <c r="L457" s="58"/>
      <c r="M457" s="45" t="str">
        <f t="shared" ref="M457:M520" si="20">IF(AND(G457&lt;=O457,G457&gt;=N457,H457&lt;=Q457,H457&gt;=P457),"Pass","Fail")</f>
        <v>Pass</v>
      </c>
      <c r="N457" s="46" t="str">
        <f>IFERROR(VLOOKUP(D457,'[1]Product Datasheet'!$A:$G,4,0),"")</f>
        <v/>
      </c>
      <c r="O457" s="47" t="str">
        <f>IFERROR(VLOOKUP(D457,'[1]Product Datasheet'!$A:$G,5,0),"")</f>
        <v/>
      </c>
      <c r="P457" s="47" t="str">
        <f>IFERROR(VLOOKUP(D457,'[1]Product Datasheet'!$A:$G,6,0),"")</f>
        <v/>
      </c>
      <c r="Q457" s="47" t="str">
        <f>IFERROR(VLOOKUP(D457,'[1]Product Datasheet'!$A:$G,7,0), "")</f>
        <v/>
      </c>
      <c r="R457" s="48"/>
      <c r="S457" s="49" t="str">
        <f t="shared" ref="S457:S520" si="21">IFERROR(IF(AND(ROUND(H457, 2)&lt;=Q457, ROUND(G457,1)&lt;=O457), "Accept", "Reject"),"Reject")</f>
        <v>Accept</v>
      </c>
      <c r="T457" s="50"/>
      <c r="U457" s="51"/>
    </row>
    <row r="458" spans="1:21" ht="24.75" customHeight="1" x14ac:dyDescent="0.3">
      <c r="A458" s="38" t="str">
        <f>IFERROR(VLOOKUP(D458,'[1]Product Datasheet'!$A:$G,2,0),"")</f>
        <v/>
      </c>
      <c r="B458" s="39" t="str">
        <f>IFERROR(VLOOKUP(D458,'[1]Product Datasheet'!$A:$G,3,0),"")</f>
        <v/>
      </c>
      <c r="C458" s="40"/>
      <c r="D458" s="41"/>
      <c r="E458" s="41"/>
      <c r="F458" s="41"/>
      <c r="G458" s="42"/>
      <c r="H458" s="43"/>
      <c r="I458" s="42"/>
      <c r="J458" s="44"/>
      <c r="K458" s="58"/>
      <c r="L458" s="58"/>
      <c r="M458" s="45" t="str">
        <f t="shared" si="20"/>
        <v>Pass</v>
      </c>
      <c r="N458" s="46" t="str">
        <f>IFERROR(VLOOKUP(D458,'[1]Product Datasheet'!$A:$G,4,0),"")</f>
        <v/>
      </c>
      <c r="O458" s="47" t="str">
        <f>IFERROR(VLOOKUP(D458,'[1]Product Datasheet'!$A:$G,5,0),"")</f>
        <v/>
      </c>
      <c r="P458" s="47" t="str">
        <f>IFERROR(VLOOKUP(D458,'[1]Product Datasheet'!$A:$G,6,0),"")</f>
        <v/>
      </c>
      <c r="Q458" s="47" t="str">
        <f>IFERROR(VLOOKUP(D458,'[1]Product Datasheet'!$A:$G,7,0), "")</f>
        <v/>
      </c>
      <c r="R458" s="48"/>
      <c r="S458" s="49" t="str">
        <f t="shared" si="21"/>
        <v>Accept</v>
      </c>
      <c r="T458" s="50"/>
      <c r="U458" s="51"/>
    </row>
    <row r="459" spans="1:21" ht="24.75" customHeight="1" x14ac:dyDescent="0.3">
      <c r="A459" s="38" t="str">
        <f>IFERROR(VLOOKUP(D459,'[1]Product Datasheet'!$A:$G,2,0),"")</f>
        <v/>
      </c>
      <c r="B459" s="39" t="str">
        <f>IFERROR(VLOOKUP(D459,'[1]Product Datasheet'!$A:$G,3,0),"")</f>
        <v/>
      </c>
      <c r="C459" s="40"/>
      <c r="D459" s="41"/>
      <c r="E459" s="41"/>
      <c r="F459" s="41"/>
      <c r="G459" s="42"/>
      <c r="H459" s="43"/>
      <c r="I459" s="42"/>
      <c r="J459" s="44"/>
      <c r="K459" s="58"/>
      <c r="L459" s="58"/>
      <c r="M459" s="45" t="str">
        <f t="shared" si="20"/>
        <v>Pass</v>
      </c>
      <c r="N459" s="46" t="str">
        <f>IFERROR(VLOOKUP(D459,'[1]Product Datasheet'!$A:$G,4,0),"")</f>
        <v/>
      </c>
      <c r="O459" s="47" t="str">
        <f>IFERROR(VLOOKUP(D459,'[1]Product Datasheet'!$A:$G,5,0),"")</f>
        <v/>
      </c>
      <c r="P459" s="47" t="str">
        <f>IFERROR(VLOOKUP(D459,'[1]Product Datasheet'!$A:$G,6,0),"")</f>
        <v/>
      </c>
      <c r="Q459" s="47" t="str">
        <f>IFERROR(VLOOKUP(D459,'[1]Product Datasheet'!$A:$G,7,0), "")</f>
        <v/>
      </c>
      <c r="R459" s="48"/>
      <c r="S459" s="49" t="str">
        <f t="shared" si="21"/>
        <v>Accept</v>
      </c>
      <c r="T459" s="50"/>
      <c r="U459" s="51"/>
    </row>
    <row r="460" spans="1:21" ht="24.75" customHeight="1" x14ac:dyDescent="0.3">
      <c r="A460" s="38" t="str">
        <f>IFERROR(VLOOKUP(D460,'[1]Product Datasheet'!$A:$G,2,0),"")</f>
        <v/>
      </c>
      <c r="B460" s="39" t="str">
        <f>IFERROR(VLOOKUP(D460,'[1]Product Datasheet'!$A:$G,3,0),"")</f>
        <v/>
      </c>
      <c r="C460" s="40"/>
      <c r="D460" s="41"/>
      <c r="E460" s="41"/>
      <c r="F460" s="41"/>
      <c r="G460" s="42"/>
      <c r="H460" s="43"/>
      <c r="I460" s="42"/>
      <c r="J460" s="44"/>
      <c r="K460" s="58"/>
      <c r="L460" s="58"/>
      <c r="M460" s="45" t="str">
        <f t="shared" si="20"/>
        <v>Pass</v>
      </c>
      <c r="N460" s="46" t="str">
        <f>IFERROR(VLOOKUP(D460,'[1]Product Datasheet'!$A:$G,4,0),"")</f>
        <v/>
      </c>
      <c r="O460" s="47" t="str">
        <f>IFERROR(VLOOKUP(D460,'[1]Product Datasheet'!$A:$G,5,0),"")</f>
        <v/>
      </c>
      <c r="P460" s="47" t="str">
        <f>IFERROR(VLOOKUP(D460,'[1]Product Datasheet'!$A:$G,6,0),"")</f>
        <v/>
      </c>
      <c r="Q460" s="47" t="str">
        <f>IFERROR(VLOOKUP(D460,'[1]Product Datasheet'!$A:$G,7,0), "")</f>
        <v/>
      </c>
      <c r="R460" s="48"/>
      <c r="S460" s="49" t="str">
        <f t="shared" si="21"/>
        <v>Accept</v>
      </c>
      <c r="T460" s="50"/>
      <c r="U460" s="51"/>
    </row>
    <row r="461" spans="1:21" ht="24.75" customHeight="1" x14ac:dyDescent="0.3">
      <c r="A461" s="38" t="str">
        <f>IFERROR(VLOOKUP(D461,'[1]Product Datasheet'!$A:$G,2,0),"")</f>
        <v/>
      </c>
      <c r="B461" s="39" t="str">
        <f>IFERROR(VLOOKUP(D461,'[1]Product Datasheet'!$A:$G,3,0),"")</f>
        <v/>
      </c>
      <c r="C461" s="40"/>
      <c r="D461" s="41"/>
      <c r="E461" s="41"/>
      <c r="F461" s="41"/>
      <c r="G461" s="42"/>
      <c r="H461" s="43"/>
      <c r="I461" s="42"/>
      <c r="J461" s="44"/>
      <c r="K461" s="58"/>
      <c r="L461" s="58"/>
      <c r="M461" s="45" t="str">
        <f t="shared" si="20"/>
        <v>Pass</v>
      </c>
      <c r="N461" s="46" t="str">
        <f>IFERROR(VLOOKUP(D461,'[1]Product Datasheet'!$A:$G,4,0),"")</f>
        <v/>
      </c>
      <c r="O461" s="47" t="str">
        <f>IFERROR(VLOOKUP(D461,'[1]Product Datasheet'!$A:$G,5,0),"")</f>
        <v/>
      </c>
      <c r="P461" s="47" t="str">
        <f>IFERROR(VLOOKUP(D461,'[1]Product Datasheet'!$A:$G,6,0),"")</f>
        <v/>
      </c>
      <c r="Q461" s="47" t="str">
        <f>IFERROR(VLOOKUP(D461,'[1]Product Datasheet'!$A:$G,7,0), "")</f>
        <v/>
      </c>
      <c r="R461" s="48"/>
      <c r="S461" s="49" t="str">
        <f t="shared" si="21"/>
        <v>Accept</v>
      </c>
      <c r="T461" s="50"/>
      <c r="U461" s="51"/>
    </row>
    <row r="462" spans="1:21" ht="24.75" customHeight="1" x14ac:dyDescent="0.3">
      <c r="A462" s="38" t="str">
        <f>IFERROR(VLOOKUP(D462,'[1]Product Datasheet'!$A:$G,2,0),"")</f>
        <v/>
      </c>
      <c r="B462" s="39" t="str">
        <f>IFERROR(VLOOKUP(D462,'[1]Product Datasheet'!$A:$G,3,0),"")</f>
        <v/>
      </c>
      <c r="C462" s="40"/>
      <c r="D462" s="41"/>
      <c r="E462" s="41"/>
      <c r="F462" s="41"/>
      <c r="G462" s="42"/>
      <c r="H462" s="43"/>
      <c r="I462" s="42"/>
      <c r="J462" s="44"/>
      <c r="K462" s="58"/>
      <c r="L462" s="58"/>
      <c r="M462" s="45" t="str">
        <f t="shared" si="20"/>
        <v>Pass</v>
      </c>
      <c r="N462" s="46" t="str">
        <f>IFERROR(VLOOKUP(D462,'[1]Product Datasheet'!$A:$G,4,0),"")</f>
        <v/>
      </c>
      <c r="O462" s="47" t="str">
        <f>IFERROR(VLOOKUP(D462,'[1]Product Datasheet'!$A:$G,5,0),"")</f>
        <v/>
      </c>
      <c r="P462" s="47" t="str">
        <f>IFERROR(VLOOKUP(D462,'[1]Product Datasheet'!$A:$G,6,0),"")</f>
        <v/>
      </c>
      <c r="Q462" s="47" t="str">
        <f>IFERROR(VLOOKUP(D462,'[1]Product Datasheet'!$A:$G,7,0), "")</f>
        <v/>
      </c>
      <c r="R462" s="48"/>
      <c r="S462" s="49" t="str">
        <f t="shared" si="21"/>
        <v>Accept</v>
      </c>
      <c r="T462" s="50"/>
      <c r="U462" s="51"/>
    </row>
    <row r="463" spans="1:21" ht="24.75" customHeight="1" x14ac:dyDescent="0.3">
      <c r="A463" s="38" t="str">
        <f>IFERROR(VLOOKUP(D463,'[1]Product Datasheet'!$A:$G,2,0),"")</f>
        <v/>
      </c>
      <c r="B463" s="39" t="str">
        <f>IFERROR(VLOOKUP(D463,'[1]Product Datasheet'!$A:$G,3,0),"")</f>
        <v/>
      </c>
      <c r="C463" s="40"/>
      <c r="D463" s="41"/>
      <c r="E463" s="41"/>
      <c r="F463" s="41"/>
      <c r="G463" s="42"/>
      <c r="H463" s="43"/>
      <c r="I463" s="42"/>
      <c r="J463" s="44"/>
      <c r="K463" s="58"/>
      <c r="L463" s="58"/>
      <c r="M463" s="45" t="str">
        <f t="shared" si="20"/>
        <v>Pass</v>
      </c>
      <c r="N463" s="46" t="str">
        <f>IFERROR(VLOOKUP(D463,'[1]Product Datasheet'!$A:$G,4,0),"")</f>
        <v/>
      </c>
      <c r="O463" s="47" t="str">
        <f>IFERROR(VLOOKUP(D463,'[1]Product Datasheet'!$A:$G,5,0),"")</f>
        <v/>
      </c>
      <c r="P463" s="47" t="str">
        <f>IFERROR(VLOOKUP(D463,'[1]Product Datasheet'!$A:$G,6,0),"")</f>
        <v/>
      </c>
      <c r="Q463" s="47" t="str">
        <f>IFERROR(VLOOKUP(D463,'[1]Product Datasheet'!$A:$G,7,0), "")</f>
        <v/>
      </c>
      <c r="R463" s="48"/>
      <c r="S463" s="49" t="str">
        <f t="shared" si="21"/>
        <v>Accept</v>
      </c>
      <c r="T463" s="50"/>
      <c r="U463" s="51"/>
    </row>
    <row r="464" spans="1:21" ht="24.75" customHeight="1" x14ac:dyDescent="0.3">
      <c r="A464" s="38" t="str">
        <f>IFERROR(VLOOKUP(D464,'[1]Product Datasheet'!$A:$G,2,0),"")</f>
        <v/>
      </c>
      <c r="B464" s="39" t="str">
        <f>IFERROR(VLOOKUP(D464,'[1]Product Datasheet'!$A:$G,3,0),"")</f>
        <v/>
      </c>
      <c r="C464" s="40"/>
      <c r="D464" s="41"/>
      <c r="E464" s="41"/>
      <c r="F464" s="41"/>
      <c r="G464" s="42"/>
      <c r="H464" s="43"/>
      <c r="I464" s="42"/>
      <c r="J464" s="44"/>
      <c r="K464" s="58"/>
      <c r="L464" s="58"/>
      <c r="M464" s="45" t="str">
        <f t="shared" si="20"/>
        <v>Pass</v>
      </c>
      <c r="N464" s="46" t="str">
        <f>IFERROR(VLOOKUP(D464,'[1]Product Datasheet'!$A:$G,4,0),"")</f>
        <v/>
      </c>
      <c r="O464" s="47" t="str">
        <f>IFERROR(VLOOKUP(D464,'[1]Product Datasheet'!$A:$G,5,0),"")</f>
        <v/>
      </c>
      <c r="P464" s="47" t="str">
        <f>IFERROR(VLOOKUP(D464,'[1]Product Datasheet'!$A:$G,6,0),"")</f>
        <v/>
      </c>
      <c r="Q464" s="47" t="str">
        <f>IFERROR(VLOOKUP(D464,'[1]Product Datasheet'!$A:$G,7,0), "")</f>
        <v/>
      </c>
      <c r="R464" s="48"/>
      <c r="S464" s="49" t="str">
        <f t="shared" si="21"/>
        <v>Accept</v>
      </c>
      <c r="T464" s="50"/>
      <c r="U464" s="51"/>
    </row>
    <row r="465" spans="1:21" ht="24.75" customHeight="1" x14ac:dyDescent="0.3">
      <c r="A465" s="38" t="str">
        <f>IFERROR(VLOOKUP(D465,'[1]Product Datasheet'!$A:$G,2,0),"")</f>
        <v/>
      </c>
      <c r="B465" s="39" t="str">
        <f>IFERROR(VLOOKUP(D465,'[1]Product Datasheet'!$A:$G,3,0),"")</f>
        <v/>
      </c>
      <c r="C465" s="40"/>
      <c r="D465" s="41"/>
      <c r="E465" s="41"/>
      <c r="F465" s="41"/>
      <c r="G465" s="42"/>
      <c r="H465" s="43"/>
      <c r="I465" s="42"/>
      <c r="J465" s="44"/>
      <c r="K465" s="58"/>
      <c r="L465" s="58"/>
      <c r="M465" s="45" t="str">
        <f t="shared" si="20"/>
        <v>Pass</v>
      </c>
      <c r="N465" s="46" t="str">
        <f>IFERROR(VLOOKUP(D465,'[1]Product Datasheet'!$A:$G,4,0),"")</f>
        <v/>
      </c>
      <c r="O465" s="47" t="str">
        <f>IFERROR(VLOOKUP(D465,'[1]Product Datasheet'!$A:$G,5,0),"")</f>
        <v/>
      </c>
      <c r="P465" s="47" t="str">
        <f>IFERROR(VLOOKUP(D465,'[1]Product Datasheet'!$A:$G,6,0),"")</f>
        <v/>
      </c>
      <c r="Q465" s="47" t="str">
        <f>IFERROR(VLOOKUP(D465,'[1]Product Datasheet'!$A:$G,7,0), "")</f>
        <v/>
      </c>
      <c r="R465" s="48"/>
      <c r="S465" s="49" t="str">
        <f t="shared" si="21"/>
        <v>Accept</v>
      </c>
      <c r="T465" s="50"/>
      <c r="U465" s="51"/>
    </row>
    <row r="466" spans="1:21" ht="24.75" customHeight="1" x14ac:dyDescent="0.3">
      <c r="A466" s="38" t="str">
        <f>IFERROR(VLOOKUP(D466,'[1]Product Datasheet'!$A:$G,2,0),"")</f>
        <v/>
      </c>
      <c r="B466" s="39" t="str">
        <f>IFERROR(VLOOKUP(D466,'[1]Product Datasheet'!$A:$G,3,0),"")</f>
        <v/>
      </c>
      <c r="C466" s="40"/>
      <c r="D466" s="41"/>
      <c r="E466" s="41"/>
      <c r="F466" s="41"/>
      <c r="G466" s="42"/>
      <c r="H466" s="43"/>
      <c r="I466" s="42"/>
      <c r="J466" s="44"/>
      <c r="K466" s="58"/>
      <c r="L466" s="58"/>
      <c r="M466" s="45" t="str">
        <f t="shared" si="20"/>
        <v>Pass</v>
      </c>
      <c r="N466" s="46" t="str">
        <f>IFERROR(VLOOKUP(D466,'[1]Product Datasheet'!$A:$G,4,0),"")</f>
        <v/>
      </c>
      <c r="O466" s="47" t="str">
        <f>IFERROR(VLOOKUP(D466,'[1]Product Datasheet'!$A:$G,5,0),"")</f>
        <v/>
      </c>
      <c r="P466" s="47" t="str">
        <f>IFERROR(VLOOKUP(D466,'[1]Product Datasheet'!$A:$G,6,0),"")</f>
        <v/>
      </c>
      <c r="Q466" s="47" t="str">
        <f>IFERROR(VLOOKUP(D466,'[1]Product Datasheet'!$A:$G,7,0), "")</f>
        <v/>
      </c>
      <c r="R466" s="48"/>
      <c r="S466" s="49" t="str">
        <f t="shared" si="21"/>
        <v>Accept</v>
      </c>
      <c r="T466" s="50"/>
      <c r="U466" s="51"/>
    </row>
    <row r="467" spans="1:21" ht="24.75" customHeight="1" x14ac:dyDescent="0.3">
      <c r="A467" s="38" t="str">
        <f>IFERROR(VLOOKUP(D467,'[1]Product Datasheet'!$A:$G,2,0),"")</f>
        <v/>
      </c>
      <c r="B467" s="39" t="str">
        <f>IFERROR(VLOOKUP(D467,'[1]Product Datasheet'!$A:$G,3,0),"")</f>
        <v/>
      </c>
      <c r="C467" s="40"/>
      <c r="D467" s="41"/>
      <c r="E467" s="41"/>
      <c r="F467" s="41"/>
      <c r="G467" s="42"/>
      <c r="H467" s="43"/>
      <c r="I467" s="42"/>
      <c r="J467" s="44"/>
      <c r="K467" s="58"/>
      <c r="L467" s="58"/>
      <c r="M467" s="45" t="str">
        <f t="shared" si="20"/>
        <v>Pass</v>
      </c>
      <c r="N467" s="46" t="str">
        <f>IFERROR(VLOOKUP(D467,'[1]Product Datasheet'!$A:$G,4,0),"")</f>
        <v/>
      </c>
      <c r="O467" s="47" t="str">
        <f>IFERROR(VLOOKUP(D467,'[1]Product Datasheet'!$A:$G,5,0),"")</f>
        <v/>
      </c>
      <c r="P467" s="47" t="str">
        <f>IFERROR(VLOOKUP(D467,'[1]Product Datasheet'!$A:$G,6,0),"")</f>
        <v/>
      </c>
      <c r="Q467" s="47" t="str">
        <f>IFERROR(VLOOKUP(D467,'[1]Product Datasheet'!$A:$G,7,0), "")</f>
        <v/>
      </c>
      <c r="R467" s="48"/>
      <c r="S467" s="49" t="str">
        <f t="shared" si="21"/>
        <v>Accept</v>
      </c>
      <c r="T467" s="50"/>
      <c r="U467" s="51"/>
    </row>
    <row r="468" spans="1:21" ht="24.75" customHeight="1" x14ac:dyDescent="0.3">
      <c r="A468" s="38" t="str">
        <f>IFERROR(VLOOKUP(D468,'[1]Product Datasheet'!$A:$G,2,0),"")</f>
        <v/>
      </c>
      <c r="B468" s="39" t="str">
        <f>IFERROR(VLOOKUP(D468,'[1]Product Datasheet'!$A:$G,3,0),"")</f>
        <v/>
      </c>
      <c r="C468" s="40"/>
      <c r="D468" s="41"/>
      <c r="E468" s="41"/>
      <c r="F468" s="41"/>
      <c r="G468" s="42"/>
      <c r="H468" s="43"/>
      <c r="I468" s="42"/>
      <c r="J468" s="44"/>
      <c r="K468" s="58"/>
      <c r="L468" s="58"/>
      <c r="M468" s="45" t="str">
        <f t="shared" si="20"/>
        <v>Pass</v>
      </c>
      <c r="N468" s="46" t="str">
        <f>IFERROR(VLOOKUP(D468,'[1]Product Datasheet'!$A:$G,4,0),"")</f>
        <v/>
      </c>
      <c r="O468" s="47" t="str">
        <f>IFERROR(VLOOKUP(D468,'[1]Product Datasheet'!$A:$G,5,0),"")</f>
        <v/>
      </c>
      <c r="P468" s="47" t="str">
        <f>IFERROR(VLOOKUP(D468,'[1]Product Datasheet'!$A:$G,6,0),"")</f>
        <v/>
      </c>
      <c r="Q468" s="47" t="str">
        <f>IFERROR(VLOOKUP(D468,'[1]Product Datasheet'!$A:$G,7,0), "")</f>
        <v/>
      </c>
      <c r="R468" s="48"/>
      <c r="S468" s="49" t="str">
        <f t="shared" si="21"/>
        <v>Accept</v>
      </c>
      <c r="T468" s="50"/>
      <c r="U468" s="51"/>
    </row>
    <row r="469" spans="1:21" ht="24.75" customHeight="1" x14ac:dyDescent="0.3">
      <c r="A469" s="38" t="str">
        <f>IFERROR(VLOOKUP(D469,'[1]Product Datasheet'!$A:$G,2,0),"")</f>
        <v/>
      </c>
      <c r="B469" s="39" t="str">
        <f>IFERROR(VLOOKUP(D469,'[1]Product Datasheet'!$A:$G,3,0),"")</f>
        <v/>
      </c>
      <c r="C469" s="40"/>
      <c r="D469" s="41"/>
      <c r="E469" s="41"/>
      <c r="F469" s="41"/>
      <c r="G469" s="42"/>
      <c r="H469" s="43"/>
      <c r="I469" s="42"/>
      <c r="J469" s="44"/>
      <c r="K469" s="58"/>
      <c r="L469" s="58"/>
      <c r="M469" s="45" t="str">
        <f t="shared" si="20"/>
        <v>Pass</v>
      </c>
      <c r="N469" s="46" t="str">
        <f>IFERROR(VLOOKUP(D469,'[1]Product Datasheet'!$A:$G,4,0),"")</f>
        <v/>
      </c>
      <c r="O469" s="47" t="str">
        <f>IFERROR(VLOOKUP(D469,'[1]Product Datasheet'!$A:$G,5,0),"")</f>
        <v/>
      </c>
      <c r="P469" s="47" t="str">
        <f>IFERROR(VLOOKUP(D469,'[1]Product Datasheet'!$A:$G,6,0),"")</f>
        <v/>
      </c>
      <c r="Q469" s="47" t="str">
        <f>IFERROR(VLOOKUP(D469,'[1]Product Datasheet'!$A:$G,7,0), "")</f>
        <v/>
      </c>
      <c r="R469" s="48"/>
      <c r="S469" s="49" t="str">
        <f t="shared" si="21"/>
        <v>Accept</v>
      </c>
      <c r="T469" s="50"/>
      <c r="U469" s="51"/>
    </row>
    <row r="470" spans="1:21" ht="24.75" customHeight="1" x14ac:dyDescent="0.3">
      <c r="A470" s="38" t="str">
        <f>IFERROR(VLOOKUP(D470,'[1]Product Datasheet'!$A:$G,2,0),"")</f>
        <v/>
      </c>
      <c r="B470" s="39" t="str">
        <f>IFERROR(VLOOKUP(D470,'[1]Product Datasheet'!$A:$G,3,0),"")</f>
        <v/>
      </c>
      <c r="C470" s="40"/>
      <c r="D470" s="41"/>
      <c r="E470" s="41"/>
      <c r="F470" s="41"/>
      <c r="G470" s="42"/>
      <c r="H470" s="43"/>
      <c r="I470" s="42"/>
      <c r="J470" s="44"/>
      <c r="K470" s="58"/>
      <c r="L470" s="58"/>
      <c r="M470" s="45" t="str">
        <f t="shared" si="20"/>
        <v>Pass</v>
      </c>
      <c r="N470" s="46" t="str">
        <f>IFERROR(VLOOKUP(D470,'[1]Product Datasheet'!$A:$G,4,0),"")</f>
        <v/>
      </c>
      <c r="O470" s="47" t="str">
        <f>IFERROR(VLOOKUP(D470,'[1]Product Datasheet'!$A:$G,5,0),"")</f>
        <v/>
      </c>
      <c r="P470" s="47" t="str">
        <f>IFERROR(VLOOKUP(D470,'[1]Product Datasheet'!$A:$G,6,0),"")</f>
        <v/>
      </c>
      <c r="Q470" s="47" t="str">
        <f>IFERROR(VLOOKUP(D470,'[1]Product Datasheet'!$A:$G,7,0), "")</f>
        <v/>
      </c>
      <c r="R470" s="48"/>
      <c r="S470" s="49" t="str">
        <f t="shared" si="21"/>
        <v>Accept</v>
      </c>
      <c r="T470" s="50"/>
      <c r="U470" s="51"/>
    </row>
    <row r="471" spans="1:21" ht="24.75" customHeight="1" x14ac:dyDescent="0.3">
      <c r="A471" s="38" t="str">
        <f>IFERROR(VLOOKUP(D471,'[1]Product Datasheet'!$A:$G,2,0),"")</f>
        <v/>
      </c>
      <c r="B471" s="39" t="str">
        <f>IFERROR(VLOOKUP(D471,'[1]Product Datasheet'!$A:$G,3,0),"")</f>
        <v/>
      </c>
      <c r="C471" s="40"/>
      <c r="D471" s="41"/>
      <c r="E471" s="41"/>
      <c r="F471" s="41"/>
      <c r="G471" s="42"/>
      <c r="H471" s="43"/>
      <c r="I471" s="42"/>
      <c r="J471" s="44"/>
      <c r="K471" s="58"/>
      <c r="L471" s="58"/>
      <c r="M471" s="45" t="str">
        <f t="shared" si="20"/>
        <v>Pass</v>
      </c>
      <c r="N471" s="46" t="str">
        <f>IFERROR(VLOOKUP(D471,'[1]Product Datasheet'!$A:$G,4,0),"")</f>
        <v/>
      </c>
      <c r="O471" s="47" t="str">
        <f>IFERROR(VLOOKUP(D471,'[1]Product Datasheet'!$A:$G,5,0),"")</f>
        <v/>
      </c>
      <c r="P471" s="47" t="str">
        <f>IFERROR(VLOOKUP(D471,'[1]Product Datasheet'!$A:$G,6,0),"")</f>
        <v/>
      </c>
      <c r="Q471" s="47" t="str">
        <f>IFERROR(VLOOKUP(D471,'[1]Product Datasheet'!$A:$G,7,0), "")</f>
        <v/>
      </c>
      <c r="R471" s="48"/>
      <c r="S471" s="49" t="str">
        <f t="shared" si="21"/>
        <v>Accept</v>
      </c>
      <c r="T471" s="50"/>
      <c r="U471" s="51"/>
    </row>
    <row r="472" spans="1:21" ht="24.75" customHeight="1" x14ac:dyDescent="0.3">
      <c r="A472" s="38" t="str">
        <f>IFERROR(VLOOKUP(D472,'[1]Product Datasheet'!$A:$G,2,0),"")</f>
        <v/>
      </c>
      <c r="B472" s="39" t="str">
        <f>IFERROR(VLOOKUP(D472,'[1]Product Datasheet'!$A:$G,3,0),"")</f>
        <v/>
      </c>
      <c r="C472" s="40"/>
      <c r="D472" s="41"/>
      <c r="E472" s="41"/>
      <c r="F472" s="41"/>
      <c r="G472" s="42"/>
      <c r="H472" s="43"/>
      <c r="I472" s="42"/>
      <c r="J472" s="44"/>
      <c r="K472" s="44"/>
      <c r="L472" s="44"/>
      <c r="M472" s="45" t="str">
        <f t="shared" si="20"/>
        <v>Pass</v>
      </c>
      <c r="N472" s="46" t="str">
        <f>IFERROR(VLOOKUP(D472,'[1]Product Datasheet'!$A:$G,4,0),"")</f>
        <v/>
      </c>
      <c r="O472" s="47" t="str">
        <f>IFERROR(VLOOKUP(D472,'[1]Product Datasheet'!$A:$G,5,0),"")</f>
        <v/>
      </c>
      <c r="P472" s="47" t="str">
        <f>IFERROR(VLOOKUP(D472,'[1]Product Datasheet'!$A:$G,6,0),"")</f>
        <v/>
      </c>
      <c r="Q472" s="47" t="str">
        <f>IFERROR(VLOOKUP(D472,'[1]Product Datasheet'!$A:$G,7,0), "")</f>
        <v/>
      </c>
      <c r="R472" s="48"/>
      <c r="S472" s="49" t="str">
        <f t="shared" si="21"/>
        <v>Accept</v>
      </c>
      <c r="T472" s="50"/>
      <c r="U472" s="51"/>
    </row>
    <row r="473" spans="1:21" ht="24.75" customHeight="1" x14ac:dyDescent="0.3">
      <c r="A473" s="38" t="str">
        <f>IFERROR(VLOOKUP(D473,'[1]Product Datasheet'!$A:$G,2,0),"")</f>
        <v/>
      </c>
      <c r="B473" s="39" t="str">
        <f>IFERROR(VLOOKUP(D473,'[1]Product Datasheet'!$A:$G,3,0),"")</f>
        <v/>
      </c>
      <c r="C473" s="40"/>
      <c r="D473" s="41"/>
      <c r="E473" s="41"/>
      <c r="F473" s="41"/>
      <c r="G473" s="42"/>
      <c r="H473" s="43"/>
      <c r="I473" s="42"/>
      <c r="J473" s="44"/>
      <c r="K473" s="44"/>
      <c r="L473" s="44"/>
      <c r="M473" s="45" t="str">
        <f t="shared" si="20"/>
        <v>Pass</v>
      </c>
      <c r="N473" s="46" t="str">
        <f>IFERROR(VLOOKUP(D473,'[1]Product Datasheet'!$A:$G,4,0),"")</f>
        <v/>
      </c>
      <c r="O473" s="47" t="str">
        <f>IFERROR(VLOOKUP(D473,'[1]Product Datasheet'!$A:$G,5,0),"")</f>
        <v/>
      </c>
      <c r="P473" s="47" t="str">
        <f>IFERROR(VLOOKUP(D473,'[1]Product Datasheet'!$A:$G,6,0),"")</f>
        <v/>
      </c>
      <c r="Q473" s="47" t="str">
        <f>IFERROR(VLOOKUP(D473,'[1]Product Datasheet'!$A:$G,7,0), "")</f>
        <v/>
      </c>
      <c r="R473" s="48"/>
      <c r="S473" s="49" t="str">
        <f t="shared" si="21"/>
        <v>Accept</v>
      </c>
      <c r="T473" s="50"/>
      <c r="U473" s="51"/>
    </row>
    <row r="474" spans="1:21" ht="24.75" customHeight="1" x14ac:dyDescent="0.3">
      <c r="A474" s="38" t="str">
        <f>IFERROR(VLOOKUP(D474,'[1]Product Datasheet'!$A:$G,2,0),"")</f>
        <v/>
      </c>
      <c r="B474" s="39" t="str">
        <f>IFERROR(VLOOKUP(D474,'[1]Product Datasheet'!$A:$G,3,0),"")</f>
        <v/>
      </c>
      <c r="C474" s="40"/>
      <c r="D474" s="41"/>
      <c r="E474" s="41"/>
      <c r="F474" s="41"/>
      <c r="G474" s="42"/>
      <c r="H474" s="43"/>
      <c r="I474" s="42"/>
      <c r="J474" s="44"/>
      <c r="K474" s="44"/>
      <c r="L474" s="44"/>
      <c r="M474" s="45" t="str">
        <f t="shared" si="20"/>
        <v>Pass</v>
      </c>
      <c r="N474" s="46" t="str">
        <f>IFERROR(VLOOKUP(D474,'[1]Product Datasheet'!$A:$G,4,0),"")</f>
        <v/>
      </c>
      <c r="O474" s="47" t="str">
        <f>IFERROR(VLOOKUP(D474,'[1]Product Datasheet'!$A:$G,5,0),"")</f>
        <v/>
      </c>
      <c r="P474" s="47" t="str">
        <f>IFERROR(VLOOKUP(D474,'[1]Product Datasheet'!$A:$G,6,0),"")</f>
        <v/>
      </c>
      <c r="Q474" s="47" t="str">
        <f>IFERROR(VLOOKUP(D474,'[1]Product Datasheet'!$A:$G,7,0), "")</f>
        <v/>
      </c>
      <c r="R474" s="48"/>
      <c r="S474" s="49" t="str">
        <f t="shared" si="21"/>
        <v>Accept</v>
      </c>
      <c r="T474" s="50"/>
      <c r="U474" s="51"/>
    </row>
    <row r="475" spans="1:21" ht="24.75" customHeight="1" x14ac:dyDescent="0.3">
      <c r="A475" s="38" t="str">
        <f>IFERROR(VLOOKUP(D475,'[1]Product Datasheet'!$A:$G,2,0),"")</f>
        <v/>
      </c>
      <c r="B475" s="39" t="str">
        <f>IFERROR(VLOOKUP(D475,'[1]Product Datasheet'!$A:$G,3,0),"")</f>
        <v/>
      </c>
      <c r="C475" s="40"/>
      <c r="D475" s="41"/>
      <c r="E475" s="41"/>
      <c r="F475" s="41"/>
      <c r="G475" s="42"/>
      <c r="H475" s="43"/>
      <c r="I475" s="42"/>
      <c r="J475" s="44"/>
      <c r="K475" s="44"/>
      <c r="L475" s="44"/>
      <c r="M475" s="45" t="str">
        <f t="shared" si="20"/>
        <v>Pass</v>
      </c>
      <c r="N475" s="46" t="str">
        <f>IFERROR(VLOOKUP(D475,'[1]Product Datasheet'!$A:$G,4,0),"")</f>
        <v/>
      </c>
      <c r="O475" s="47" t="str">
        <f>IFERROR(VLOOKUP(D475,'[1]Product Datasheet'!$A:$G,5,0),"")</f>
        <v/>
      </c>
      <c r="P475" s="47" t="str">
        <f>IFERROR(VLOOKUP(D475,'[1]Product Datasheet'!$A:$G,6,0),"")</f>
        <v/>
      </c>
      <c r="Q475" s="47" t="str">
        <f>IFERROR(VLOOKUP(D475,'[1]Product Datasheet'!$A:$G,7,0), "")</f>
        <v/>
      </c>
      <c r="R475" s="48"/>
      <c r="S475" s="49" t="str">
        <f t="shared" si="21"/>
        <v>Accept</v>
      </c>
      <c r="T475" s="50"/>
      <c r="U475" s="51"/>
    </row>
    <row r="476" spans="1:21" ht="24.75" customHeight="1" x14ac:dyDescent="0.3">
      <c r="A476" s="38" t="str">
        <f>IFERROR(VLOOKUP(D476,'[1]Product Datasheet'!$A:$G,2,0),"")</f>
        <v/>
      </c>
      <c r="B476" s="39" t="str">
        <f>IFERROR(VLOOKUP(D476,'[1]Product Datasheet'!$A:$G,3,0),"")</f>
        <v/>
      </c>
      <c r="C476" s="40"/>
      <c r="D476" s="41"/>
      <c r="E476" s="41"/>
      <c r="F476" s="41"/>
      <c r="G476" s="42"/>
      <c r="H476" s="43"/>
      <c r="I476" s="42"/>
      <c r="J476" s="44"/>
      <c r="K476" s="44"/>
      <c r="L476" s="44"/>
      <c r="M476" s="45" t="str">
        <f t="shared" si="20"/>
        <v>Pass</v>
      </c>
      <c r="N476" s="46" t="str">
        <f>IFERROR(VLOOKUP(D476,'[1]Product Datasheet'!$A:$G,4,0),"")</f>
        <v/>
      </c>
      <c r="O476" s="47" t="str">
        <f>IFERROR(VLOOKUP(D476,'[1]Product Datasheet'!$A:$G,5,0),"")</f>
        <v/>
      </c>
      <c r="P476" s="47" t="str">
        <f>IFERROR(VLOOKUP(D476,'[1]Product Datasheet'!$A:$G,6,0),"")</f>
        <v/>
      </c>
      <c r="Q476" s="47" t="str">
        <f>IFERROR(VLOOKUP(D476,'[1]Product Datasheet'!$A:$G,7,0), "")</f>
        <v/>
      </c>
      <c r="R476" s="48"/>
      <c r="S476" s="49" t="str">
        <f t="shared" si="21"/>
        <v>Accept</v>
      </c>
      <c r="T476" s="50"/>
      <c r="U476" s="51"/>
    </row>
    <row r="477" spans="1:21" ht="24.75" customHeight="1" x14ac:dyDescent="0.3">
      <c r="A477" s="38" t="str">
        <f>IFERROR(VLOOKUP(D477,'[1]Product Datasheet'!$A:$G,2,0),"")</f>
        <v/>
      </c>
      <c r="B477" s="39" t="str">
        <f>IFERROR(VLOOKUP(D477,'[1]Product Datasheet'!$A:$G,3,0),"")</f>
        <v/>
      </c>
      <c r="C477" s="40"/>
      <c r="D477" s="41"/>
      <c r="E477" s="41"/>
      <c r="F477" s="41"/>
      <c r="G477" s="42"/>
      <c r="H477" s="43"/>
      <c r="I477" s="42"/>
      <c r="J477" s="44"/>
      <c r="K477" s="44"/>
      <c r="L477" s="44"/>
      <c r="M477" s="45" t="str">
        <f t="shared" si="20"/>
        <v>Pass</v>
      </c>
      <c r="N477" s="46" t="str">
        <f>IFERROR(VLOOKUP(D477,'[1]Product Datasheet'!$A:$G,4,0),"")</f>
        <v/>
      </c>
      <c r="O477" s="47" t="str">
        <f>IFERROR(VLOOKUP(D477,'[1]Product Datasheet'!$A:$G,5,0),"")</f>
        <v/>
      </c>
      <c r="P477" s="47" t="str">
        <f>IFERROR(VLOOKUP(D477,'[1]Product Datasheet'!$A:$G,6,0),"")</f>
        <v/>
      </c>
      <c r="Q477" s="47" t="str">
        <f>IFERROR(VLOOKUP(D477,'[1]Product Datasheet'!$A:$G,7,0), "")</f>
        <v/>
      </c>
      <c r="R477" s="48"/>
      <c r="S477" s="49" t="str">
        <f t="shared" si="21"/>
        <v>Accept</v>
      </c>
      <c r="T477" s="50"/>
      <c r="U477" s="51"/>
    </row>
    <row r="478" spans="1:21" ht="24.75" customHeight="1" x14ac:dyDescent="0.3">
      <c r="A478" s="38" t="str">
        <f>IFERROR(VLOOKUP(D478,'[1]Product Datasheet'!$A:$G,2,0),"")</f>
        <v/>
      </c>
      <c r="B478" s="39" t="str">
        <f>IFERROR(VLOOKUP(D478,'[1]Product Datasheet'!$A:$G,3,0),"")</f>
        <v/>
      </c>
      <c r="C478" s="40"/>
      <c r="D478" s="41"/>
      <c r="E478" s="41"/>
      <c r="F478" s="41"/>
      <c r="G478" s="42"/>
      <c r="H478" s="43"/>
      <c r="I478" s="42"/>
      <c r="J478" s="44"/>
      <c r="K478" s="44"/>
      <c r="L478" s="44"/>
      <c r="M478" s="45" t="str">
        <f t="shared" si="20"/>
        <v>Pass</v>
      </c>
      <c r="N478" s="46" t="str">
        <f>IFERROR(VLOOKUP(D478,'[1]Product Datasheet'!$A:$G,4,0),"")</f>
        <v/>
      </c>
      <c r="O478" s="47" t="str">
        <f>IFERROR(VLOOKUP(D478,'[1]Product Datasheet'!$A:$G,5,0),"")</f>
        <v/>
      </c>
      <c r="P478" s="47" t="str">
        <f>IFERROR(VLOOKUP(D478,'[1]Product Datasheet'!$A:$G,6,0),"")</f>
        <v/>
      </c>
      <c r="Q478" s="47" t="str">
        <f>IFERROR(VLOOKUP(D478,'[1]Product Datasheet'!$A:$G,7,0), "")</f>
        <v/>
      </c>
      <c r="R478" s="48"/>
      <c r="S478" s="49" t="str">
        <f t="shared" si="21"/>
        <v>Accept</v>
      </c>
      <c r="T478" s="50"/>
      <c r="U478" s="51"/>
    </row>
    <row r="479" spans="1:21" ht="24.75" customHeight="1" x14ac:dyDescent="0.3">
      <c r="A479" s="38" t="str">
        <f>IFERROR(VLOOKUP(D479,'[1]Product Datasheet'!$A:$G,2,0),"")</f>
        <v/>
      </c>
      <c r="B479" s="39" t="str">
        <f>IFERROR(VLOOKUP(D479,'[1]Product Datasheet'!$A:$G,3,0),"")</f>
        <v/>
      </c>
      <c r="C479" s="40"/>
      <c r="D479" s="41"/>
      <c r="E479" s="41"/>
      <c r="F479" s="41"/>
      <c r="G479" s="42"/>
      <c r="H479" s="43"/>
      <c r="I479" s="42"/>
      <c r="J479" s="44"/>
      <c r="K479" s="44"/>
      <c r="L479" s="44"/>
      <c r="M479" s="45" t="str">
        <f t="shared" si="20"/>
        <v>Pass</v>
      </c>
      <c r="N479" s="46" t="str">
        <f>IFERROR(VLOOKUP(D479,'[1]Product Datasheet'!$A:$G,4,0),"")</f>
        <v/>
      </c>
      <c r="O479" s="47" t="str">
        <f>IFERROR(VLOOKUP(D479,'[1]Product Datasheet'!$A:$G,5,0),"")</f>
        <v/>
      </c>
      <c r="P479" s="47" t="str">
        <f>IFERROR(VLOOKUP(D479,'[1]Product Datasheet'!$A:$G,6,0),"")</f>
        <v/>
      </c>
      <c r="Q479" s="47" t="str">
        <f>IFERROR(VLOOKUP(D479,'[1]Product Datasheet'!$A:$G,7,0), "")</f>
        <v/>
      </c>
      <c r="R479" s="48"/>
      <c r="S479" s="49" t="str">
        <f t="shared" si="21"/>
        <v>Accept</v>
      </c>
      <c r="T479" s="50"/>
      <c r="U479" s="51"/>
    </row>
    <row r="480" spans="1:21" ht="24.75" customHeight="1" x14ac:dyDescent="0.3">
      <c r="A480" s="38" t="str">
        <f>IFERROR(VLOOKUP(D480,'[1]Product Datasheet'!$A:$G,2,0),"")</f>
        <v/>
      </c>
      <c r="B480" s="39" t="str">
        <f>IFERROR(VLOOKUP(D480,'[1]Product Datasheet'!$A:$G,3,0),"")</f>
        <v/>
      </c>
      <c r="C480" s="40"/>
      <c r="D480" s="41"/>
      <c r="E480" s="41"/>
      <c r="F480" s="41"/>
      <c r="G480" s="42"/>
      <c r="H480" s="43"/>
      <c r="I480" s="42"/>
      <c r="J480" s="44"/>
      <c r="K480" s="44"/>
      <c r="L480" s="44"/>
      <c r="M480" s="45" t="str">
        <f t="shared" si="20"/>
        <v>Pass</v>
      </c>
      <c r="N480" s="46" t="str">
        <f>IFERROR(VLOOKUP(D480,'[1]Product Datasheet'!$A:$G,4,0),"")</f>
        <v/>
      </c>
      <c r="O480" s="47" t="str">
        <f>IFERROR(VLOOKUP(D480,'[1]Product Datasheet'!$A:$G,5,0),"")</f>
        <v/>
      </c>
      <c r="P480" s="47" t="str">
        <f>IFERROR(VLOOKUP(D480,'[1]Product Datasheet'!$A:$G,6,0),"")</f>
        <v/>
      </c>
      <c r="Q480" s="47" t="str">
        <f>IFERROR(VLOOKUP(D480,'[1]Product Datasheet'!$A:$G,7,0), "")</f>
        <v/>
      </c>
      <c r="R480" s="48"/>
      <c r="S480" s="49" t="str">
        <f t="shared" si="21"/>
        <v>Accept</v>
      </c>
      <c r="T480" s="50"/>
      <c r="U480" s="51"/>
    </row>
    <row r="481" spans="1:21" ht="24.75" customHeight="1" x14ac:dyDescent="0.3">
      <c r="A481" s="38" t="str">
        <f>IFERROR(VLOOKUP(D481,'[1]Product Datasheet'!$A:$G,2,0),"")</f>
        <v/>
      </c>
      <c r="B481" s="39" t="str">
        <f>IFERROR(VLOOKUP(D481,'[1]Product Datasheet'!$A:$G,3,0),"")</f>
        <v/>
      </c>
      <c r="C481" s="40"/>
      <c r="D481" s="41"/>
      <c r="E481" s="41"/>
      <c r="F481" s="41"/>
      <c r="G481" s="42"/>
      <c r="H481" s="43"/>
      <c r="I481" s="42"/>
      <c r="J481" s="44"/>
      <c r="K481" s="44"/>
      <c r="L481" s="44"/>
      <c r="M481" s="45" t="str">
        <f t="shared" si="20"/>
        <v>Pass</v>
      </c>
      <c r="N481" s="46" t="str">
        <f>IFERROR(VLOOKUP(D481,'[1]Product Datasheet'!$A:$G,4,0),"")</f>
        <v/>
      </c>
      <c r="O481" s="47" t="str">
        <f>IFERROR(VLOOKUP(D481,'[1]Product Datasheet'!$A:$G,5,0),"")</f>
        <v/>
      </c>
      <c r="P481" s="47" t="str">
        <f>IFERROR(VLOOKUP(D481,'[1]Product Datasheet'!$A:$G,6,0),"")</f>
        <v/>
      </c>
      <c r="Q481" s="47" t="str">
        <f>IFERROR(VLOOKUP(D481,'[1]Product Datasheet'!$A:$G,7,0), "")</f>
        <v/>
      </c>
      <c r="R481" s="48"/>
      <c r="S481" s="49" t="str">
        <f t="shared" si="21"/>
        <v>Accept</v>
      </c>
      <c r="T481" s="50"/>
      <c r="U481" s="51"/>
    </row>
    <row r="482" spans="1:21" ht="24.75" customHeight="1" x14ac:dyDescent="0.3">
      <c r="A482" s="38" t="str">
        <f>IFERROR(VLOOKUP(D482,'[1]Product Datasheet'!$A:$G,2,0),"")</f>
        <v/>
      </c>
      <c r="B482" s="39" t="str">
        <f>IFERROR(VLOOKUP(D482,'[1]Product Datasheet'!$A:$G,3,0),"")</f>
        <v/>
      </c>
      <c r="C482" s="40"/>
      <c r="D482" s="41"/>
      <c r="E482" s="41"/>
      <c r="F482" s="41"/>
      <c r="G482" s="42"/>
      <c r="H482" s="43"/>
      <c r="I482" s="42"/>
      <c r="J482" s="44"/>
      <c r="K482" s="44"/>
      <c r="L482" s="44"/>
      <c r="M482" s="45" t="str">
        <f t="shared" si="20"/>
        <v>Pass</v>
      </c>
      <c r="N482" s="46" t="str">
        <f>IFERROR(VLOOKUP(D482,'[1]Product Datasheet'!$A:$G,4,0),"")</f>
        <v/>
      </c>
      <c r="O482" s="47" t="str">
        <f>IFERROR(VLOOKUP(D482,'[1]Product Datasheet'!$A:$G,5,0),"")</f>
        <v/>
      </c>
      <c r="P482" s="47" t="str">
        <f>IFERROR(VLOOKUP(D482,'[1]Product Datasheet'!$A:$G,6,0),"")</f>
        <v/>
      </c>
      <c r="Q482" s="47" t="str">
        <f>IFERROR(VLOOKUP(D482,'[1]Product Datasheet'!$A:$G,7,0), "")</f>
        <v/>
      </c>
      <c r="R482" s="48"/>
      <c r="S482" s="49" t="str">
        <f t="shared" si="21"/>
        <v>Accept</v>
      </c>
      <c r="T482" s="50"/>
      <c r="U482" s="51"/>
    </row>
    <row r="483" spans="1:21" ht="24.75" customHeight="1" x14ac:dyDescent="0.3">
      <c r="A483" s="38" t="str">
        <f>IFERROR(VLOOKUP(D483,'[1]Product Datasheet'!$A:$G,2,0),"")</f>
        <v/>
      </c>
      <c r="B483" s="39" t="str">
        <f>IFERROR(VLOOKUP(D483,'[1]Product Datasheet'!$A:$G,3,0),"")</f>
        <v/>
      </c>
      <c r="C483" s="40"/>
      <c r="D483" s="41"/>
      <c r="E483" s="41"/>
      <c r="F483" s="41"/>
      <c r="G483" s="42"/>
      <c r="H483" s="43"/>
      <c r="I483" s="42"/>
      <c r="J483" s="44"/>
      <c r="K483" s="44"/>
      <c r="L483" s="44"/>
      <c r="M483" s="45" t="str">
        <f t="shared" si="20"/>
        <v>Pass</v>
      </c>
      <c r="N483" s="46" t="str">
        <f>IFERROR(VLOOKUP(D483,'[1]Product Datasheet'!$A:$G,4,0),"")</f>
        <v/>
      </c>
      <c r="O483" s="47" t="str">
        <f>IFERROR(VLOOKUP(D483,'[1]Product Datasheet'!$A:$G,5,0),"")</f>
        <v/>
      </c>
      <c r="P483" s="47" t="str">
        <f>IFERROR(VLOOKUP(D483,'[1]Product Datasheet'!$A:$G,6,0),"")</f>
        <v/>
      </c>
      <c r="Q483" s="47" t="str">
        <f>IFERROR(VLOOKUP(D483,'[1]Product Datasheet'!$A:$G,7,0), "")</f>
        <v/>
      </c>
      <c r="R483" s="48"/>
      <c r="S483" s="49" t="str">
        <f t="shared" si="21"/>
        <v>Accept</v>
      </c>
      <c r="T483" s="50"/>
      <c r="U483" s="51"/>
    </row>
    <row r="484" spans="1:21" ht="24.75" customHeight="1" x14ac:dyDescent="0.3">
      <c r="A484" s="38" t="str">
        <f>IFERROR(VLOOKUP(D484,'[1]Product Datasheet'!$A:$G,2,0),"")</f>
        <v/>
      </c>
      <c r="B484" s="39" t="str">
        <f>IFERROR(VLOOKUP(D484,'[1]Product Datasheet'!$A:$G,3,0),"")</f>
        <v/>
      </c>
      <c r="C484" s="40"/>
      <c r="D484" s="41"/>
      <c r="E484" s="41"/>
      <c r="F484" s="41"/>
      <c r="G484" s="42"/>
      <c r="H484" s="43"/>
      <c r="I484" s="42"/>
      <c r="J484" s="44"/>
      <c r="K484" s="44"/>
      <c r="L484" s="44"/>
      <c r="M484" s="45" t="str">
        <f t="shared" si="20"/>
        <v>Pass</v>
      </c>
      <c r="N484" s="46" t="str">
        <f>IFERROR(VLOOKUP(D484,'[1]Product Datasheet'!$A:$G,4,0),"")</f>
        <v/>
      </c>
      <c r="O484" s="47" t="str">
        <f>IFERROR(VLOOKUP(D484,'[1]Product Datasheet'!$A:$G,5,0),"")</f>
        <v/>
      </c>
      <c r="P484" s="47" t="str">
        <f>IFERROR(VLOOKUP(D484,'[1]Product Datasheet'!$A:$G,6,0),"")</f>
        <v/>
      </c>
      <c r="Q484" s="47" t="str">
        <f>IFERROR(VLOOKUP(D484,'[1]Product Datasheet'!$A:$G,7,0), "")</f>
        <v/>
      </c>
      <c r="R484" s="48"/>
      <c r="S484" s="49" t="str">
        <f t="shared" si="21"/>
        <v>Accept</v>
      </c>
      <c r="T484" s="50"/>
      <c r="U484" s="51"/>
    </row>
    <row r="485" spans="1:21" ht="24.75" customHeight="1" x14ac:dyDescent="0.3">
      <c r="A485" s="38" t="str">
        <f>IFERROR(VLOOKUP(D485,'[1]Product Datasheet'!$A:$G,2,0),"")</f>
        <v/>
      </c>
      <c r="B485" s="39" t="str">
        <f>IFERROR(VLOOKUP(D485,'[1]Product Datasheet'!$A:$G,3,0),"")</f>
        <v/>
      </c>
      <c r="C485" s="40"/>
      <c r="D485" s="41"/>
      <c r="E485" s="41"/>
      <c r="F485" s="41"/>
      <c r="G485" s="42"/>
      <c r="H485" s="43"/>
      <c r="I485" s="42"/>
      <c r="J485" s="44"/>
      <c r="K485" s="44"/>
      <c r="L485" s="44"/>
      <c r="M485" s="45" t="str">
        <f t="shared" si="20"/>
        <v>Pass</v>
      </c>
      <c r="N485" s="46" t="str">
        <f>IFERROR(VLOOKUP(D485,'[1]Product Datasheet'!$A:$G,4,0),"")</f>
        <v/>
      </c>
      <c r="O485" s="47" t="str">
        <f>IFERROR(VLOOKUP(D485,'[1]Product Datasheet'!$A:$G,5,0),"")</f>
        <v/>
      </c>
      <c r="P485" s="47" t="str">
        <f>IFERROR(VLOOKUP(D485,'[1]Product Datasheet'!$A:$G,6,0),"")</f>
        <v/>
      </c>
      <c r="Q485" s="47" t="str">
        <f>IFERROR(VLOOKUP(D485,'[1]Product Datasheet'!$A:$G,7,0), "")</f>
        <v/>
      </c>
      <c r="R485" s="48"/>
      <c r="S485" s="49" t="str">
        <f t="shared" si="21"/>
        <v>Accept</v>
      </c>
      <c r="T485" s="50"/>
      <c r="U485" s="51"/>
    </row>
    <row r="486" spans="1:21" ht="24.75" customHeight="1" x14ac:dyDescent="0.3">
      <c r="A486" s="38" t="str">
        <f>IFERROR(VLOOKUP(D486,'[1]Product Datasheet'!$A:$G,2,0),"")</f>
        <v/>
      </c>
      <c r="B486" s="39" t="str">
        <f>IFERROR(VLOOKUP(D486,'[1]Product Datasheet'!$A:$G,3,0),"")</f>
        <v/>
      </c>
      <c r="C486" s="40"/>
      <c r="D486" s="41"/>
      <c r="E486" s="41"/>
      <c r="F486" s="41"/>
      <c r="G486" s="42"/>
      <c r="H486" s="43"/>
      <c r="I486" s="42"/>
      <c r="J486" s="44"/>
      <c r="K486" s="44"/>
      <c r="L486" s="44"/>
      <c r="M486" s="45" t="str">
        <f t="shared" si="20"/>
        <v>Pass</v>
      </c>
      <c r="N486" s="46" t="str">
        <f>IFERROR(VLOOKUP(D486,'[1]Product Datasheet'!$A:$G,4,0),"")</f>
        <v/>
      </c>
      <c r="O486" s="47" t="str">
        <f>IFERROR(VLOOKUP(D486,'[1]Product Datasheet'!$A:$G,5,0),"")</f>
        <v/>
      </c>
      <c r="P486" s="47" t="str">
        <f>IFERROR(VLOOKUP(D486,'[1]Product Datasheet'!$A:$G,6,0),"")</f>
        <v/>
      </c>
      <c r="Q486" s="47" t="str">
        <f>IFERROR(VLOOKUP(D486,'[1]Product Datasheet'!$A:$G,7,0), "")</f>
        <v/>
      </c>
      <c r="R486" s="48"/>
      <c r="S486" s="49" t="str">
        <f t="shared" si="21"/>
        <v>Accept</v>
      </c>
      <c r="T486" s="50"/>
      <c r="U486" s="51"/>
    </row>
    <row r="487" spans="1:21" ht="24.75" customHeight="1" x14ac:dyDescent="0.3">
      <c r="A487" s="38" t="str">
        <f>IFERROR(VLOOKUP(D487,'[1]Product Datasheet'!$A:$G,2,0),"")</f>
        <v/>
      </c>
      <c r="B487" s="39" t="str">
        <f>IFERROR(VLOOKUP(D487,'[1]Product Datasheet'!$A:$G,3,0),"")</f>
        <v/>
      </c>
      <c r="C487" s="40"/>
      <c r="D487" s="41"/>
      <c r="E487" s="41"/>
      <c r="F487" s="41"/>
      <c r="G487" s="42"/>
      <c r="H487" s="43"/>
      <c r="I487" s="42"/>
      <c r="J487" s="44"/>
      <c r="K487" s="44"/>
      <c r="L487" s="44"/>
      <c r="M487" s="45" t="str">
        <f t="shared" si="20"/>
        <v>Pass</v>
      </c>
      <c r="N487" s="46" t="str">
        <f>IFERROR(VLOOKUP(D487,'[1]Product Datasheet'!$A:$G,4,0),"")</f>
        <v/>
      </c>
      <c r="O487" s="47" t="str">
        <f>IFERROR(VLOOKUP(D487,'[1]Product Datasheet'!$A:$G,5,0),"")</f>
        <v/>
      </c>
      <c r="P487" s="47" t="str">
        <f>IFERROR(VLOOKUP(D487,'[1]Product Datasheet'!$A:$G,6,0),"")</f>
        <v/>
      </c>
      <c r="Q487" s="47" t="str">
        <f>IFERROR(VLOOKUP(D487,'[1]Product Datasheet'!$A:$G,7,0), "")</f>
        <v/>
      </c>
      <c r="R487" s="48"/>
      <c r="S487" s="49" t="str">
        <f t="shared" si="21"/>
        <v>Accept</v>
      </c>
      <c r="T487" s="50"/>
      <c r="U487" s="51"/>
    </row>
    <row r="488" spans="1:21" ht="24.75" customHeight="1" x14ac:dyDescent="0.3">
      <c r="A488" s="38" t="str">
        <f>IFERROR(VLOOKUP(D488,'[1]Product Datasheet'!$A:$G,2,0),"")</f>
        <v/>
      </c>
      <c r="B488" s="39" t="str">
        <f>IFERROR(VLOOKUP(D488,'[1]Product Datasheet'!$A:$G,3,0),"")</f>
        <v/>
      </c>
      <c r="C488" s="40"/>
      <c r="D488" s="41"/>
      <c r="E488" s="41"/>
      <c r="F488" s="41"/>
      <c r="G488" s="42"/>
      <c r="H488" s="43"/>
      <c r="I488" s="42"/>
      <c r="J488" s="44"/>
      <c r="K488" s="44"/>
      <c r="L488" s="44"/>
      <c r="M488" s="45" t="str">
        <f t="shared" si="20"/>
        <v>Pass</v>
      </c>
      <c r="N488" s="46" t="str">
        <f>IFERROR(VLOOKUP(D488,'[1]Product Datasheet'!$A:$G,4,0),"")</f>
        <v/>
      </c>
      <c r="O488" s="47" t="str">
        <f>IFERROR(VLOOKUP(D488,'[1]Product Datasheet'!$A:$G,5,0),"")</f>
        <v/>
      </c>
      <c r="P488" s="47" t="str">
        <f>IFERROR(VLOOKUP(D488,'[1]Product Datasheet'!$A:$G,6,0),"")</f>
        <v/>
      </c>
      <c r="Q488" s="47" t="str">
        <f>IFERROR(VLOOKUP(D488,'[1]Product Datasheet'!$A:$G,7,0), "")</f>
        <v/>
      </c>
      <c r="R488" s="48"/>
      <c r="S488" s="49" t="str">
        <f t="shared" si="21"/>
        <v>Accept</v>
      </c>
      <c r="T488" s="50"/>
      <c r="U488" s="51"/>
    </row>
    <row r="489" spans="1:21" ht="24.75" customHeight="1" x14ac:dyDescent="0.3">
      <c r="A489" s="38" t="str">
        <f>IFERROR(VLOOKUP(D489,'[1]Product Datasheet'!$A:$G,2,0),"")</f>
        <v/>
      </c>
      <c r="B489" s="39" t="str">
        <f>IFERROR(VLOOKUP(D489,'[1]Product Datasheet'!$A:$G,3,0),"")</f>
        <v/>
      </c>
      <c r="C489" s="40"/>
      <c r="D489" s="41"/>
      <c r="E489" s="41"/>
      <c r="F489" s="41"/>
      <c r="G489" s="42"/>
      <c r="H489" s="43"/>
      <c r="I489" s="42"/>
      <c r="J489" s="44"/>
      <c r="K489" s="44"/>
      <c r="L489" s="44"/>
      <c r="M489" s="45" t="str">
        <f t="shared" si="20"/>
        <v>Pass</v>
      </c>
      <c r="N489" s="46" t="str">
        <f>IFERROR(VLOOKUP(D489,'[1]Product Datasheet'!$A:$G,4,0),"")</f>
        <v/>
      </c>
      <c r="O489" s="47" t="str">
        <f>IFERROR(VLOOKUP(D489,'[1]Product Datasheet'!$A:$G,5,0),"")</f>
        <v/>
      </c>
      <c r="P489" s="47" t="str">
        <f>IFERROR(VLOOKUP(D489,'[1]Product Datasheet'!$A:$G,6,0),"")</f>
        <v/>
      </c>
      <c r="Q489" s="47" t="str">
        <f>IFERROR(VLOOKUP(D489,'[1]Product Datasheet'!$A:$G,7,0), "")</f>
        <v/>
      </c>
      <c r="R489" s="48"/>
      <c r="S489" s="49" t="str">
        <f t="shared" si="21"/>
        <v>Accept</v>
      </c>
      <c r="T489" s="50"/>
      <c r="U489" s="51"/>
    </row>
    <row r="490" spans="1:21" ht="24.75" customHeight="1" x14ac:dyDescent="0.3">
      <c r="A490" s="38" t="str">
        <f>IFERROR(VLOOKUP(D490,'[1]Product Datasheet'!$A:$G,2,0),"")</f>
        <v/>
      </c>
      <c r="B490" s="39" t="str">
        <f>IFERROR(VLOOKUP(D490,'[1]Product Datasheet'!$A:$G,3,0),"")</f>
        <v/>
      </c>
      <c r="C490" s="40"/>
      <c r="D490" s="41"/>
      <c r="E490" s="41"/>
      <c r="F490" s="41"/>
      <c r="G490" s="42"/>
      <c r="H490" s="43"/>
      <c r="I490" s="42"/>
      <c r="J490" s="44"/>
      <c r="K490" s="44"/>
      <c r="L490" s="44"/>
      <c r="M490" s="45" t="str">
        <f t="shared" si="20"/>
        <v>Pass</v>
      </c>
      <c r="N490" s="46" t="str">
        <f>IFERROR(VLOOKUP(D490,'[1]Product Datasheet'!$A:$G,4,0),"")</f>
        <v/>
      </c>
      <c r="O490" s="47" t="str">
        <f>IFERROR(VLOOKUP(D490,'[1]Product Datasheet'!$A:$G,5,0),"")</f>
        <v/>
      </c>
      <c r="P490" s="47" t="str">
        <f>IFERROR(VLOOKUP(D490,'[1]Product Datasheet'!$A:$G,6,0),"")</f>
        <v/>
      </c>
      <c r="Q490" s="47" t="str">
        <f>IFERROR(VLOOKUP(D490,'[1]Product Datasheet'!$A:$G,7,0), "")</f>
        <v/>
      </c>
      <c r="R490" s="48"/>
      <c r="S490" s="49" t="str">
        <f t="shared" si="21"/>
        <v>Accept</v>
      </c>
      <c r="T490" s="50"/>
      <c r="U490" s="51"/>
    </row>
    <row r="491" spans="1:21" ht="24.75" customHeight="1" x14ac:dyDescent="0.3">
      <c r="A491" s="38" t="str">
        <f>IFERROR(VLOOKUP(D491,'[1]Product Datasheet'!$A:$G,2,0),"")</f>
        <v/>
      </c>
      <c r="B491" s="39" t="str">
        <f>IFERROR(VLOOKUP(D491,'[1]Product Datasheet'!$A:$G,3,0),"")</f>
        <v/>
      </c>
      <c r="C491" s="40"/>
      <c r="D491" s="41"/>
      <c r="E491" s="41"/>
      <c r="F491" s="41"/>
      <c r="G491" s="42"/>
      <c r="H491" s="43"/>
      <c r="I491" s="42"/>
      <c r="J491" s="44"/>
      <c r="K491" s="44"/>
      <c r="L491" s="44"/>
      <c r="M491" s="45" t="str">
        <f t="shared" si="20"/>
        <v>Pass</v>
      </c>
      <c r="N491" s="46" t="str">
        <f>IFERROR(VLOOKUP(D491,'[1]Product Datasheet'!$A:$G,4,0),"")</f>
        <v/>
      </c>
      <c r="O491" s="47" t="str">
        <f>IFERROR(VLOOKUP(D491,'[1]Product Datasheet'!$A:$G,5,0),"")</f>
        <v/>
      </c>
      <c r="P491" s="47" t="str">
        <f>IFERROR(VLOOKUP(D491,'[1]Product Datasheet'!$A:$G,6,0),"")</f>
        <v/>
      </c>
      <c r="Q491" s="47" t="str">
        <f>IFERROR(VLOOKUP(D491,'[1]Product Datasheet'!$A:$G,7,0), "")</f>
        <v/>
      </c>
      <c r="R491" s="48"/>
      <c r="S491" s="49" t="str">
        <f t="shared" si="21"/>
        <v>Accept</v>
      </c>
      <c r="T491" s="50"/>
      <c r="U491" s="51"/>
    </row>
    <row r="492" spans="1:21" ht="24.75" customHeight="1" x14ac:dyDescent="0.3">
      <c r="A492" s="38" t="str">
        <f>IFERROR(VLOOKUP(D492,'[1]Product Datasheet'!$A:$G,2,0),"")</f>
        <v/>
      </c>
      <c r="B492" s="39" t="str">
        <f>IFERROR(VLOOKUP(D492,'[1]Product Datasheet'!$A:$G,3,0),"")</f>
        <v/>
      </c>
      <c r="C492" s="40"/>
      <c r="D492" s="41"/>
      <c r="E492" s="41"/>
      <c r="F492" s="41"/>
      <c r="G492" s="42"/>
      <c r="H492" s="43"/>
      <c r="I492" s="42"/>
      <c r="J492" s="44"/>
      <c r="K492" s="44"/>
      <c r="L492" s="44"/>
      <c r="M492" s="45" t="str">
        <f t="shared" si="20"/>
        <v>Pass</v>
      </c>
      <c r="N492" s="46" t="str">
        <f>IFERROR(VLOOKUP(D492,'[1]Product Datasheet'!$A:$G,4,0),"")</f>
        <v/>
      </c>
      <c r="O492" s="47" t="str">
        <f>IFERROR(VLOOKUP(D492,'[1]Product Datasheet'!$A:$G,5,0),"")</f>
        <v/>
      </c>
      <c r="P492" s="47" t="str">
        <f>IFERROR(VLOOKUP(D492,'[1]Product Datasheet'!$A:$G,6,0),"")</f>
        <v/>
      </c>
      <c r="Q492" s="47" t="str">
        <f>IFERROR(VLOOKUP(D492,'[1]Product Datasheet'!$A:$G,7,0), "")</f>
        <v/>
      </c>
      <c r="R492" s="48"/>
      <c r="S492" s="49" t="str">
        <f t="shared" si="21"/>
        <v>Accept</v>
      </c>
      <c r="T492" s="50"/>
      <c r="U492" s="51"/>
    </row>
    <row r="493" spans="1:21" ht="24.75" customHeight="1" x14ac:dyDescent="0.3">
      <c r="A493" s="38" t="str">
        <f>IFERROR(VLOOKUP(D493,'[1]Product Datasheet'!$A:$G,2,0),"")</f>
        <v/>
      </c>
      <c r="B493" s="39" t="str">
        <f>IFERROR(VLOOKUP(D493,'[1]Product Datasheet'!$A:$G,3,0),"")</f>
        <v/>
      </c>
      <c r="C493" s="40"/>
      <c r="D493" s="41"/>
      <c r="E493" s="41"/>
      <c r="F493" s="41"/>
      <c r="G493" s="42"/>
      <c r="H493" s="43"/>
      <c r="I493" s="42"/>
      <c r="J493" s="44"/>
      <c r="K493" s="44"/>
      <c r="L493" s="44"/>
      <c r="M493" s="45" t="str">
        <f t="shared" si="20"/>
        <v>Pass</v>
      </c>
      <c r="N493" s="46" t="str">
        <f>IFERROR(VLOOKUP(D493,'[1]Product Datasheet'!$A:$G,4,0),"")</f>
        <v/>
      </c>
      <c r="O493" s="47" t="str">
        <f>IFERROR(VLOOKUP(D493,'[1]Product Datasheet'!$A:$G,5,0),"")</f>
        <v/>
      </c>
      <c r="P493" s="47" t="str">
        <f>IFERROR(VLOOKUP(D493,'[1]Product Datasheet'!$A:$G,6,0),"")</f>
        <v/>
      </c>
      <c r="Q493" s="47" t="str">
        <f>IFERROR(VLOOKUP(D493,'[1]Product Datasheet'!$A:$G,7,0), "")</f>
        <v/>
      </c>
      <c r="R493" s="48"/>
      <c r="S493" s="49" t="str">
        <f t="shared" si="21"/>
        <v>Accept</v>
      </c>
      <c r="T493" s="50"/>
      <c r="U493" s="51"/>
    </row>
    <row r="494" spans="1:21" ht="24.75" customHeight="1" x14ac:dyDescent="0.3">
      <c r="A494" s="38" t="str">
        <f>IFERROR(VLOOKUP(D494,'[1]Product Datasheet'!$A:$G,2,0),"")</f>
        <v/>
      </c>
      <c r="B494" s="39" t="str">
        <f>IFERROR(VLOOKUP(D494,'[1]Product Datasheet'!$A:$G,3,0),"")</f>
        <v/>
      </c>
      <c r="C494" s="40"/>
      <c r="D494" s="41"/>
      <c r="E494" s="41"/>
      <c r="F494" s="41"/>
      <c r="G494" s="42"/>
      <c r="H494" s="43"/>
      <c r="I494" s="42"/>
      <c r="J494" s="44"/>
      <c r="K494" s="44"/>
      <c r="L494" s="44"/>
      <c r="M494" s="45" t="str">
        <f t="shared" si="20"/>
        <v>Pass</v>
      </c>
      <c r="N494" s="46" t="str">
        <f>IFERROR(VLOOKUP(D494,'[1]Product Datasheet'!$A:$G,4,0),"")</f>
        <v/>
      </c>
      <c r="O494" s="47" t="str">
        <f>IFERROR(VLOOKUP(D494,'[1]Product Datasheet'!$A:$G,5,0),"")</f>
        <v/>
      </c>
      <c r="P494" s="47" t="str">
        <f>IFERROR(VLOOKUP(D494,'[1]Product Datasheet'!$A:$G,6,0),"")</f>
        <v/>
      </c>
      <c r="Q494" s="47" t="str">
        <f>IFERROR(VLOOKUP(D494,'[1]Product Datasheet'!$A:$G,7,0), "")</f>
        <v/>
      </c>
      <c r="R494" s="48"/>
      <c r="S494" s="49" t="str">
        <f t="shared" si="21"/>
        <v>Accept</v>
      </c>
      <c r="T494" s="50"/>
      <c r="U494" s="51"/>
    </row>
    <row r="495" spans="1:21" ht="24.75" customHeight="1" x14ac:dyDescent="0.3">
      <c r="A495" s="38" t="str">
        <f>IFERROR(VLOOKUP(D495,'[1]Product Datasheet'!$A:$G,2,0),"")</f>
        <v/>
      </c>
      <c r="B495" s="39" t="str">
        <f>IFERROR(VLOOKUP(D495,'[1]Product Datasheet'!$A:$G,3,0),"")</f>
        <v/>
      </c>
      <c r="C495" s="40"/>
      <c r="D495" s="41"/>
      <c r="E495" s="41"/>
      <c r="F495" s="41"/>
      <c r="G495" s="42"/>
      <c r="H495" s="43"/>
      <c r="I495" s="42"/>
      <c r="J495" s="44"/>
      <c r="K495" s="44"/>
      <c r="L495" s="44"/>
      <c r="M495" s="45" t="str">
        <f t="shared" si="20"/>
        <v>Pass</v>
      </c>
      <c r="N495" s="46" t="str">
        <f>IFERROR(VLOOKUP(D495,'[1]Product Datasheet'!$A:$G,4,0),"")</f>
        <v/>
      </c>
      <c r="O495" s="47" t="str">
        <f>IFERROR(VLOOKUP(D495,'[1]Product Datasheet'!$A:$G,5,0),"")</f>
        <v/>
      </c>
      <c r="P495" s="47" t="str">
        <f>IFERROR(VLOOKUP(D495,'[1]Product Datasheet'!$A:$G,6,0),"")</f>
        <v/>
      </c>
      <c r="Q495" s="47" t="str">
        <f>IFERROR(VLOOKUP(D495,'[1]Product Datasheet'!$A:$G,7,0), "")</f>
        <v/>
      </c>
      <c r="R495" s="48"/>
      <c r="S495" s="49" t="str">
        <f t="shared" si="21"/>
        <v>Accept</v>
      </c>
      <c r="T495" s="50"/>
      <c r="U495" s="51"/>
    </row>
    <row r="496" spans="1:21" ht="24.75" customHeight="1" x14ac:dyDescent="0.3">
      <c r="A496" s="38" t="str">
        <f>IFERROR(VLOOKUP(D496,'[1]Product Datasheet'!$A:$G,2,0),"")</f>
        <v/>
      </c>
      <c r="B496" s="39" t="str">
        <f>IFERROR(VLOOKUP(D496,'[1]Product Datasheet'!$A:$G,3,0),"")</f>
        <v/>
      </c>
      <c r="C496" s="40"/>
      <c r="D496" s="41"/>
      <c r="E496" s="41"/>
      <c r="F496" s="41"/>
      <c r="G496" s="42"/>
      <c r="H496" s="43"/>
      <c r="I496" s="42"/>
      <c r="J496" s="44"/>
      <c r="K496" s="44"/>
      <c r="L496" s="44"/>
      <c r="M496" s="45" t="str">
        <f t="shared" si="20"/>
        <v>Pass</v>
      </c>
      <c r="N496" s="46" t="str">
        <f>IFERROR(VLOOKUP(D496,'[1]Product Datasheet'!$A:$G,4,0),"")</f>
        <v/>
      </c>
      <c r="O496" s="47" t="str">
        <f>IFERROR(VLOOKUP(D496,'[1]Product Datasheet'!$A:$G,5,0),"")</f>
        <v/>
      </c>
      <c r="P496" s="47" t="str">
        <f>IFERROR(VLOOKUP(D496,'[1]Product Datasheet'!$A:$G,6,0),"")</f>
        <v/>
      </c>
      <c r="Q496" s="47" t="str">
        <f>IFERROR(VLOOKUP(D496,'[1]Product Datasheet'!$A:$G,7,0), "")</f>
        <v/>
      </c>
      <c r="R496" s="48"/>
      <c r="S496" s="49" t="str">
        <f t="shared" si="21"/>
        <v>Accept</v>
      </c>
      <c r="T496" s="50"/>
      <c r="U496" s="51"/>
    </row>
    <row r="497" spans="1:21" ht="24.75" customHeight="1" x14ac:dyDescent="0.3">
      <c r="A497" s="38" t="str">
        <f>IFERROR(VLOOKUP(D497,'[1]Product Datasheet'!$A:$G,2,0),"")</f>
        <v/>
      </c>
      <c r="B497" s="39" t="str">
        <f>IFERROR(VLOOKUP(D497,'[1]Product Datasheet'!$A:$G,3,0),"")</f>
        <v/>
      </c>
      <c r="C497" s="40"/>
      <c r="D497" s="41"/>
      <c r="E497" s="41"/>
      <c r="F497" s="41"/>
      <c r="G497" s="42"/>
      <c r="H497" s="43"/>
      <c r="I497" s="42"/>
      <c r="J497" s="44"/>
      <c r="K497" s="44"/>
      <c r="L497" s="44"/>
      <c r="M497" s="45" t="str">
        <f t="shared" si="20"/>
        <v>Pass</v>
      </c>
      <c r="N497" s="46" t="str">
        <f>IFERROR(VLOOKUP(D497,'[1]Product Datasheet'!$A:$G,4,0),"")</f>
        <v/>
      </c>
      <c r="O497" s="47" t="str">
        <f>IFERROR(VLOOKUP(D497,'[1]Product Datasheet'!$A:$G,5,0),"")</f>
        <v/>
      </c>
      <c r="P497" s="47" t="str">
        <f>IFERROR(VLOOKUP(D497,'[1]Product Datasheet'!$A:$G,6,0),"")</f>
        <v/>
      </c>
      <c r="Q497" s="47" t="str">
        <f>IFERROR(VLOOKUP(D497,'[1]Product Datasheet'!$A:$G,7,0), "")</f>
        <v/>
      </c>
      <c r="R497" s="48"/>
      <c r="S497" s="49" t="str">
        <f t="shared" si="21"/>
        <v>Accept</v>
      </c>
      <c r="T497" s="50"/>
      <c r="U497" s="51"/>
    </row>
    <row r="498" spans="1:21" ht="24.75" customHeight="1" x14ac:dyDescent="0.3">
      <c r="A498" s="38" t="str">
        <f>IFERROR(VLOOKUP(D498,'[1]Product Datasheet'!$A:$G,2,0),"")</f>
        <v/>
      </c>
      <c r="B498" s="39" t="str">
        <f>IFERROR(VLOOKUP(D498,'[1]Product Datasheet'!$A:$G,3,0),"")</f>
        <v/>
      </c>
      <c r="C498" s="40"/>
      <c r="D498" s="41"/>
      <c r="E498" s="41"/>
      <c r="F498" s="41"/>
      <c r="G498" s="42"/>
      <c r="H498" s="43"/>
      <c r="I498" s="42"/>
      <c r="J498" s="44"/>
      <c r="K498" s="44"/>
      <c r="L498" s="44"/>
      <c r="M498" s="45" t="str">
        <f t="shared" si="20"/>
        <v>Pass</v>
      </c>
      <c r="N498" s="46" t="str">
        <f>IFERROR(VLOOKUP(D498,'[1]Product Datasheet'!$A:$G,4,0),"")</f>
        <v/>
      </c>
      <c r="O498" s="47" t="str">
        <f>IFERROR(VLOOKUP(D498,'[1]Product Datasheet'!$A:$G,5,0),"")</f>
        <v/>
      </c>
      <c r="P498" s="47" t="str">
        <f>IFERROR(VLOOKUP(D498,'[1]Product Datasheet'!$A:$G,6,0),"")</f>
        <v/>
      </c>
      <c r="Q498" s="47" t="str">
        <f>IFERROR(VLOOKUP(D498,'[1]Product Datasheet'!$A:$G,7,0), "")</f>
        <v/>
      </c>
      <c r="R498" s="48"/>
      <c r="S498" s="49" t="str">
        <f t="shared" si="21"/>
        <v>Accept</v>
      </c>
      <c r="T498" s="50"/>
      <c r="U498" s="51"/>
    </row>
    <row r="499" spans="1:21" ht="24.75" customHeight="1" x14ac:dyDescent="0.3">
      <c r="A499" s="38" t="str">
        <f>IFERROR(VLOOKUP(D499,'[1]Product Datasheet'!$A:$G,2,0),"")</f>
        <v/>
      </c>
      <c r="B499" s="39" t="str">
        <f>IFERROR(VLOOKUP(D499,'[1]Product Datasheet'!$A:$G,3,0),"")</f>
        <v/>
      </c>
      <c r="C499" s="40"/>
      <c r="D499" s="41"/>
      <c r="E499" s="41"/>
      <c r="F499" s="41"/>
      <c r="G499" s="42"/>
      <c r="H499" s="43"/>
      <c r="I499" s="42"/>
      <c r="J499" s="44"/>
      <c r="K499" s="44"/>
      <c r="L499" s="44"/>
      <c r="M499" s="45" t="str">
        <f t="shared" si="20"/>
        <v>Pass</v>
      </c>
      <c r="N499" s="46" t="str">
        <f>IFERROR(VLOOKUP(D499,'[1]Product Datasheet'!$A:$G,4,0),"")</f>
        <v/>
      </c>
      <c r="O499" s="47" t="str">
        <f>IFERROR(VLOOKUP(D499,'[1]Product Datasheet'!$A:$G,5,0),"")</f>
        <v/>
      </c>
      <c r="P499" s="47" t="str">
        <f>IFERROR(VLOOKUP(D499,'[1]Product Datasheet'!$A:$G,6,0),"")</f>
        <v/>
      </c>
      <c r="Q499" s="47" t="str">
        <f>IFERROR(VLOOKUP(D499,'[1]Product Datasheet'!$A:$G,7,0), "")</f>
        <v/>
      </c>
      <c r="R499" s="48"/>
      <c r="S499" s="49" t="str">
        <f t="shared" si="21"/>
        <v>Accept</v>
      </c>
      <c r="T499" s="50"/>
      <c r="U499" s="51"/>
    </row>
    <row r="500" spans="1:21" ht="24.75" customHeight="1" x14ac:dyDescent="0.3">
      <c r="A500" s="38" t="str">
        <f>IFERROR(VLOOKUP(D500,'[1]Product Datasheet'!$A:$G,2,0),"")</f>
        <v/>
      </c>
      <c r="B500" s="39" t="str">
        <f>IFERROR(VLOOKUP(D500,'[1]Product Datasheet'!$A:$G,3,0),"")</f>
        <v/>
      </c>
      <c r="C500" s="40"/>
      <c r="D500" s="41"/>
      <c r="E500" s="41"/>
      <c r="F500" s="41"/>
      <c r="G500" s="42"/>
      <c r="H500" s="43"/>
      <c r="I500" s="42"/>
      <c r="J500" s="44"/>
      <c r="K500" s="44"/>
      <c r="L500" s="44"/>
      <c r="M500" s="45" t="str">
        <f t="shared" si="20"/>
        <v>Pass</v>
      </c>
      <c r="N500" s="46" t="str">
        <f>IFERROR(VLOOKUP(D500,'[1]Product Datasheet'!$A:$G,4,0),"")</f>
        <v/>
      </c>
      <c r="O500" s="47" t="str">
        <f>IFERROR(VLOOKUP(D500,'[1]Product Datasheet'!$A:$G,5,0),"")</f>
        <v/>
      </c>
      <c r="P500" s="47" t="str">
        <f>IFERROR(VLOOKUP(D500,'[1]Product Datasheet'!$A:$G,6,0),"")</f>
        <v/>
      </c>
      <c r="Q500" s="47" t="str">
        <f>IFERROR(VLOOKUP(D500,'[1]Product Datasheet'!$A:$G,7,0), "")</f>
        <v/>
      </c>
      <c r="R500" s="48"/>
      <c r="S500" s="49" t="str">
        <f t="shared" si="21"/>
        <v>Accept</v>
      </c>
      <c r="T500" s="50"/>
      <c r="U500" s="51"/>
    </row>
    <row r="501" spans="1:21" ht="24.75" customHeight="1" x14ac:dyDescent="0.3">
      <c r="A501" s="38" t="str">
        <f>IFERROR(VLOOKUP(D501,'[1]Product Datasheet'!$A:$G,2,0),"")</f>
        <v/>
      </c>
      <c r="B501" s="39" t="str">
        <f>IFERROR(VLOOKUP(D501,'[1]Product Datasheet'!$A:$G,3,0),"")</f>
        <v/>
      </c>
      <c r="C501" s="40"/>
      <c r="D501" s="41"/>
      <c r="E501" s="41"/>
      <c r="F501" s="41"/>
      <c r="G501" s="42"/>
      <c r="H501" s="43"/>
      <c r="I501" s="42"/>
      <c r="J501" s="44"/>
      <c r="K501" s="44"/>
      <c r="L501" s="44"/>
      <c r="M501" s="45" t="str">
        <f t="shared" si="20"/>
        <v>Pass</v>
      </c>
      <c r="N501" s="46" t="str">
        <f>IFERROR(VLOOKUP(D501,'[1]Product Datasheet'!$A:$G,4,0),"")</f>
        <v/>
      </c>
      <c r="O501" s="47" t="str">
        <f>IFERROR(VLOOKUP(D501,'[1]Product Datasheet'!$A:$G,5,0),"")</f>
        <v/>
      </c>
      <c r="P501" s="47" t="str">
        <f>IFERROR(VLOOKUP(D501,'[1]Product Datasheet'!$A:$G,6,0),"")</f>
        <v/>
      </c>
      <c r="Q501" s="47" t="str">
        <f>IFERROR(VLOOKUP(D501,'[1]Product Datasheet'!$A:$G,7,0), "")</f>
        <v/>
      </c>
      <c r="R501" s="48"/>
      <c r="S501" s="49" t="str">
        <f t="shared" si="21"/>
        <v>Accept</v>
      </c>
      <c r="T501" s="50"/>
      <c r="U501" s="51"/>
    </row>
    <row r="502" spans="1:21" ht="24.75" customHeight="1" x14ac:dyDescent="0.3">
      <c r="A502" s="38" t="str">
        <f>IFERROR(VLOOKUP(D502,'[1]Product Datasheet'!$A:$G,2,0),"")</f>
        <v/>
      </c>
      <c r="B502" s="39" t="str">
        <f>IFERROR(VLOOKUP(D502,'[1]Product Datasheet'!$A:$G,3,0),"")</f>
        <v/>
      </c>
      <c r="C502" s="40"/>
      <c r="D502" s="41"/>
      <c r="E502" s="41"/>
      <c r="F502" s="41"/>
      <c r="G502" s="42"/>
      <c r="H502" s="43"/>
      <c r="I502" s="42"/>
      <c r="J502" s="44"/>
      <c r="K502" s="44"/>
      <c r="L502" s="44"/>
      <c r="M502" s="45" t="str">
        <f t="shared" si="20"/>
        <v>Pass</v>
      </c>
      <c r="N502" s="46" t="str">
        <f>IFERROR(VLOOKUP(D502,'[1]Product Datasheet'!$A:$G,4,0),"")</f>
        <v/>
      </c>
      <c r="O502" s="47" t="str">
        <f>IFERROR(VLOOKUP(D502,'[1]Product Datasheet'!$A:$G,5,0),"")</f>
        <v/>
      </c>
      <c r="P502" s="47" t="str">
        <f>IFERROR(VLOOKUP(D502,'[1]Product Datasheet'!$A:$G,6,0),"")</f>
        <v/>
      </c>
      <c r="Q502" s="47" t="str">
        <f>IFERROR(VLOOKUP(D502,'[1]Product Datasheet'!$A:$G,7,0), "")</f>
        <v/>
      </c>
      <c r="R502" s="48"/>
      <c r="S502" s="49" t="str">
        <f t="shared" si="21"/>
        <v>Accept</v>
      </c>
      <c r="T502" s="50"/>
      <c r="U502" s="51"/>
    </row>
    <row r="503" spans="1:21" ht="24.75" customHeight="1" x14ac:dyDescent="0.3">
      <c r="A503" s="38" t="str">
        <f>IFERROR(VLOOKUP(D503,'[1]Product Datasheet'!$A:$G,2,0),"")</f>
        <v/>
      </c>
      <c r="B503" s="39" t="str">
        <f>IFERROR(VLOOKUP(D503,'[1]Product Datasheet'!$A:$G,3,0),"")</f>
        <v/>
      </c>
      <c r="C503" s="40"/>
      <c r="D503" s="41"/>
      <c r="E503" s="41"/>
      <c r="F503" s="41"/>
      <c r="G503" s="42"/>
      <c r="H503" s="43"/>
      <c r="I503" s="42"/>
      <c r="J503" s="44"/>
      <c r="K503" s="44"/>
      <c r="L503" s="44"/>
      <c r="M503" s="45" t="str">
        <f t="shared" si="20"/>
        <v>Pass</v>
      </c>
      <c r="N503" s="46" t="str">
        <f>IFERROR(VLOOKUP(D503,'[1]Product Datasheet'!$A:$G,4,0),"")</f>
        <v/>
      </c>
      <c r="O503" s="47" t="str">
        <f>IFERROR(VLOOKUP(D503,'[1]Product Datasheet'!$A:$G,5,0),"")</f>
        <v/>
      </c>
      <c r="P503" s="47" t="str">
        <f>IFERROR(VLOOKUP(D503,'[1]Product Datasheet'!$A:$G,6,0),"")</f>
        <v/>
      </c>
      <c r="Q503" s="47" t="str">
        <f>IFERROR(VLOOKUP(D503,'[1]Product Datasheet'!$A:$G,7,0), "")</f>
        <v/>
      </c>
      <c r="R503" s="48"/>
      <c r="S503" s="49" t="str">
        <f t="shared" si="21"/>
        <v>Accept</v>
      </c>
      <c r="T503" s="50"/>
      <c r="U503" s="51"/>
    </row>
    <row r="504" spans="1:21" ht="24.75" customHeight="1" x14ac:dyDescent="0.3">
      <c r="A504" s="38" t="str">
        <f>IFERROR(VLOOKUP(D504,'[1]Product Datasheet'!$A:$G,2,0),"")</f>
        <v/>
      </c>
      <c r="B504" s="39" t="str">
        <f>IFERROR(VLOOKUP(D504,'[1]Product Datasheet'!$A:$G,3,0),"")</f>
        <v/>
      </c>
      <c r="C504" s="40"/>
      <c r="D504" s="41"/>
      <c r="E504" s="41"/>
      <c r="F504" s="41"/>
      <c r="G504" s="42"/>
      <c r="H504" s="43"/>
      <c r="I504" s="42"/>
      <c r="J504" s="44"/>
      <c r="K504" s="44"/>
      <c r="L504" s="44"/>
      <c r="M504" s="45" t="str">
        <f t="shared" si="20"/>
        <v>Pass</v>
      </c>
      <c r="N504" s="46" t="str">
        <f>IFERROR(VLOOKUP(D504,'[1]Product Datasheet'!$A:$G,4,0),"")</f>
        <v/>
      </c>
      <c r="O504" s="47" t="str">
        <f>IFERROR(VLOOKUP(D504,'[1]Product Datasheet'!$A:$G,5,0),"")</f>
        <v/>
      </c>
      <c r="P504" s="47" t="str">
        <f>IFERROR(VLOOKUP(D504,'[1]Product Datasheet'!$A:$G,6,0),"")</f>
        <v/>
      </c>
      <c r="Q504" s="47" t="str">
        <f>IFERROR(VLOOKUP(D504,'[1]Product Datasheet'!$A:$G,7,0), "")</f>
        <v/>
      </c>
      <c r="R504" s="48"/>
      <c r="S504" s="49" t="str">
        <f t="shared" si="21"/>
        <v>Accept</v>
      </c>
      <c r="T504" s="50"/>
      <c r="U504" s="51"/>
    </row>
    <row r="505" spans="1:21" ht="24.75" customHeight="1" x14ac:dyDescent="0.3">
      <c r="A505" s="38" t="str">
        <f>IFERROR(VLOOKUP(D505,'[1]Product Datasheet'!$A:$G,2,0),"")</f>
        <v/>
      </c>
      <c r="B505" s="39" t="str">
        <f>IFERROR(VLOOKUP(D505,'[1]Product Datasheet'!$A:$G,3,0),"")</f>
        <v/>
      </c>
      <c r="C505" s="40"/>
      <c r="D505" s="41"/>
      <c r="E505" s="41"/>
      <c r="F505" s="41"/>
      <c r="G505" s="42"/>
      <c r="H505" s="43"/>
      <c r="I505" s="42"/>
      <c r="J505" s="44"/>
      <c r="K505" s="44"/>
      <c r="L505" s="44"/>
      <c r="M505" s="45" t="str">
        <f t="shared" si="20"/>
        <v>Pass</v>
      </c>
      <c r="N505" s="46" t="str">
        <f>IFERROR(VLOOKUP(D505,'[1]Product Datasheet'!$A:$G,4,0),"")</f>
        <v/>
      </c>
      <c r="O505" s="47" t="str">
        <f>IFERROR(VLOOKUP(D505,'[1]Product Datasheet'!$A:$G,5,0),"")</f>
        <v/>
      </c>
      <c r="P505" s="47" t="str">
        <f>IFERROR(VLOOKUP(D505,'[1]Product Datasheet'!$A:$G,6,0),"")</f>
        <v/>
      </c>
      <c r="Q505" s="47" t="str">
        <f>IFERROR(VLOOKUP(D505,'[1]Product Datasheet'!$A:$G,7,0), "")</f>
        <v/>
      </c>
      <c r="R505" s="48"/>
      <c r="S505" s="49" t="str">
        <f t="shared" si="21"/>
        <v>Accept</v>
      </c>
      <c r="T505" s="50"/>
      <c r="U505" s="51"/>
    </row>
    <row r="506" spans="1:21" ht="24.75" customHeight="1" x14ac:dyDescent="0.3">
      <c r="A506" s="38" t="str">
        <f>IFERROR(VLOOKUP(D506,'[1]Product Datasheet'!$A:$G,2,0),"")</f>
        <v/>
      </c>
      <c r="B506" s="39" t="str">
        <f>IFERROR(VLOOKUP(D506,'[1]Product Datasheet'!$A:$G,3,0),"")</f>
        <v/>
      </c>
      <c r="C506" s="40"/>
      <c r="D506" s="41"/>
      <c r="E506" s="41"/>
      <c r="F506" s="41"/>
      <c r="G506" s="42"/>
      <c r="H506" s="43"/>
      <c r="I506" s="42"/>
      <c r="J506" s="44"/>
      <c r="K506" s="44"/>
      <c r="L506" s="44"/>
      <c r="M506" s="45" t="str">
        <f t="shared" si="20"/>
        <v>Pass</v>
      </c>
      <c r="N506" s="46" t="str">
        <f>IFERROR(VLOOKUP(D506,'[1]Product Datasheet'!$A:$G,4,0),"")</f>
        <v/>
      </c>
      <c r="O506" s="47" t="str">
        <f>IFERROR(VLOOKUP(D506,'[1]Product Datasheet'!$A:$G,5,0),"")</f>
        <v/>
      </c>
      <c r="P506" s="47" t="str">
        <f>IFERROR(VLOOKUP(D506,'[1]Product Datasheet'!$A:$G,6,0),"")</f>
        <v/>
      </c>
      <c r="Q506" s="47" t="str">
        <f>IFERROR(VLOOKUP(D506,'[1]Product Datasheet'!$A:$G,7,0), "")</f>
        <v/>
      </c>
      <c r="R506" s="48"/>
      <c r="S506" s="49" t="str">
        <f t="shared" si="21"/>
        <v>Accept</v>
      </c>
      <c r="T506" s="50"/>
      <c r="U506" s="51"/>
    </row>
    <row r="507" spans="1:21" ht="24.75" customHeight="1" x14ac:dyDescent="0.3">
      <c r="A507" s="38" t="str">
        <f>IFERROR(VLOOKUP(D507,'[1]Product Datasheet'!$A:$G,2,0),"")</f>
        <v/>
      </c>
      <c r="B507" s="39" t="str">
        <f>IFERROR(VLOOKUP(D507,'[1]Product Datasheet'!$A:$G,3,0),"")</f>
        <v/>
      </c>
      <c r="C507" s="40"/>
      <c r="D507" s="41"/>
      <c r="E507" s="41"/>
      <c r="F507" s="41"/>
      <c r="G507" s="42"/>
      <c r="H507" s="43"/>
      <c r="I507" s="42"/>
      <c r="J507" s="44"/>
      <c r="K507" s="44"/>
      <c r="L507" s="44"/>
      <c r="M507" s="45" t="str">
        <f t="shared" si="20"/>
        <v>Pass</v>
      </c>
      <c r="N507" s="46" t="str">
        <f>IFERROR(VLOOKUP(D507,'[1]Product Datasheet'!$A:$G,4,0),"")</f>
        <v/>
      </c>
      <c r="O507" s="47" t="str">
        <f>IFERROR(VLOOKUP(D507,'[1]Product Datasheet'!$A:$G,5,0),"")</f>
        <v/>
      </c>
      <c r="P507" s="47" t="str">
        <f>IFERROR(VLOOKUP(D507,'[1]Product Datasheet'!$A:$G,6,0),"")</f>
        <v/>
      </c>
      <c r="Q507" s="47" t="str">
        <f>IFERROR(VLOOKUP(D507,'[1]Product Datasheet'!$A:$G,7,0), "")</f>
        <v/>
      </c>
      <c r="R507" s="48"/>
      <c r="S507" s="49" t="str">
        <f t="shared" si="21"/>
        <v>Accept</v>
      </c>
      <c r="T507" s="50"/>
      <c r="U507" s="51"/>
    </row>
    <row r="508" spans="1:21" ht="24.75" customHeight="1" x14ac:dyDescent="0.3">
      <c r="A508" s="38" t="str">
        <f>IFERROR(VLOOKUP(D508,'[1]Product Datasheet'!$A:$G,2,0),"")</f>
        <v/>
      </c>
      <c r="B508" s="39" t="str">
        <f>IFERROR(VLOOKUP(D508,'[1]Product Datasheet'!$A:$G,3,0),"")</f>
        <v/>
      </c>
      <c r="C508" s="40"/>
      <c r="D508" s="41"/>
      <c r="E508" s="41"/>
      <c r="F508" s="41"/>
      <c r="G508" s="42"/>
      <c r="H508" s="43"/>
      <c r="I508" s="42"/>
      <c r="J508" s="44"/>
      <c r="K508" s="44"/>
      <c r="L508" s="44"/>
      <c r="M508" s="45" t="str">
        <f t="shared" si="20"/>
        <v>Pass</v>
      </c>
      <c r="N508" s="46" t="str">
        <f>IFERROR(VLOOKUP(D508,'[1]Product Datasheet'!$A:$G,4,0),"")</f>
        <v/>
      </c>
      <c r="O508" s="47" t="str">
        <f>IFERROR(VLOOKUP(D508,'[1]Product Datasheet'!$A:$G,5,0),"")</f>
        <v/>
      </c>
      <c r="P508" s="47" t="str">
        <f>IFERROR(VLOOKUP(D508,'[1]Product Datasheet'!$A:$G,6,0),"")</f>
        <v/>
      </c>
      <c r="Q508" s="47" t="str">
        <f>IFERROR(VLOOKUP(D508,'[1]Product Datasheet'!$A:$G,7,0), "")</f>
        <v/>
      </c>
      <c r="R508" s="48"/>
      <c r="S508" s="49" t="str">
        <f t="shared" si="21"/>
        <v>Accept</v>
      </c>
      <c r="T508" s="50"/>
      <c r="U508" s="51"/>
    </row>
    <row r="509" spans="1:21" ht="24.75" customHeight="1" x14ac:dyDescent="0.3">
      <c r="A509" s="38" t="str">
        <f>IFERROR(VLOOKUP(D509,'[1]Product Datasheet'!$A:$G,2,0),"")</f>
        <v/>
      </c>
      <c r="B509" s="39" t="str">
        <f>IFERROR(VLOOKUP(D509,'[1]Product Datasheet'!$A:$G,3,0),"")</f>
        <v/>
      </c>
      <c r="C509" s="40"/>
      <c r="D509" s="41"/>
      <c r="E509" s="41"/>
      <c r="F509" s="41"/>
      <c r="G509" s="42"/>
      <c r="H509" s="43"/>
      <c r="I509" s="42"/>
      <c r="J509" s="44"/>
      <c r="K509" s="44"/>
      <c r="L509" s="44"/>
      <c r="M509" s="45" t="str">
        <f t="shared" si="20"/>
        <v>Pass</v>
      </c>
      <c r="N509" s="46" t="str">
        <f>IFERROR(VLOOKUP(D509,'[1]Product Datasheet'!$A:$G,4,0),"")</f>
        <v/>
      </c>
      <c r="O509" s="47" t="str">
        <f>IFERROR(VLOOKUP(D509,'[1]Product Datasheet'!$A:$G,5,0),"")</f>
        <v/>
      </c>
      <c r="P509" s="47" t="str">
        <f>IFERROR(VLOOKUP(D509,'[1]Product Datasheet'!$A:$G,6,0),"")</f>
        <v/>
      </c>
      <c r="Q509" s="47" t="str">
        <f>IFERROR(VLOOKUP(D509,'[1]Product Datasheet'!$A:$G,7,0), "")</f>
        <v/>
      </c>
      <c r="R509" s="48"/>
      <c r="S509" s="49" t="str">
        <f t="shared" si="21"/>
        <v>Accept</v>
      </c>
      <c r="T509" s="50"/>
      <c r="U509" s="51"/>
    </row>
    <row r="510" spans="1:21" ht="24.75" customHeight="1" x14ac:dyDescent="0.3">
      <c r="A510" s="38" t="str">
        <f>IFERROR(VLOOKUP(D510,'[1]Product Datasheet'!$A:$G,2,0),"")</f>
        <v/>
      </c>
      <c r="B510" s="39" t="str">
        <f>IFERROR(VLOOKUP(D510,'[1]Product Datasheet'!$A:$G,3,0),"")</f>
        <v/>
      </c>
      <c r="C510" s="40"/>
      <c r="D510" s="41"/>
      <c r="E510" s="41"/>
      <c r="F510" s="41"/>
      <c r="G510" s="42"/>
      <c r="H510" s="43"/>
      <c r="I510" s="42"/>
      <c r="J510" s="44"/>
      <c r="K510" s="44"/>
      <c r="L510" s="44"/>
      <c r="M510" s="45" t="str">
        <f t="shared" si="20"/>
        <v>Pass</v>
      </c>
      <c r="N510" s="46" t="str">
        <f>IFERROR(VLOOKUP(D510,'[1]Product Datasheet'!$A:$G,4,0),"")</f>
        <v/>
      </c>
      <c r="O510" s="47" t="str">
        <f>IFERROR(VLOOKUP(D510,'[1]Product Datasheet'!$A:$G,5,0),"")</f>
        <v/>
      </c>
      <c r="P510" s="47" t="str">
        <f>IFERROR(VLOOKUP(D510,'[1]Product Datasheet'!$A:$G,6,0),"")</f>
        <v/>
      </c>
      <c r="Q510" s="47" t="str">
        <f>IFERROR(VLOOKUP(D510,'[1]Product Datasheet'!$A:$G,7,0), "")</f>
        <v/>
      </c>
      <c r="R510" s="48"/>
      <c r="S510" s="49" t="str">
        <f t="shared" si="21"/>
        <v>Accept</v>
      </c>
      <c r="T510" s="50"/>
      <c r="U510" s="51"/>
    </row>
    <row r="511" spans="1:21" ht="24.75" customHeight="1" x14ac:dyDescent="0.3">
      <c r="A511" s="38" t="str">
        <f>IFERROR(VLOOKUP(D511,'[1]Product Datasheet'!$A:$G,2,0),"")</f>
        <v/>
      </c>
      <c r="B511" s="39" t="str">
        <f>IFERROR(VLOOKUP(D511,'[1]Product Datasheet'!$A:$G,3,0),"")</f>
        <v/>
      </c>
      <c r="C511" s="40"/>
      <c r="D511" s="41"/>
      <c r="E511" s="41"/>
      <c r="F511" s="41"/>
      <c r="G511" s="42"/>
      <c r="H511" s="43"/>
      <c r="I511" s="42"/>
      <c r="J511" s="44"/>
      <c r="K511" s="44"/>
      <c r="L511" s="44"/>
      <c r="M511" s="45" t="str">
        <f t="shared" si="20"/>
        <v>Pass</v>
      </c>
      <c r="N511" s="46" t="str">
        <f>IFERROR(VLOOKUP(D511,'[1]Product Datasheet'!$A:$G,4,0),"")</f>
        <v/>
      </c>
      <c r="O511" s="47" t="str">
        <f>IFERROR(VLOOKUP(D511,'[1]Product Datasheet'!$A:$G,5,0),"")</f>
        <v/>
      </c>
      <c r="P511" s="47" t="str">
        <f>IFERROR(VLOOKUP(D511,'[1]Product Datasheet'!$A:$G,6,0),"")</f>
        <v/>
      </c>
      <c r="Q511" s="47" t="str">
        <f>IFERROR(VLOOKUP(D511,'[1]Product Datasheet'!$A:$G,7,0), "")</f>
        <v/>
      </c>
      <c r="R511" s="48"/>
      <c r="S511" s="49" t="str">
        <f t="shared" si="21"/>
        <v>Accept</v>
      </c>
      <c r="T511" s="50"/>
      <c r="U511" s="51"/>
    </row>
    <row r="512" spans="1:21" ht="24.75" customHeight="1" x14ac:dyDescent="0.3">
      <c r="A512" s="38" t="str">
        <f>IFERROR(VLOOKUP(D512,'[1]Product Datasheet'!$A:$G,2,0),"")</f>
        <v/>
      </c>
      <c r="B512" s="39" t="str">
        <f>IFERROR(VLOOKUP(D512,'[1]Product Datasheet'!$A:$G,3,0),"")</f>
        <v/>
      </c>
      <c r="C512" s="40"/>
      <c r="D512" s="41"/>
      <c r="E512" s="41"/>
      <c r="F512" s="41"/>
      <c r="G512" s="42"/>
      <c r="H512" s="43"/>
      <c r="I512" s="42"/>
      <c r="J512" s="44"/>
      <c r="K512" s="44"/>
      <c r="L512" s="44"/>
      <c r="M512" s="45" t="str">
        <f t="shared" si="20"/>
        <v>Pass</v>
      </c>
      <c r="N512" s="46" t="str">
        <f>IFERROR(VLOOKUP(D512,'[1]Product Datasheet'!$A:$G,4,0),"")</f>
        <v/>
      </c>
      <c r="O512" s="47" t="str">
        <f>IFERROR(VLOOKUP(D512,'[1]Product Datasheet'!$A:$G,5,0),"")</f>
        <v/>
      </c>
      <c r="P512" s="47" t="str">
        <f>IFERROR(VLOOKUP(D512,'[1]Product Datasheet'!$A:$G,6,0),"")</f>
        <v/>
      </c>
      <c r="Q512" s="47" t="str">
        <f>IFERROR(VLOOKUP(D512,'[1]Product Datasheet'!$A:$G,7,0), "")</f>
        <v/>
      </c>
      <c r="R512" s="48"/>
      <c r="S512" s="49" t="str">
        <f t="shared" si="21"/>
        <v>Accept</v>
      </c>
      <c r="T512" s="50"/>
      <c r="U512" s="51"/>
    </row>
    <row r="513" spans="1:21" ht="24.75" customHeight="1" x14ac:dyDescent="0.3">
      <c r="A513" s="38" t="str">
        <f>IFERROR(VLOOKUP(D513,'[1]Product Datasheet'!$A:$G,2,0),"")</f>
        <v/>
      </c>
      <c r="B513" s="39" t="str">
        <f>IFERROR(VLOOKUP(D513,'[1]Product Datasheet'!$A:$G,3,0),"")</f>
        <v/>
      </c>
      <c r="C513" s="40"/>
      <c r="D513" s="41"/>
      <c r="E513" s="41"/>
      <c r="F513" s="41"/>
      <c r="G513" s="42"/>
      <c r="H513" s="43"/>
      <c r="I513" s="42"/>
      <c r="J513" s="44"/>
      <c r="K513" s="44"/>
      <c r="L513" s="44"/>
      <c r="M513" s="45" t="str">
        <f t="shared" si="20"/>
        <v>Pass</v>
      </c>
      <c r="N513" s="46" t="str">
        <f>IFERROR(VLOOKUP(D513,'[1]Product Datasheet'!$A:$G,4,0),"")</f>
        <v/>
      </c>
      <c r="O513" s="47" t="str">
        <f>IFERROR(VLOOKUP(D513,'[1]Product Datasheet'!$A:$G,5,0),"")</f>
        <v/>
      </c>
      <c r="P513" s="47" t="str">
        <f>IFERROR(VLOOKUP(D513,'[1]Product Datasheet'!$A:$G,6,0),"")</f>
        <v/>
      </c>
      <c r="Q513" s="47" t="str">
        <f>IFERROR(VLOOKUP(D513,'[1]Product Datasheet'!$A:$G,7,0), "")</f>
        <v/>
      </c>
      <c r="R513" s="48"/>
      <c r="S513" s="49" t="str">
        <f t="shared" si="21"/>
        <v>Accept</v>
      </c>
      <c r="T513" s="50"/>
      <c r="U513" s="51"/>
    </row>
    <row r="514" spans="1:21" ht="24.75" customHeight="1" x14ac:dyDescent="0.3">
      <c r="A514" s="38" t="str">
        <f>IFERROR(VLOOKUP(D514,'[1]Product Datasheet'!$A:$G,2,0),"")</f>
        <v/>
      </c>
      <c r="B514" s="39" t="str">
        <f>IFERROR(VLOOKUP(D514,'[1]Product Datasheet'!$A:$G,3,0),"")</f>
        <v/>
      </c>
      <c r="C514" s="40"/>
      <c r="D514" s="41"/>
      <c r="E514" s="41"/>
      <c r="F514" s="41"/>
      <c r="G514" s="42"/>
      <c r="H514" s="43"/>
      <c r="I514" s="42"/>
      <c r="J514" s="44"/>
      <c r="K514" s="44"/>
      <c r="L514" s="44"/>
      <c r="M514" s="45" t="str">
        <f t="shared" si="20"/>
        <v>Pass</v>
      </c>
      <c r="N514" s="46" t="str">
        <f>IFERROR(VLOOKUP(D514,'[1]Product Datasheet'!$A:$G,4,0),"")</f>
        <v/>
      </c>
      <c r="O514" s="47" t="str">
        <f>IFERROR(VLOOKUP(D514,'[1]Product Datasheet'!$A:$G,5,0),"")</f>
        <v/>
      </c>
      <c r="P514" s="47" t="str">
        <f>IFERROR(VLOOKUP(D514,'[1]Product Datasheet'!$A:$G,6,0),"")</f>
        <v/>
      </c>
      <c r="Q514" s="47" t="str">
        <f>IFERROR(VLOOKUP(D514,'[1]Product Datasheet'!$A:$G,7,0), "")</f>
        <v/>
      </c>
      <c r="R514" s="48"/>
      <c r="S514" s="49" t="str">
        <f t="shared" si="21"/>
        <v>Accept</v>
      </c>
      <c r="T514" s="50"/>
      <c r="U514" s="51"/>
    </row>
    <row r="515" spans="1:21" ht="24.75" customHeight="1" x14ac:dyDescent="0.3">
      <c r="A515" s="38" t="str">
        <f>IFERROR(VLOOKUP(D515,'[1]Product Datasheet'!$A:$G,2,0),"")</f>
        <v/>
      </c>
      <c r="B515" s="39" t="str">
        <f>IFERROR(VLOOKUP(D515,'[1]Product Datasheet'!$A:$G,3,0),"")</f>
        <v/>
      </c>
      <c r="C515" s="40"/>
      <c r="D515" s="41"/>
      <c r="E515" s="41"/>
      <c r="F515" s="41"/>
      <c r="G515" s="42"/>
      <c r="H515" s="43"/>
      <c r="I515" s="42"/>
      <c r="J515" s="44"/>
      <c r="K515" s="44"/>
      <c r="L515" s="44"/>
      <c r="M515" s="45" t="str">
        <f t="shared" si="20"/>
        <v>Pass</v>
      </c>
      <c r="N515" s="46" t="str">
        <f>IFERROR(VLOOKUP(D515,'[1]Product Datasheet'!$A:$G,4,0),"")</f>
        <v/>
      </c>
      <c r="O515" s="47" t="str">
        <f>IFERROR(VLOOKUP(D515,'[1]Product Datasheet'!$A:$G,5,0),"")</f>
        <v/>
      </c>
      <c r="P515" s="47" t="str">
        <f>IFERROR(VLOOKUP(D515,'[1]Product Datasheet'!$A:$G,6,0),"")</f>
        <v/>
      </c>
      <c r="Q515" s="47" t="str">
        <f>IFERROR(VLOOKUP(D515,'[1]Product Datasheet'!$A:$G,7,0), "")</f>
        <v/>
      </c>
      <c r="R515" s="48"/>
      <c r="S515" s="49" t="str">
        <f t="shared" si="21"/>
        <v>Accept</v>
      </c>
      <c r="T515" s="50"/>
      <c r="U515" s="51"/>
    </row>
    <row r="516" spans="1:21" ht="24.75" customHeight="1" x14ac:dyDescent="0.3">
      <c r="A516" s="38" t="str">
        <f>IFERROR(VLOOKUP(D516,'[1]Product Datasheet'!$A:$G,2,0),"")</f>
        <v/>
      </c>
      <c r="B516" s="39" t="str">
        <f>IFERROR(VLOOKUP(D516,'[1]Product Datasheet'!$A:$G,3,0),"")</f>
        <v/>
      </c>
      <c r="C516" s="40"/>
      <c r="D516" s="41"/>
      <c r="E516" s="41"/>
      <c r="F516" s="41"/>
      <c r="G516" s="42"/>
      <c r="H516" s="43"/>
      <c r="I516" s="42"/>
      <c r="J516" s="44"/>
      <c r="K516" s="44"/>
      <c r="L516" s="44"/>
      <c r="M516" s="45" t="str">
        <f t="shared" si="20"/>
        <v>Pass</v>
      </c>
      <c r="N516" s="46" t="str">
        <f>IFERROR(VLOOKUP(D516,'[1]Product Datasheet'!$A:$G,4,0),"")</f>
        <v/>
      </c>
      <c r="O516" s="47" t="str">
        <f>IFERROR(VLOOKUP(D516,'[1]Product Datasheet'!$A:$G,5,0),"")</f>
        <v/>
      </c>
      <c r="P516" s="47" t="str">
        <f>IFERROR(VLOOKUP(D516,'[1]Product Datasheet'!$A:$G,6,0),"")</f>
        <v/>
      </c>
      <c r="Q516" s="47" t="str">
        <f>IFERROR(VLOOKUP(D516,'[1]Product Datasheet'!$A:$G,7,0), "")</f>
        <v/>
      </c>
      <c r="R516" s="48"/>
      <c r="S516" s="49" t="str">
        <f t="shared" si="21"/>
        <v>Accept</v>
      </c>
      <c r="T516" s="50"/>
      <c r="U516" s="51"/>
    </row>
    <row r="517" spans="1:21" ht="24.75" customHeight="1" x14ac:dyDescent="0.3">
      <c r="A517" s="38" t="str">
        <f>IFERROR(VLOOKUP(D517,'[1]Product Datasheet'!$A:$G,2,0),"")</f>
        <v/>
      </c>
      <c r="B517" s="39" t="str">
        <f>IFERROR(VLOOKUP(D517,'[1]Product Datasheet'!$A:$G,3,0),"")</f>
        <v/>
      </c>
      <c r="C517" s="40"/>
      <c r="D517" s="41"/>
      <c r="E517" s="41"/>
      <c r="F517" s="41"/>
      <c r="G517" s="42"/>
      <c r="H517" s="43"/>
      <c r="I517" s="42"/>
      <c r="J517" s="44"/>
      <c r="K517" s="44"/>
      <c r="L517" s="44"/>
      <c r="M517" s="45" t="str">
        <f t="shared" si="20"/>
        <v>Pass</v>
      </c>
      <c r="N517" s="46" t="str">
        <f>IFERROR(VLOOKUP(D517,'[1]Product Datasheet'!$A:$G,4,0),"")</f>
        <v/>
      </c>
      <c r="O517" s="47" t="str">
        <f>IFERROR(VLOOKUP(D517,'[1]Product Datasheet'!$A:$G,5,0),"")</f>
        <v/>
      </c>
      <c r="P517" s="47" t="str">
        <f>IFERROR(VLOOKUP(D517,'[1]Product Datasheet'!$A:$G,6,0),"")</f>
        <v/>
      </c>
      <c r="Q517" s="47" t="str">
        <f>IFERROR(VLOOKUP(D517,'[1]Product Datasheet'!$A:$G,7,0), "")</f>
        <v/>
      </c>
      <c r="R517" s="48"/>
      <c r="S517" s="49" t="str">
        <f t="shared" si="21"/>
        <v>Accept</v>
      </c>
      <c r="T517" s="50"/>
      <c r="U517" s="51"/>
    </row>
    <row r="518" spans="1:21" ht="24.75" customHeight="1" x14ac:dyDescent="0.3">
      <c r="A518" s="38" t="str">
        <f>IFERROR(VLOOKUP(D518,'[1]Product Datasheet'!$A:$G,2,0),"")</f>
        <v/>
      </c>
      <c r="B518" s="39" t="str">
        <f>IFERROR(VLOOKUP(D518,'[1]Product Datasheet'!$A:$G,3,0),"")</f>
        <v/>
      </c>
      <c r="C518" s="40"/>
      <c r="D518" s="41"/>
      <c r="E518" s="41"/>
      <c r="F518" s="41"/>
      <c r="G518" s="42"/>
      <c r="H518" s="43"/>
      <c r="I518" s="42"/>
      <c r="J518" s="44"/>
      <c r="K518" s="44"/>
      <c r="L518" s="44"/>
      <c r="M518" s="45" t="str">
        <f t="shared" si="20"/>
        <v>Pass</v>
      </c>
      <c r="N518" s="46" t="str">
        <f>IFERROR(VLOOKUP(D518,'[1]Product Datasheet'!$A:$G,4,0),"")</f>
        <v/>
      </c>
      <c r="O518" s="47" t="str">
        <f>IFERROR(VLOOKUP(D518,'[1]Product Datasheet'!$A:$G,5,0),"")</f>
        <v/>
      </c>
      <c r="P518" s="47" t="str">
        <f>IFERROR(VLOOKUP(D518,'[1]Product Datasheet'!$A:$G,6,0),"")</f>
        <v/>
      </c>
      <c r="Q518" s="47" t="str">
        <f>IFERROR(VLOOKUP(D518,'[1]Product Datasheet'!$A:$G,7,0), "")</f>
        <v/>
      </c>
      <c r="R518" s="48"/>
      <c r="S518" s="49" t="str">
        <f t="shared" si="21"/>
        <v>Accept</v>
      </c>
      <c r="T518" s="50"/>
      <c r="U518" s="51"/>
    </row>
    <row r="519" spans="1:21" ht="24.75" customHeight="1" x14ac:dyDescent="0.3">
      <c r="A519" s="38" t="str">
        <f>IFERROR(VLOOKUP(D519,'[1]Product Datasheet'!$A:$G,2,0),"")</f>
        <v/>
      </c>
      <c r="B519" s="39" t="str">
        <f>IFERROR(VLOOKUP(D519,'[1]Product Datasheet'!$A:$G,3,0),"")</f>
        <v/>
      </c>
      <c r="C519" s="40"/>
      <c r="D519" s="41"/>
      <c r="E519" s="41"/>
      <c r="F519" s="41"/>
      <c r="G519" s="42"/>
      <c r="H519" s="43"/>
      <c r="I519" s="42"/>
      <c r="J519" s="44"/>
      <c r="K519" s="44"/>
      <c r="L519" s="44"/>
      <c r="M519" s="45" t="str">
        <f t="shared" si="20"/>
        <v>Pass</v>
      </c>
      <c r="N519" s="46" t="str">
        <f>IFERROR(VLOOKUP(D519,'[1]Product Datasheet'!$A:$G,4,0),"")</f>
        <v/>
      </c>
      <c r="O519" s="47" t="str">
        <f>IFERROR(VLOOKUP(D519,'[1]Product Datasheet'!$A:$G,5,0),"")</f>
        <v/>
      </c>
      <c r="P519" s="47" t="str">
        <f>IFERROR(VLOOKUP(D519,'[1]Product Datasheet'!$A:$G,6,0),"")</f>
        <v/>
      </c>
      <c r="Q519" s="47" t="str">
        <f>IFERROR(VLOOKUP(D519,'[1]Product Datasheet'!$A:$G,7,0), "")</f>
        <v/>
      </c>
      <c r="R519" s="48"/>
      <c r="S519" s="49" t="str">
        <f t="shared" si="21"/>
        <v>Accept</v>
      </c>
      <c r="T519" s="50"/>
      <c r="U519" s="51"/>
    </row>
    <row r="520" spans="1:21" ht="24.75" customHeight="1" x14ac:dyDescent="0.3">
      <c r="A520" s="38" t="str">
        <f>IFERROR(VLOOKUP(D520,'[1]Product Datasheet'!$A:$G,2,0),"")</f>
        <v/>
      </c>
      <c r="B520" s="39" t="str">
        <f>IFERROR(VLOOKUP(D520,'[1]Product Datasheet'!$A:$G,3,0),"")</f>
        <v/>
      </c>
      <c r="C520" s="40"/>
      <c r="D520" s="41"/>
      <c r="E520" s="41"/>
      <c r="F520" s="41"/>
      <c r="G520" s="42"/>
      <c r="H520" s="43"/>
      <c r="I520" s="42"/>
      <c r="J520" s="44"/>
      <c r="K520" s="44"/>
      <c r="L520" s="44"/>
      <c r="M520" s="45" t="str">
        <f t="shared" si="20"/>
        <v>Pass</v>
      </c>
      <c r="N520" s="46" t="str">
        <f>IFERROR(VLOOKUP(D520,'[1]Product Datasheet'!$A:$G,4,0),"")</f>
        <v/>
      </c>
      <c r="O520" s="47" t="str">
        <f>IFERROR(VLOOKUP(D520,'[1]Product Datasheet'!$A:$G,5,0),"")</f>
        <v/>
      </c>
      <c r="P520" s="47" t="str">
        <f>IFERROR(VLOOKUP(D520,'[1]Product Datasheet'!$A:$G,6,0),"")</f>
        <v/>
      </c>
      <c r="Q520" s="47" t="str">
        <f>IFERROR(VLOOKUP(D520,'[1]Product Datasheet'!$A:$G,7,0), "")</f>
        <v/>
      </c>
      <c r="R520" s="48"/>
      <c r="S520" s="49" t="str">
        <f t="shared" si="21"/>
        <v>Accept</v>
      </c>
      <c r="T520" s="50"/>
      <c r="U520" s="51"/>
    </row>
    <row r="521" spans="1:21" ht="24.75" customHeight="1" x14ac:dyDescent="0.3">
      <c r="A521" s="38" t="str">
        <f>IFERROR(VLOOKUP(D521,'[1]Product Datasheet'!$A:$G,2,0),"")</f>
        <v/>
      </c>
      <c r="B521" s="39" t="str">
        <f>IFERROR(VLOOKUP(D521,'[1]Product Datasheet'!$A:$G,3,0),"")</f>
        <v/>
      </c>
      <c r="C521" s="40"/>
      <c r="D521" s="41"/>
      <c r="E521" s="41"/>
      <c r="F521" s="41"/>
      <c r="G521" s="42"/>
      <c r="H521" s="43"/>
      <c r="I521" s="42"/>
      <c r="J521" s="44"/>
      <c r="K521" s="44"/>
      <c r="L521" s="44"/>
      <c r="M521" s="45" t="str">
        <f t="shared" ref="M521:M584" si="22">IF(AND(G521&lt;=O521,G521&gt;=N521,H521&lt;=Q521,H521&gt;=P521),"Pass","Fail")</f>
        <v>Pass</v>
      </c>
      <c r="N521" s="46" t="str">
        <f>IFERROR(VLOOKUP(D521,'[1]Product Datasheet'!$A:$G,4,0),"")</f>
        <v/>
      </c>
      <c r="O521" s="47" t="str">
        <f>IFERROR(VLOOKUP(D521,'[1]Product Datasheet'!$A:$G,5,0),"")</f>
        <v/>
      </c>
      <c r="P521" s="47" t="str">
        <f>IFERROR(VLOOKUP(D521,'[1]Product Datasheet'!$A:$G,6,0),"")</f>
        <v/>
      </c>
      <c r="Q521" s="47" t="str">
        <f>IFERROR(VLOOKUP(D521,'[1]Product Datasheet'!$A:$G,7,0), "")</f>
        <v/>
      </c>
      <c r="R521" s="48"/>
      <c r="S521" s="49" t="str">
        <f t="shared" ref="S521:S584" si="23">IFERROR(IF(AND(ROUND(H521, 2)&lt;=Q521, ROUND(G521,1)&lt;=O521), "Accept", "Reject"),"Reject")</f>
        <v>Accept</v>
      </c>
      <c r="T521" s="50"/>
      <c r="U521" s="51"/>
    </row>
    <row r="522" spans="1:21" ht="24.75" customHeight="1" x14ac:dyDescent="0.3">
      <c r="A522" s="38" t="str">
        <f>IFERROR(VLOOKUP(D522,'[1]Product Datasheet'!$A:$G,2,0),"")</f>
        <v/>
      </c>
      <c r="B522" s="39" t="str">
        <f>IFERROR(VLOOKUP(D522,'[1]Product Datasheet'!$A:$G,3,0),"")</f>
        <v/>
      </c>
      <c r="C522" s="40"/>
      <c r="D522" s="41"/>
      <c r="E522" s="41"/>
      <c r="F522" s="41"/>
      <c r="G522" s="42"/>
      <c r="H522" s="43"/>
      <c r="I522" s="42"/>
      <c r="J522" s="44"/>
      <c r="K522" s="44"/>
      <c r="L522" s="44"/>
      <c r="M522" s="45" t="str">
        <f t="shared" si="22"/>
        <v>Pass</v>
      </c>
      <c r="N522" s="46" t="str">
        <f>IFERROR(VLOOKUP(D522,'[1]Product Datasheet'!$A:$G,4,0),"")</f>
        <v/>
      </c>
      <c r="O522" s="47" t="str">
        <f>IFERROR(VLOOKUP(D522,'[1]Product Datasheet'!$A:$G,5,0),"")</f>
        <v/>
      </c>
      <c r="P522" s="47" t="str">
        <f>IFERROR(VLOOKUP(D522,'[1]Product Datasheet'!$A:$G,6,0),"")</f>
        <v/>
      </c>
      <c r="Q522" s="47" t="str">
        <f>IFERROR(VLOOKUP(D522,'[1]Product Datasheet'!$A:$G,7,0), "")</f>
        <v/>
      </c>
      <c r="R522" s="48"/>
      <c r="S522" s="49" t="str">
        <f t="shared" si="23"/>
        <v>Accept</v>
      </c>
      <c r="T522" s="50"/>
      <c r="U522" s="51"/>
    </row>
    <row r="523" spans="1:21" ht="24.75" customHeight="1" x14ac:dyDescent="0.3">
      <c r="A523" s="38" t="str">
        <f>IFERROR(VLOOKUP(D523,'[1]Product Datasheet'!$A:$G,2,0),"")</f>
        <v/>
      </c>
      <c r="B523" s="39" t="str">
        <f>IFERROR(VLOOKUP(D523,'[1]Product Datasheet'!$A:$G,3,0),"")</f>
        <v/>
      </c>
      <c r="C523" s="40"/>
      <c r="D523" s="41"/>
      <c r="E523" s="41"/>
      <c r="F523" s="41"/>
      <c r="G523" s="42"/>
      <c r="H523" s="43"/>
      <c r="I523" s="42"/>
      <c r="J523" s="44"/>
      <c r="K523" s="44"/>
      <c r="L523" s="44"/>
      <c r="M523" s="45" t="str">
        <f t="shared" si="22"/>
        <v>Pass</v>
      </c>
      <c r="N523" s="46" t="str">
        <f>IFERROR(VLOOKUP(D523,'[1]Product Datasheet'!$A:$G,4,0),"")</f>
        <v/>
      </c>
      <c r="O523" s="47" t="str">
        <f>IFERROR(VLOOKUP(D523,'[1]Product Datasheet'!$A:$G,5,0),"")</f>
        <v/>
      </c>
      <c r="P523" s="47" t="str">
        <f>IFERROR(VLOOKUP(D523,'[1]Product Datasheet'!$A:$G,6,0),"")</f>
        <v/>
      </c>
      <c r="Q523" s="47" t="str">
        <f>IFERROR(VLOOKUP(D523,'[1]Product Datasheet'!$A:$G,7,0), "")</f>
        <v/>
      </c>
      <c r="R523" s="48"/>
      <c r="S523" s="49" t="str">
        <f t="shared" si="23"/>
        <v>Accept</v>
      </c>
      <c r="T523" s="50"/>
      <c r="U523" s="51"/>
    </row>
    <row r="524" spans="1:21" ht="24.75" customHeight="1" x14ac:dyDescent="0.3">
      <c r="A524" s="38" t="str">
        <f>IFERROR(VLOOKUP(D524,'[1]Product Datasheet'!$A:$G,2,0),"")</f>
        <v/>
      </c>
      <c r="B524" s="39" t="str">
        <f>IFERROR(VLOOKUP(D524,'[1]Product Datasheet'!$A:$G,3,0),"")</f>
        <v/>
      </c>
      <c r="C524" s="40"/>
      <c r="D524" s="41"/>
      <c r="E524" s="41"/>
      <c r="F524" s="41"/>
      <c r="G524" s="42"/>
      <c r="H524" s="43"/>
      <c r="I524" s="42"/>
      <c r="J524" s="44"/>
      <c r="K524" s="44"/>
      <c r="L524" s="44"/>
      <c r="M524" s="45" t="str">
        <f t="shared" si="22"/>
        <v>Pass</v>
      </c>
      <c r="N524" s="46" t="str">
        <f>IFERROR(VLOOKUP(D524,'[1]Product Datasheet'!$A:$G,4,0),"")</f>
        <v/>
      </c>
      <c r="O524" s="47" t="str">
        <f>IFERROR(VLOOKUP(D524,'[1]Product Datasheet'!$A:$G,5,0),"")</f>
        <v/>
      </c>
      <c r="P524" s="47" t="str">
        <f>IFERROR(VLOOKUP(D524,'[1]Product Datasheet'!$A:$G,6,0),"")</f>
        <v/>
      </c>
      <c r="Q524" s="47" t="str">
        <f>IFERROR(VLOOKUP(D524,'[1]Product Datasheet'!$A:$G,7,0), "")</f>
        <v/>
      </c>
      <c r="R524" s="48"/>
      <c r="S524" s="49" t="str">
        <f t="shared" si="23"/>
        <v>Accept</v>
      </c>
      <c r="T524" s="50"/>
      <c r="U524" s="51"/>
    </row>
    <row r="525" spans="1:21" ht="24.75" customHeight="1" x14ac:dyDescent="0.3">
      <c r="A525" s="38" t="str">
        <f>IFERROR(VLOOKUP(D525,'[1]Product Datasheet'!$A:$G,2,0),"")</f>
        <v/>
      </c>
      <c r="B525" s="39" t="str">
        <f>IFERROR(VLOOKUP(D525,'[1]Product Datasheet'!$A:$G,3,0),"")</f>
        <v/>
      </c>
      <c r="C525" s="40"/>
      <c r="D525" s="41"/>
      <c r="E525" s="41"/>
      <c r="F525" s="41"/>
      <c r="G525" s="42"/>
      <c r="H525" s="43"/>
      <c r="I525" s="42"/>
      <c r="J525" s="44"/>
      <c r="K525" s="44"/>
      <c r="L525" s="44"/>
      <c r="M525" s="45" t="str">
        <f t="shared" si="22"/>
        <v>Pass</v>
      </c>
      <c r="N525" s="46" t="str">
        <f>IFERROR(VLOOKUP(D525,'[1]Product Datasheet'!$A:$G,4,0),"")</f>
        <v/>
      </c>
      <c r="O525" s="47" t="str">
        <f>IFERROR(VLOOKUP(D525,'[1]Product Datasheet'!$A:$G,5,0),"")</f>
        <v/>
      </c>
      <c r="P525" s="47" t="str">
        <f>IFERROR(VLOOKUP(D525,'[1]Product Datasheet'!$A:$G,6,0),"")</f>
        <v/>
      </c>
      <c r="Q525" s="47" t="str">
        <f>IFERROR(VLOOKUP(D525,'[1]Product Datasheet'!$A:$G,7,0), "")</f>
        <v/>
      </c>
      <c r="R525" s="48"/>
      <c r="S525" s="49" t="str">
        <f t="shared" si="23"/>
        <v>Accept</v>
      </c>
      <c r="T525" s="50"/>
      <c r="U525" s="51"/>
    </row>
    <row r="526" spans="1:21" ht="24.75" customHeight="1" x14ac:dyDescent="0.3">
      <c r="A526" s="38" t="str">
        <f>IFERROR(VLOOKUP(D526,'[1]Product Datasheet'!$A:$G,2,0),"")</f>
        <v/>
      </c>
      <c r="B526" s="39" t="str">
        <f>IFERROR(VLOOKUP(D526,'[1]Product Datasheet'!$A:$G,3,0),"")</f>
        <v/>
      </c>
      <c r="C526" s="40"/>
      <c r="D526" s="41"/>
      <c r="E526" s="41"/>
      <c r="F526" s="41"/>
      <c r="G526" s="42"/>
      <c r="H526" s="43"/>
      <c r="I526" s="42"/>
      <c r="J526" s="44"/>
      <c r="K526" s="44"/>
      <c r="L526" s="44"/>
      <c r="M526" s="45" t="str">
        <f t="shared" si="22"/>
        <v>Pass</v>
      </c>
      <c r="N526" s="46" t="str">
        <f>IFERROR(VLOOKUP(D526,'[1]Product Datasheet'!$A:$G,4,0),"")</f>
        <v/>
      </c>
      <c r="O526" s="47" t="str">
        <f>IFERROR(VLOOKUP(D526,'[1]Product Datasheet'!$A:$G,5,0),"")</f>
        <v/>
      </c>
      <c r="P526" s="47" t="str">
        <f>IFERROR(VLOOKUP(D526,'[1]Product Datasheet'!$A:$G,6,0),"")</f>
        <v/>
      </c>
      <c r="Q526" s="47" t="str">
        <f>IFERROR(VLOOKUP(D526,'[1]Product Datasheet'!$A:$G,7,0), "")</f>
        <v/>
      </c>
      <c r="R526" s="48"/>
      <c r="S526" s="49" t="str">
        <f t="shared" si="23"/>
        <v>Accept</v>
      </c>
      <c r="T526" s="50"/>
      <c r="U526" s="51"/>
    </row>
    <row r="527" spans="1:21" ht="24.75" customHeight="1" x14ac:dyDescent="0.3">
      <c r="A527" s="38" t="str">
        <f>IFERROR(VLOOKUP(D527,'[1]Product Datasheet'!$A:$G,2,0),"")</f>
        <v/>
      </c>
      <c r="B527" s="39" t="str">
        <f>IFERROR(VLOOKUP(D527,'[1]Product Datasheet'!$A:$G,3,0),"")</f>
        <v/>
      </c>
      <c r="C527" s="40"/>
      <c r="D527" s="41"/>
      <c r="E527" s="41"/>
      <c r="F527" s="41"/>
      <c r="G527" s="42"/>
      <c r="H527" s="43"/>
      <c r="I527" s="42"/>
      <c r="J527" s="44"/>
      <c r="K527" s="44"/>
      <c r="L527" s="44"/>
      <c r="M527" s="45" t="str">
        <f t="shared" si="22"/>
        <v>Pass</v>
      </c>
      <c r="N527" s="46" t="str">
        <f>IFERROR(VLOOKUP(D527,'[1]Product Datasheet'!$A:$G,4,0),"")</f>
        <v/>
      </c>
      <c r="O527" s="47" t="str">
        <f>IFERROR(VLOOKUP(D527,'[1]Product Datasheet'!$A:$G,5,0),"")</f>
        <v/>
      </c>
      <c r="P527" s="47" t="str">
        <f>IFERROR(VLOOKUP(D527,'[1]Product Datasheet'!$A:$G,6,0),"")</f>
        <v/>
      </c>
      <c r="Q527" s="47" t="str">
        <f>IFERROR(VLOOKUP(D527,'[1]Product Datasheet'!$A:$G,7,0), "")</f>
        <v/>
      </c>
      <c r="R527" s="48"/>
      <c r="S527" s="49" t="str">
        <f t="shared" si="23"/>
        <v>Accept</v>
      </c>
      <c r="T527" s="50"/>
      <c r="U527" s="51"/>
    </row>
    <row r="528" spans="1:21" ht="24.75" customHeight="1" x14ac:dyDescent="0.3">
      <c r="A528" s="38" t="str">
        <f>IFERROR(VLOOKUP(D528,'[1]Product Datasheet'!$A:$G,2,0),"")</f>
        <v/>
      </c>
      <c r="B528" s="39" t="str">
        <f>IFERROR(VLOOKUP(D528,'[1]Product Datasheet'!$A:$G,3,0),"")</f>
        <v/>
      </c>
      <c r="C528" s="40"/>
      <c r="D528" s="41"/>
      <c r="E528" s="41"/>
      <c r="F528" s="41"/>
      <c r="G528" s="42"/>
      <c r="H528" s="43"/>
      <c r="I528" s="42"/>
      <c r="J528" s="44"/>
      <c r="K528" s="44"/>
      <c r="L528" s="44"/>
      <c r="M528" s="45" t="str">
        <f t="shared" si="22"/>
        <v>Pass</v>
      </c>
      <c r="N528" s="46" t="str">
        <f>IFERROR(VLOOKUP(D528,'[1]Product Datasheet'!$A:$G,4,0),"")</f>
        <v/>
      </c>
      <c r="O528" s="47" t="str">
        <f>IFERROR(VLOOKUP(D528,'[1]Product Datasheet'!$A:$G,5,0),"")</f>
        <v/>
      </c>
      <c r="P528" s="47" t="str">
        <f>IFERROR(VLOOKUP(D528,'[1]Product Datasheet'!$A:$G,6,0),"")</f>
        <v/>
      </c>
      <c r="Q528" s="47" t="str">
        <f>IFERROR(VLOOKUP(D528,'[1]Product Datasheet'!$A:$G,7,0), "")</f>
        <v/>
      </c>
      <c r="R528" s="48"/>
      <c r="S528" s="49" t="str">
        <f t="shared" si="23"/>
        <v>Accept</v>
      </c>
      <c r="T528" s="50"/>
      <c r="U528" s="51"/>
    </row>
    <row r="529" spans="1:21" ht="24.75" customHeight="1" x14ac:dyDescent="0.3">
      <c r="A529" s="38" t="str">
        <f>IFERROR(VLOOKUP(D529,'[1]Product Datasheet'!$A:$G,2,0),"")</f>
        <v/>
      </c>
      <c r="B529" s="39" t="str">
        <f>IFERROR(VLOOKUP(D529,'[1]Product Datasheet'!$A:$G,3,0),"")</f>
        <v/>
      </c>
      <c r="C529" s="40"/>
      <c r="D529" s="41"/>
      <c r="E529" s="41"/>
      <c r="F529" s="41"/>
      <c r="G529" s="42"/>
      <c r="H529" s="43"/>
      <c r="I529" s="42"/>
      <c r="J529" s="44"/>
      <c r="K529" s="44"/>
      <c r="L529" s="44"/>
      <c r="M529" s="45" t="str">
        <f t="shared" si="22"/>
        <v>Pass</v>
      </c>
      <c r="N529" s="46" t="str">
        <f>IFERROR(VLOOKUP(D529,'[1]Product Datasheet'!$A:$G,4,0),"")</f>
        <v/>
      </c>
      <c r="O529" s="47" t="str">
        <f>IFERROR(VLOOKUP(D529,'[1]Product Datasheet'!$A:$G,5,0),"")</f>
        <v/>
      </c>
      <c r="P529" s="47" t="str">
        <f>IFERROR(VLOOKUP(D529,'[1]Product Datasheet'!$A:$G,6,0),"")</f>
        <v/>
      </c>
      <c r="Q529" s="47" t="str">
        <f>IFERROR(VLOOKUP(D529,'[1]Product Datasheet'!$A:$G,7,0), "")</f>
        <v/>
      </c>
      <c r="R529" s="48"/>
      <c r="S529" s="49" t="str">
        <f t="shared" si="23"/>
        <v>Accept</v>
      </c>
      <c r="T529" s="50"/>
      <c r="U529" s="51"/>
    </row>
    <row r="530" spans="1:21" ht="24.75" customHeight="1" x14ac:dyDescent="0.3">
      <c r="A530" s="38" t="str">
        <f>IFERROR(VLOOKUP(D530,'[1]Product Datasheet'!$A:$G,2,0),"")</f>
        <v/>
      </c>
      <c r="B530" s="39" t="str">
        <f>IFERROR(VLOOKUP(D530,'[1]Product Datasheet'!$A:$G,3,0),"")</f>
        <v/>
      </c>
      <c r="C530" s="40"/>
      <c r="D530" s="41"/>
      <c r="E530" s="41"/>
      <c r="F530" s="41"/>
      <c r="G530" s="42"/>
      <c r="H530" s="43"/>
      <c r="I530" s="42"/>
      <c r="J530" s="44"/>
      <c r="K530" s="44"/>
      <c r="L530" s="44"/>
      <c r="M530" s="45" t="str">
        <f t="shared" si="22"/>
        <v>Pass</v>
      </c>
      <c r="N530" s="46" t="str">
        <f>IFERROR(VLOOKUP(D530,'[1]Product Datasheet'!$A:$G,4,0),"")</f>
        <v/>
      </c>
      <c r="O530" s="47" t="str">
        <f>IFERROR(VLOOKUP(D530,'[1]Product Datasheet'!$A:$G,5,0),"")</f>
        <v/>
      </c>
      <c r="P530" s="47" t="str">
        <f>IFERROR(VLOOKUP(D530,'[1]Product Datasheet'!$A:$G,6,0),"")</f>
        <v/>
      </c>
      <c r="Q530" s="47" t="str">
        <f>IFERROR(VLOOKUP(D530,'[1]Product Datasheet'!$A:$G,7,0), "")</f>
        <v/>
      </c>
      <c r="R530" s="48"/>
      <c r="S530" s="49" t="str">
        <f t="shared" si="23"/>
        <v>Accept</v>
      </c>
      <c r="T530" s="50"/>
      <c r="U530" s="51"/>
    </row>
    <row r="531" spans="1:21" ht="24.75" customHeight="1" x14ac:dyDescent="0.3">
      <c r="A531" s="38" t="str">
        <f>IFERROR(VLOOKUP(D531,'[1]Product Datasheet'!$A:$G,2,0),"")</f>
        <v/>
      </c>
      <c r="B531" s="39" t="str">
        <f>IFERROR(VLOOKUP(D531,'[1]Product Datasheet'!$A:$G,3,0),"")</f>
        <v/>
      </c>
      <c r="C531" s="40"/>
      <c r="D531" s="41"/>
      <c r="E531" s="41"/>
      <c r="F531" s="41"/>
      <c r="G531" s="42"/>
      <c r="H531" s="43"/>
      <c r="I531" s="42"/>
      <c r="J531" s="44"/>
      <c r="K531" s="44"/>
      <c r="L531" s="44"/>
      <c r="M531" s="45" t="str">
        <f t="shared" si="22"/>
        <v>Pass</v>
      </c>
      <c r="N531" s="46" t="str">
        <f>IFERROR(VLOOKUP(D531,'[1]Product Datasheet'!$A:$G,4,0),"")</f>
        <v/>
      </c>
      <c r="O531" s="47" t="str">
        <f>IFERROR(VLOOKUP(D531,'[1]Product Datasheet'!$A:$G,5,0),"")</f>
        <v/>
      </c>
      <c r="P531" s="47" t="str">
        <f>IFERROR(VLOOKUP(D531,'[1]Product Datasheet'!$A:$G,6,0),"")</f>
        <v/>
      </c>
      <c r="Q531" s="47" t="str">
        <f>IFERROR(VLOOKUP(D531,'[1]Product Datasheet'!$A:$G,7,0), "")</f>
        <v/>
      </c>
      <c r="R531" s="48"/>
      <c r="S531" s="49" t="str">
        <f t="shared" si="23"/>
        <v>Accept</v>
      </c>
      <c r="T531" s="50"/>
      <c r="U531" s="51"/>
    </row>
    <row r="532" spans="1:21" ht="24.75" customHeight="1" x14ac:dyDescent="0.3">
      <c r="A532" s="38" t="str">
        <f>IFERROR(VLOOKUP(D532,'[1]Product Datasheet'!$A:$G,2,0),"")</f>
        <v/>
      </c>
      <c r="B532" s="39" t="str">
        <f>IFERROR(VLOOKUP(D532,'[1]Product Datasheet'!$A:$G,3,0),"")</f>
        <v/>
      </c>
      <c r="C532" s="40"/>
      <c r="D532" s="41"/>
      <c r="E532" s="41"/>
      <c r="F532" s="41"/>
      <c r="G532" s="42"/>
      <c r="H532" s="43"/>
      <c r="I532" s="42"/>
      <c r="J532" s="44"/>
      <c r="K532" s="44"/>
      <c r="L532" s="44"/>
      <c r="M532" s="45" t="str">
        <f t="shared" si="22"/>
        <v>Pass</v>
      </c>
      <c r="N532" s="46" t="str">
        <f>IFERROR(VLOOKUP(D532,'[1]Product Datasheet'!$A:$G,4,0),"")</f>
        <v/>
      </c>
      <c r="O532" s="47" t="str">
        <f>IFERROR(VLOOKUP(D532,'[1]Product Datasheet'!$A:$G,5,0),"")</f>
        <v/>
      </c>
      <c r="P532" s="47" t="str">
        <f>IFERROR(VLOOKUP(D532,'[1]Product Datasheet'!$A:$G,6,0),"")</f>
        <v/>
      </c>
      <c r="Q532" s="47" t="str">
        <f>IFERROR(VLOOKUP(D532,'[1]Product Datasheet'!$A:$G,7,0), "")</f>
        <v/>
      </c>
      <c r="R532" s="48"/>
      <c r="S532" s="49" t="str">
        <f t="shared" si="23"/>
        <v>Accept</v>
      </c>
      <c r="T532" s="50"/>
      <c r="U532" s="51"/>
    </row>
    <row r="533" spans="1:21" ht="24.75" customHeight="1" x14ac:dyDescent="0.3">
      <c r="A533" s="38" t="str">
        <f>IFERROR(VLOOKUP(D533,'[1]Product Datasheet'!$A:$G,2,0),"")</f>
        <v/>
      </c>
      <c r="B533" s="39" t="str">
        <f>IFERROR(VLOOKUP(D533,'[1]Product Datasheet'!$A:$G,3,0),"")</f>
        <v/>
      </c>
      <c r="C533" s="40"/>
      <c r="D533" s="41"/>
      <c r="E533" s="41"/>
      <c r="F533" s="41"/>
      <c r="G533" s="42"/>
      <c r="H533" s="43"/>
      <c r="I533" s="42"/>
      <c r="J533" s="44"/>
      <c r="K533" s="44"/>
      <c r="L533" s="44"/>
      <c r="M533" s="45" t="str">
        <f t="shared" si="22"/>
        <v>Pass</v>
      </c>
      <c r="N533" s="46" t="str">
        <f>IFERROR(VLOOKUP(D533,'[1]Product Datasheet'!$A:$G,4,0),"")</f>
        <v/>
      </c>
      <c r="O533" s="47" t="str">
        <f>IFERROR(VLOOKUP(D533,'[1]Product Datasheet'!$A:$G,5,0),"")</f>
        <v/>
      </c>
      <c r="P533" s="47" t="str">
        <f>IFERROR(VLOOKUP(D533,'[1]Product Datasheet'!$A:$G,6,0),"")</f>
        <v/>
      </c>
      <c r="Q533" s="47" t="str">
        <f>IFERROR(VLOOKUP(D533,'[1]Product Datasheet'!$A:$G,7,0), "")</f>
        <v/>
      </c>
      <c r="R533" s="48"/>
      <c r="S533" s="49" t="str">
        <f t="shared" si="23"/>
        <v>Accept</v>
      </c>
      <c r="T533" s="50"/>
      <c r="U533" s="51"/>
    </row>
    <row r="534" spans="1:21" ht="24.75" customHeight="1" x14ac:dyDescent="0.3">
      <c r="A534" s="38" t="str">
        <f>IFERROR(VLOOKUP(D534,'[1]Product Datasheet'!$A:$G,2,0),"")</f>
        <v/>
      </c>
      <c r="B534" s="39" t="str">
        <f>IFERROR(VLOOKUP(D534,'[1]Product Datasheet'!$A:$G,3,0),"")</f>
        <v/>
      </c>
      <c r="C534" s="40"/>
      <c r="D534" s="41"/>
      <c r="E534" s="41"/>
      <c r="F534" s="41"/>
      <c r="G534" s="42"/>
      <c r="H534" s="43"/>
      <c r="I534" s="42"/>
      <c r="J534" s="44"/>
      <c r="K534" s="44"/>
      <c r="L534" s="44"/>
      <c r="M534" s="45" t="str">
        <f t="shared" si="22"/>
        <v>Pass</v>
      </c>
      <c r="N534" s="46" t="str">
        <f>IFERROR(VLOOKUP(D534,'[1]Product Datasheet'!$A:$G,4,0),"")</f>
        <v/>
      </c>
      <c r="O534" s="47" t="str">
        <f>IFERROR(VLOOKUP(D534,'[1]Product Datasheet'!$A:$G,5,0),"")</f>
        <v/>
      </c>
      <c r="P534" s="47" t="str">
        <f>IFERROR(VLOOKUP(D534,'[1]Product Datasheet'!$A:$G,6,0),"")</f>
        <v/>
      </c>
      <c r="Q534" s="47" t="str">
        <f>IFERROR(VLOOKUP(D534,'[1]Product Datasheet'!$A:$G,7,0), "")</f>
        <v/>
      </c>
      <c r="R534" s="48"/>
      <c r="S534" s="49" t="str">
        <f t="shared" si="23"/>
        <v>Accept</v>
      </c>
      <c r="T534" s="50"/>
      <c r="U534" s="51"/>
    </row>
    <row r="535" spans="1:21" ht="24.75" customHeight="1" x14ac:dyDescent="0.3">
      <c r="A535" s="38" t="str">
        <f>IFERROR(VLOOKUP(D535,'[1]Product Datasheet'!$A:$G,2,0),"")</f>
        <v/>
      </c>
      <c r="B535" s="39" t="str">
        <f>IFERROR(VLOOKUP(D535,'[1]Product Datasheet'!$A:$G,3,0),"")</f>
        <v/>
      </c>
      <c r="C535" s="40"/>
      <c r="D535" s="41"/>
      <c r="E535" s="41"/>
      <c r="F535" s="41"/>
      <c r="G535" s="42"/>
      <c r="H535" s="43"/>
      <c r="I535" s="42"/>
      <c r="J535" s="44"/>
      <c r="K535" s="44"/>
      <c r="L535" s="44"/>
      <c r="M535" s="45" t="str">
        <f t="shared" si="22"/>
        <v>Pass</v>
      </c>
      <c r="N535" s="46" t="str">
        <f>IFERROR(VLOOKUP(D535,'[1]Product Datasheet'!$A:$G,4,0),"")</f>
        <v/>
      </c>
      <c r="O535" s="47" t="str">
        <f>IFERROR(VLOOKUP(D535,'[1]Product Datasheet'!$A:$G,5,0),"")</f>
        <v/>
      </c>
      <c r="P535" s="47" t="str">
        <f>IFERROR(VLOOKUP(D535,'[1]Product Datasheet'!$A:$G,6,0),"")</f>
        <v/>
      </c>
      <c r="Q535" s="47" t="str">
        <f>IFERROR(VLOOKUP(D535,'[1]Product Datasheet'!$A:$G,7,0), "")</f>
        <v/>
      </c>
      <c r="R535" s="48"/>
      <c r="S535" s="49" t="str">
        <f t="shared" si="23"/>
        <v>Accept</v>
      </c>
      <c r="T535" s="50"/>
      <c r="U535" s="51"/>
    </row>
    <row r="536" spans="1:21" ht="24.75" customHeight="1" x14ac:dyDescent="0.3">
      <c r="A536" s="38" t="str">
        <f>IFERROR(VLOOKUP(D536,'[1]Product Datasheet'!$A:$G,2,0),"")</f>
        <v/>
      </c>
      <c r="B536" s="39" t="str">
        <f>IFERROR(VLOOKUP(D536,'[1]Product Datasheet'!$A:$G,3,0),"")</f>
        <v/>
      </c>
      <c r="C536" s="40"/>
      <c r="D536" s="41"/>
      <c r="E536" s="41"/>
      <c r="F536" s="41"/>
      <c r="G536" s="42"/>
      <c r="H536" s="43"/>
      <c r="I536" s="42"/>
      <c r="J536" s="44"/>
      <c r="K536" s="44"/>
      <c r="L536" s="44"/>
      <c r="M536" s="45" t="str">
        <f t="shared" si="22"/>
        <v>Pass</v>
      </c>
      <c r="N536" s="46" t="str">
        <f>IFERROR(VLOOKUP(D536,'[1]Product Datasheet'!$A:$G,4,0),"")</f>
        <v/>
      </c>
      <c r="O536" s="47" t="str">
        <f>IFERROR(VLOOKUP(D536,'[1]Product Datasheet'!$A:$G,5,0),"")</f>
        <v/>
      </c>
      <c r="P536" s="47" t="str">
        <f>IFERROR(VLOOKUP(D536,'[1]Product Datasheet'!$A:$G,6,0),"")</f>
        <v/>
      </c>
      <c r="Q536" s="47" t="str">
        <f>IFERROR(VLOOKUP(D536,'[1]Product Datasheet'!$A:$G,7,0), "")</f>
        <v/>
      </c>
      <c r="R536" s="48"/>
      <c r="S536" s="49" t="str">
        <f t="shared" si="23"/>
        <v>Accept</v>
      </c>
      <c r="T536" s="50"/>
      <c r="U536" s="51"/>
    </row>
    <row r="537" spans="1:21" ht="24.75" customHeight="1" x14ac:dyDescent="0.3">
      <c r="A537" s="38" t="str">
        <f>IFERROR(VLOOKUP(D537,'[1]Product Datasheet'!$A:$G,2,0),"")</f>
        <v/>
      </c>
      <c r="B537" s="39" t="str">
        <f>IFERROR(VLOOKUP(D537,'[1]Product Datasheet'!$A:$G,3,0),"")</f>
        <v/>
      </c>
      <c r="C537" s="40"/>
      <c r="D537" s="41"/>
      <c r="E537" s="41"/>
      <c r="F537" s="41"/>
      <c r="G537" s="42"/>
      <c r="H537" s="43"/>
      <c r="I537" s="42"/>
      <c r="J537" s="44"/>
      <c r="K537" s="44"/>
      <c r="L537" s="44"/>
      <c r="M537" s="45" t="str">
        <f t="shared" si="22"/>
        <v>Pass</v>
      </c>
      <c r="N537" s="46" t="str">
        <f>IFERROR(VLOOKUP(D537,'[1]Product Datasheet'!$A:$G,4,0),"")</f>
        <v/>
      </c>
      <c r="O537" s="47" t="str">
        <f>IFERROR(VLOOKUP(D537,'[1]Product Datasheet'!$A:$G,5,0),"")</f>
        <v/>
      </c>
      <c r="P537" s="47" t="str">
        <f>IFERROR(VLOOKUP(D537,'[1]Product Datasheet'!$A:$G,6,0),"")</f>
        <v/>
      </c>
      <c r="Q537" s="47" t="str">
        <f>IFERROR(VLOOKUP(D537,'[1]Product Datasheet'!$A:$G,7,0), "")</f>
        <v/>
      </c>
      <c r="R537" s="48"/>
      <c r="S537" s="49" t="str">
        <f t="shared" si="23"/>
        <v>Accept</v>
      </c>
      <c r="T537" s="50"/>
      <c r="U537" s="51"/>
    </row>
    <row r="538" spans="1:21" ht="24.75" customHeight="1" x14ac:dyDescent="0.3">
      <c r="A538" s="38" t="str">
        <f>IFERROR(VLOOKUP(D538,'[1]Product Datasheet'!$A:$G,2,0),"")</f>
        <v/>
      </c>
      <c r="B538" s="39" t="str">
        <f>IFERROR(VLOOKUP(D538,'[1]Product Datasheet'!$A:$G,3,0),"")</f>
        <v/>
      </c>
      <c r="C538" s="40"/>
      <c r="D538" s="41"/>
      <c r="E538" s="41"/>
      <c r="F538" s="41"/>
      <c r="G538" s="42"/>
      <c r="H538" s="43"/>
      <c r="I538" s="42"/>
      <c r="J538" s="44"/>
      <c r="K538" s="44"/>
      <c r="L538" s="44"/>
      <c r="M538" s="45" t="str">
        <f t="shared" si="22"/>
        <v>Pass</v>
      </c>
      <c r="N538" s="46" t="str">
        <f>IFERROR(VLOOKUP(D538,'[1]Product Datasheet'!$A:$G,4,0),"")</f>
        <v/>
      </c>
      <c r="O538" s="47" t="str">
        <f>IFERROR(VLOOKUP(D538,'[1]Product Datasheet'!$A:$G,5,0),"")</f>
        <v/>
      </c>
      <c r="P538" s="47" t="str">
        <f>IFERROR(VLOOKUP(D538,'[1]Product Datasheet'!$A:$G,6,0),"")</f>
        <v/>
      </c>
      <c r="Q538" s="47" t="str">
        <f>IFERROR(VLOOKUP(D538,'[1]Product Datasheet'!$A:$G,7,0), "")</f>
        <v/>
      </c>
      <c r="R538" s="48"/>
      <c r="S538" s="49" t="str">
        <f t="shared" si="23"/>
        <v>Accept</v>
      </c>
      <c r="T538" s="50"/>
      <c r="U538" s="51"/>
    </row>
    <row r="539" spans="1:21" ht="24.75" customHeight="1" x14ac:dyDescent="0.3">
      <c r="A539" s="38" t="str">
        <f>IFERROR(VLOOKUP(D539,'[1]Product Datasheet'!$A:$G,2,0),"")</f>
        <v/>
      </c>
      <c r="B539" s="39" t="str">
        <f>IFERROR(VLOOKUP(D539,'[1]Product Datasheet'!$A:$G,3,0),"")</f>
        <v/>
      </c>
      <c r="C539" s="40"/>
      <c r="D539" s="41"/>
      <c r="E539" s="41"/>
      <c r="F539" s="41"/>
      <c r="G539" s="42"/>
      <c r="H539" s="43"/>
      <c r="I539" s="42"/>
      <c r="J539" s="44"/>
      <c r="K539" s="44"/>
      <c r="L539" s="44"/>
      <c r="M539" s="45" t="str">
        <f t="shared" si="22"/>
        <v>Pass</v>
      </c>
      <c r="N539" s="46" t="str">
        <f>IFERROR(VLOOKUP(D539,'[1]Product Datasheet'!$A:$G,4,0),"")</f>
        <v/>
      </c>
      <c r="O539" s="47" t="str">
        <f>IFERROR(VLOOKUP(D539,'[1]Product Datasheet'!$A:$G,5,0),"")</f>
        <v/>
      </c>
      <c r="P539" s="47" t="str">
        <f>IFERROR(VLOOKUP(D539,'[1]Product Datasheet'!$A:$G,6,0),"")</f>
        <v/>
      </c>
      <c r="Q539" s="47" t="str">
        <f>IFERROR(VLOOKUP(D539,'[1]Product Datasheet'!$A:$G,7,0), "")</f>
        <v/>
      </c>
      <c r="R539" s="48"/>
      <c r="S539" s="49" t="str">
        <f t="shared" si="23"/>
        <v>Accept</v>
      </c>
      <c r="T539" s="50"/>
      <c r="U539" s="51"/>
    </row>
    <row r="540" spans="1:21" ht="24.75" customHeight="1" x14ac:dyDescent="0.3">
      <c r="A540" s="38" t="str">
        <f>IFERROR(VLOOKUP(D540,'[1]Product Datasheet'!$A:$G,2,0),"")</f>
        <v/>
      </c>
      <c r="B540" s="39" t="str">
        <f>IFERROR(VLOOKUP(D540,'[1]Product Datasheet'!$A:$G,3,0),"")</f>
        <v/>
      </c>
      <c r="C540" s="40"/>
      <c r="D540" s="41"/>
      <c r="E540" s="41"/>
      <c r="F540" s="41"/>
      <c r="G540" s="42"/>
      <c r="H540" s="43"/>
      <c r="I540" s="42"/>
      <c r="J540" s="44"/>
      <c r="K540" s="44"/>
      <c r="L540" s="44"/>
      <c r="M540" s="45" t="str">
        <f t="shared" si="22"/>
        <v>Pass</v>
      </c>
      <c r="N540" s="46" t="str">
        <f>IFERROR(VLOOKUP(D540,'[1]Product Datasheet'!$A:$G,4,0),"")</f>
        <v/>
      </c>
      <c r="O540" s="47" t="str">
        <f>IFERROR(VLOOKUP(D540,'[1]Product Datasheet'!$A:$G,5,0),"")</f>
        <v/>
      </c>
      <c r="P540" s="47" t="str">
        <f>IFERROR(VLOOKUP(D540,'[1]Product Datasheet'!$A:$G,6,0),"")</f>
        <v/>
      </c>
      <c r="Q540" s="47" t="str">
        <f>IFERROR(VLOOKUP(D540,'[1]Product Datasheet'!$A:$G,7,0), "")</f>
        <v/>
      </c>
      <c r="R540" s="48"/>
      <c r="S540" s="49" t="str">
        <f t="shared" si="23"/>
        <v>Accept</v>
      </c>
      <c r="T540" s="50"/>
      <c r="U540" s="51"/>
    </row>
    <row r="541" spans="1:21" ht="24.75" customHeight="1" x14ac:dyDescent="0.3">
      <c r="A541" s="38" t="str">
        <f>IFERROR(VLOOKUP(D541,'[1]Product Datasheet'!$A:$G,2,0),"")</f>
        <v/>
      </c>
      <c r="B541" s="39" t="str">
        <f>IFERROR(VLOOKUP(D541,'[1]Product Datasheet'!$A:$G,3,0),"")</f>
        <v/>
      </c>
      <c r="C541" s="40"/>
      <c r="D541" s="41"/>
      <c r="E541" s="41"/>
      <c r="F541" s="41"/>
      <c r="G541" s="42"/>
      <c r="H541" s="43"/>
      <c r="I541" s="42"/>
      <c r="J541" s="44"/>
      <c r="K541" s="44"/>
      <c r="L541" s="44"/>
      <c r="M541" s="45" t="str">
        <f t="shared" si="22"/>
        <v>Pass</v>
      </c>
      <c r="N541" s="46" t="str">
        <f>IFERROR(VLOOKUP(D541,'[1]Product Datasheet'!$A:$G,4,0),"")</f>
        <v/>
      </c>
      <c r="O541" s="47" t="str">
        <f>IFERROR(VLOOKUP(D541,'[1]Product Datasheet'!$A:$G,5,0),"")</f>
        <v/>
      </c>
      <c r="P541" s="47" t="str">
        <f>IFERROR(VLOOKUP(D541,'[1]Product Datasheet'!$A:$G,6,0),"")</f>
        <v/>
      </c>
      <c r="Q541" s="47" t="str">
        <f>IFERROR(VLOOKUP(D541,'[1]Product Datasheet'!$A:$G,7,0), "")</f>
        <v/>
      </c>
      <c r="R541" s="48"/>
      <c r="S541" s="49" t="str">
        <f t="shared" si="23"/>
        <v>Accept</v>
      </c>
      <c r="T541" s="50"/>
      <c r="U541" s="51"/>
    </row>
    <row r="542" spans="1:21" ht="24.75" customHeight="1" x14ac:dyDescent="0.3">
      <c r="A542" s="38" t="str">
        <f>IFERROR(VLOOKUP(D542,'[1]Product Datasheet'!$A:$G,2,0),"")</f>
        <v/>
      </c>
      <c r="B542" s="39" t="str">
        <f>IFERROR(VLOOKUP(D542,'[1]Product Datasheet'!$A:$G,3,0),"")</f>
        <v/>
      </c>
      <c r="C542" s="40"/>
      <c r="D542" s="41"/>
      <c r="E542" s="41"/>
      <c r="F542" s="41"/>
      <c r="G542" s="42"/>
      <c r="H542" s="43"/>
      <c r="I542" s="42"/>
      <c r="J542" s="44"/>
      <c r="K542" s="44"/>
      <c r="L542" s="44"/>
      <c r="M542" s="45" t="str">
        <f t="shared" si="22"/>
        <v>Pass</v>
      </c>
      <c r="N542" s="46" t="str">
        <f>IFERROR(VLOOKUP(D542,'[1]Product Datasheet'!$A:$G,4,0),"")</f>
        <v/>
      </c>
      <c r="O542" s="47" t="str">
        <f>IFERROR(VLOOKUP(D542,'[1]Product Datasheet'!$A:$G,5,0),"")</f>
        <v/>
      </c>
      <c r="P542" s="47" t="str">
        <f>IFERROR(VLOOKUP(D542,'[1]Product Datasheet'!$A:$G,6,0),"")</f>
        <v/>
      </c>
      <c r="Q542" s="47" t="str">
        <f>IFERROR(VLOOKUP(D542,'[1]Product Datasheet'!$A:$G,7,0), "")</f>
        <v/>
      </c>
      <c r="R542" s="48"/>
      <c r="S542" s="49" t="str">
        <f t="shared" si="23"/>
        <v>Accept</v>
      </c>
      <c r="T542" s="50"/>
      <c r="U542" s="51"/>
    </row>
    <row r="543" spans="1:21" ht="24.75" customHeight="1" x14ac:dyDescent="0.3">
      <c r="A543" s="38" t="str">
        <f>IFERROR(VLOOKUP(D543,'[1]Product Datasheet'!$A:$G,2,0),"")</f>
        <v/>
      </c>
      <c r="B543" s="39" t="str">
        <f>IFERROR(VLOOKUP(D543,'[1]Product Datasheet'!$A:$G,3,0),"")</f>
        <v/>
      </c>
      <c r="C543" s="40"/>
      <c r="D543" s="41"/>
      <c r="E543" s="41"/>
      <c r="F543" s="41"/>
      <c r="G543" s="42"/>
      <c r="H543" s="43"/>
      <c r="I543" s="42"/>
      <c r="J543" s="44"/>
      <c r="K543" s="44"/>
      <c r="L543" s="44"/>
      <c r="M543" s="45" t="str">
        <f t="shared" si="22"/>
        <v>Pass</v>
      </c>
      <c r="N543" s="46" t="str">
        <f>IFERROR(VLOOKUP(D543,'[1]Product Datasheet'!$A:$G,4,0),"")</f>
        <v/>
      </c>
      <c r="O543" s="47" t="str">
        <f>IFERROR(VLOOKUP(D543,'[1]Product Datasheet'!$A:$G,5,0),"")</f>
        <v/>
      </c>
      <c r="P543" s="47" t="str">
        <f>IFERROR(VLOOKUP(D543,'[1]Product Datasheet'!$A:$G,6,0),"")</f>
        <v/>
      </c>
      <c r="Q543" s="47" t="str">
        <f>IFERROR(VLOOKUP(D543,'[1]Product Datasheet'!$A:$G,7,0), "")</f>
        <v/>
      </c>
      <c r="R543" s="48"/>
      <c r="S543" s="49" t="str">
        <f t="shared" si="23"/>
        <v>Accept</v>
      </c>
      <c r="T543" s="50"/>
      <c r="U543" s="51"/>
    </row>
    <row r="544" spans="1:21" ht="24.75" customHeight="1" x14ac:dyDescent="0.3">
      <c r="A544" s="38" t="str">
        <f>IFERROR(VLOOKUP(D544,'[1]Product Datasheet'!$A:$G,2,0),"")</f>
        <v/>
      </c>
      <c r="B544" s="39" t="str">
        <f>IFERROR(VLOOKUP(D544,'[1]Product Datasheet'!$A:$G,3,0),"")</f>
        <v/>
      </c>
      <c r="C544" s="40"/>
      <c r="D544" s="41"/>
      <c r="E544" s="41"/>
      <c r="F544" s="41"/>
      <c r="G544" s="42"/>
      <c r="H544" s="43"/>
      <c r="I544" s="42"/>
      <c r="J544" s="44"/>
      <c r="K544" s="44"/>
      <c r="L544" s="44"/>
      <c r="M544" s="45" t="str">
        <f t="shared" si="22"/>
        <v>Pass</v>
      </c>
      <c r="N544" s="46" t="str">
        <f>IFERROR(VLOOKUP(D544,'[1]Product Datasheet'!$A:$G,4,0),"")</f>
        <v/>
      </c>
      <c r="O544" s="47" t="str">
        <f>IFERROR(VLOOKUP(D544,'[1]Product Datasheet'!$A:$G,5,0),"")</f>
        <v/>
      </c>
      <c r="P544" s="47" t="str">
        <f>IFERROR(VLOOKUP(D544,'[1]Product Datasheet'!$A:$G,6,0),"")</f>
        <v/>
      </c>
      <c r="Q544" s="47" t="str">
        <f>IFERROR(VLOOKUP(D544,'[1]Product Datasheet'!$A:$G,7,0), "")</f>
        <v/>
      </c>
      <c r="R544" s="48"/>
      <c r="S544" s="49" t="str">
        <f t="shared" si="23"/>
        <v>Accept</v>
      </c>
      <c r="T544" s="50"/>
      <c r="U544" s="51"/>
    </row>
    <row r="545" spans="1:21" ht="24.75" customHeight="1" x14ac:dyDescent="0.3">
      <c r="A545" s="38" t="str">
        <f>IFERROR(VLOOKUP(D545,'[1]Product Datasheet'!$A:$G,2,0),"")</f>
        <v/>
      </c>
      <c r="B545" s="39" t="str">
        <f>IFERROR(VLOOKUP(D545,'[1]Product Datasheet'!$A:$G,3,0),"")</f>
        <v/>
      </c>
      <c r="C545" s="40"/>
      <c r="D545" s="41"/>
      <c r="E545" s="41"/>
      <c r="F545" s="41"/>
      <c r="G545" s="42"/>
      <c r="H545" s="43"/>
      <c r="I545" s="42"/>
      <c r="J545" s="44"/>
      <c r="K545" s="44"/>
      <c r="L545" s="44"/>
      <c r="M545" s="45" t="str">
        <f t="shared" si="22"/>
        <v>Pass</v>
      </c>
      <c r="N545" s="46" t="str">
        <f>IFERROR(VLOOKUP(D545,'[1]Product Datasheet'!$A:$G,4,0),"")</f>
        <v/>
      </c>
      <c r="O545" s="47" t="str">
        <f>IFERROR(VLOOKUP(D545,'[1]Product Datasheet'!$A:$G,5,0),"")</f>
        <v/>
      </c>
      <c r="P545" s="47" t="str">
        <f>IFERROR(VLOOKUP(D545,'[1]Product Datasheet'!$A:$G,6,0),"")</f>
        <v/>
      </c>
      <c r="Q545" s="47" t="str">
        <f>IFERROR(VLOOKUP(D545,'[1]Product Datasheet'!$A:$G,7,0), "")</f>
        <v/>
      </c>
      <c r="R545" s="48"/>
      <c r="S545" s="49" t="str">
        <f t="shared" si="23"/>
        <v>Accept</v>
      </c>
      <c r="T545" s="50"/>
      <c r="U545" s="51"/>
    </row>
    <row r="546" spans="1:21" ht="24.75" customHeight="1" x14ac:dyDescent="0.3">
      <c r="A546" s="38" t="str">
        <f>IFERROR(VLOOKUP(D546,'[1]Product Datasheet'!$A:$G,2,0),"")</f>
        <v/>
      </c>
      <c r="B546" s="39" t="str">
        <f>IFERROR(VLOOKUP(D546,'[1]Product Datasheet'!$A:$G,3,0),"")</f>
        <v/>
      </c>
      <c r="C546" s="40"/>
      <c r="D546" s="41"/>
      <c r="E546" s="41"/>
      <c r="F546" s="41"/>
      <c r="G546" s="42"/>
      <c r="H546" s="43"/>
      <c r="I546" s="42"/>
      <c r="J546" s="44"/>
      <c r="K546" s="44"/>
      <c r="L546" s="44"/>
      <c r="M546" s="45" t="str">
        <f t="shared" si="22"/>
        <v>Pass</v>
      </c>
      <c r="N546" s="46" t="str">
        <f>IFERROR(VLOOKUP(D546,'[1]Product Datasheet'!$A:$G,4,0),"")</f>
        <v/>
      </c>
      <c r="O546" s="47" t="str">
        <f>IFERROR(VLOOKUP(D546,'[1]Product Datasheet'!$A:$G,5,0),"")</f>
        <v/>
      </c>
      <c r="P546" s="47" t="str">
        <f>IFERROR(VLOOKUP(D546,'[1]Product Datasheet'!$A:$G,6,0),"")</f>
        <v/>
      </c>
      <c r="Q546" s="47" t="str">
        <f>IFERROR(VLOOKUP(D546,'[1]Product Datasheet'!$A:$G,7,0), "")</f>
        <v/>
      </c>
      <c r="R546" s="48"/>
      <c r="S546" s="49" t="str">
        <f t="shared" si="23"/>
        <v>Accept</v>
      </c>
      <c r="T546" s="50"/>
      <c r="U546" s="51"/>
    </row>
    <row r="547" spans="1:21" ht="24.75" customHeight="1" x14ac:dyDescent="0.3">
      <c r="A547" s="38" t="str">
        <f>IFERROR(VLOOKUP(D547,'[1]Product Datasheet'!$A:$G,2,0),"")</f>
        <v/>
      </c>
      <c r="B547" s="39" t="str">
        <f>IFERROR(VLOOKUP(D547,'[1]Product Datasheet'!$A:$G,3,0),"")</f>
        <v/>
      </c>
      <c r="C547" s="40"/>
      <c r="D547" s="41"/>
      <c r="E547" s="41"/>
      <c r="F547" s="41"/>
      <c r="G547" s="42"/>
      <c r="H547" s="43"/>
      <c r="I547" s="42"/>
      <c r="J547" s="44"/>
      <c r="K547" s="44"/>
      <c r="L547" s="44"/>
      <c r="M547" s="45" t="str">
        <f t="shared" si="22"/>
        <v>Pass</v>
      </c>
      <c r="N547" s="46" t="str">
        <f>IFERROR(VLOOKUP(D547,'[1]Product Datasheet'!$A:$G,4,0),"")</f>
        <v/>
      </c>
      <c r="O547" s="47" t="str">
        <f>IFERROR(VLOOKUP(D547,'[1]Product Datasheet'!$A:$G,5,0),"")</f>
        <v/>
      </c>
      <c r="P547" s="47" t="str">
        <f>IFERROR(VLOOKUP(D547,'[1]Product Datasheet'!$A:$G,6,0),"")</f>
        <v/>
      </c>
      <c r="Q547" s="47" t="str">
        <f>IFERROR(VLOOKUP(D547,'[1]Product Datasheet'!$A:$G,7,0), "")</f>
        <v/>
      </c>
      <c r="R547" s="48"/>
      <c r="S547" s="49" t="str">
        <f t="shared" si="23"/>
        <v>Accept</v>
      </c>
      <c r="T547" s="50"/>
      <c r="U547" s="51"/>
    </row>
    <row r="548" spans="1:21" ht="24.75" customHeight="1" x14ac:dyDescent="0.3">
      <c r="A548" s="38" t="str">
        <f>IFERROR(VLOOKUP(D548,'[1]Product Datasheet'!$A:$G,2,0),"")</f>
        <v/>
      </c>
      <c r="B548" s="39" t="str">
        <f>IFERROR(VLOOKUP(D548,'[1]Product Datasheet'!$A:$G,3,0),"")</f>
        <v/>
      </c>
      <c r="C548" s="40"/>
      <c r="D548" s="41"/>
      <c r="E548" s="41"/>
      <c r="F548" s="41"/>
      <c r="G548" s="42"/>
      <c r="H548" s="43"/>
      <c r="I548" s="42"/>
      <c r="J548" s="44"/>
      <c r="K548" s="44"/>
      <c r="L548" s="44"/>
      <c r="M548" s="45" t="str">
        <f t="shared" si="22"/>
        <v>Pass</v>
      </c>
      <c r="N548" s="46" t="str">
        <f>IFERROR(VLOOKUP(D548,'[1]Product Datasheet'!$A:$G,4,0),"")</f>
        <v/>
      </c>
      <c r="O548" s="47" t="str">
        <f>IFERROR(VLOOKUP(D548,'[1]Product Datasheet'!$A:$G,5,0),"")</f>
        <v/>
      </c>
      <c r="P548" s="47" t="str">
        <f>IFERROR(VLOOKUP(D548,'[1]Product Datasheet'!$A:$G,6,0),"")</f>
        <v/>
      </c>
      <c r="Q548" s="47" t="str">
        <f>IFERROR(VLOOKUP(D548,'[1]Product Datasheet'!$A:$G,7,0), "")</f>
        <v/>
      </c>
      <c r="R548" s="48"/>
      <c r="S548" s="49" t="str">
        <f t="shared" si="23"/>
        <v>Accept</v>
      </c>
      <c r="T548" s="50"/>
      <c r="U548" s="51"/>
    </row>
    <row r="549" spans="1:21" ht="24.75" customHeight="1" x14ac:dyDescent="0.3">
      <c r="A549" s="38" t="str">
        <f>IFERROR(VLOOKUP(D549,'[1]Product Datasheet'!$A:$G,2,0),"")</f>
        <v/>
      </c>
      <c r="B549" s="39" t="str">
        <f>IFERROR(VLOOKUP(D549,'[1]Product Datasheet'!$A:$G,3,0),"")</f>
        <v/>
      </c>
      <c r="C549" s="40"/>
      <c r="D549" s="41"/>
      <c r="E549" s="41"/>
      <c r="F549" s="41"/>
      <c r="G549" s="42"/>
      <c r="H549" s="43"/>
      <c r="I549" s="42"/>
      <c r="J549" s="44"/>
      <c r="K549" s="44"/>
      <c r="L549" s="44"/>
      <c r="M549" s="45" t="str">
        <f t="shared" si="22"/>
        <v>Pass</v>
      </c>
      <c r="N549" s="46" t="str">
        <f>IFERROR(VLOOKUP(D549,'[1]Product Datasheet'!$A:$G,4,0),"")</f>
        <v/>
      </c>
      <c r="O549" s="47" t="str">
        <f>IFERROR(VLOOKUP(D549,'[1]Product Datasheet'!$A:$G,5,0),"")</f>
        <v/>
      </c>
      <c r="P549" s="47" t="str">
        <f>IFERROR(VLOOKUP(D549,'[1]Product Datasheet'!$A:$G,6,0),"")</f>
        <v/>
      </c>
      <c r="Q549" s="47" t="str">
        <f>IFERROR(VLOOKUP(D549,'[1]Product Datasheet'!$A:$G,7,0), "")</f>
        <v/>
      </c>
      <c r="R549" s="48"/>
      <c r="S549" s="49" t="str">
        <f t="shared" si="23"/>
        <v>Accept</v>
      </c>
      <c r="T549" s="50"/>
      <c r="U549" s="51"/>
    </row>
    <row r="550" spans="1:21" ht="24.75" customHeight="1" x14ac:dyDescent="0.3">
      <c r="A550" s="38" t="str">
        <f>IFERROR(VLOOKUP(D550,'[1]Product Datasheet'!$A:$G,2,0),"")</f>
        <v/>
      </c>
      <c r="B550" s="39" t="str">
        <f>IFERROR(VLOOKUP(D550,'[1]Product Datasheet'!$A:$G,3,0),"")</f>
        <v/>
      </c>
      <c r="C550" s="40"/>
      <c r="D550" s="41"/>
      <c r="E550" s="41"/>
      <c r="F550" s="41"/>
      <c r="G550" s="42"/>
      <c r="H550" s="43"/>
      <c r="I550" s="42"/>
      <c r="J550" s="44"/>
      <c r="K550" s="44"/>
      <c r="L550" s="44"/>
      <c r="M550" s="45" t="str">
        <f t="shared" si="22"/>
        <v>Pass</v>
      </c>
      <c r="N550" s="46" t="str">
        <f>IFERROR(VLOOKUP(D550,'[1]Product Datasheet'!$A:$G,4,0),"")</f>
        <v/>
      </c>
      <c r="O550" s="47" t="str">
        <f>IFERROR(VLOOKUP(D550,'[1]Product Datasheet'!$A:$G,5,0),"")</f>
        <v/>
      </c>
      <c r="P550" s="47" t="str">
        <f>IFERROR(VLOOKUP(D550,'[1]Product Datasheet'!$A:$G,6,0),"")</f>
        <v/>
      </c>
      <c r="Q550" s="47" t="str">
        <f>IFERROR(VLOOKUP(D550,'[1]Product Datasheet'!$A:$G,7,0), "")</f>
        <v/>
      </c>
      <c r="R550" s="48"/>
      <c r="S550" s="49" t="str">
        <f t="shared" si="23"/>
        <v>Accept</v>
      </c>
      <c r="T550" s="50"/>
      <c r="U550" s="51"/>
    </row>
    <row r="551" spans="1:21" ht="24.75" customHeight="1" x14ac:dyDescent="0.3">
      <c r="A551" s="38" t="str">
        <f>IFERROR(VLOOKUP(D551,'[1]Product Datasheet'!$A:$G,2,0),"")</f>
        <v/>
      </c>
      <c r="B551" s="39" t="str">
        <f>IFERROR(VLOOKUP(D551,'[1]Product Datasheet'!$A:$G,3,0),"")</f>
        <v/>
      </c>
      <c r="C551" s="40"/>
      <c r="D551" s="41"/>
      <c r="E551" s="41"/>
      <c r="F551" s="41"/>
      <c r="G551" s="42"/>
      <c r="H551" s="43"/>
      <c r="I551" s="42"/>
      <c r="J551" s="44"/>
      <c r="K551" s="44"/>
      <c r="L551" s="44"/>
      <c r="M551" s="45" t="str">
        <f t="shared" si="22"/>
        <v>Pass</v>
      </c>
      <c r="N551" s="46" t="str">
        <f>IFERROR(VLOOKUP(D551,'[1]Product Datasheet'!$A:$G,4,0),"")</f>
        <v/>
      </c>
      <c r="O551" s="47" t="str">
        <f>IFERROR(VLOOKUP(D551,'[1]Product Datasheet'!$A:$G,5,0),"")</f>
        <v/>
      </c>
      <c r="P551" s="47" t="str">
        <f>IFERROR(VLOOKUP(D551,'[1]Product Datasheet'!$A:$G,6,0),"")</f>
        <v/>
      </c>
      <c r="Q551" s="47" t="str">
        <f>IFERROR(VLOOKUP(D551,'[1]Product Datasheet'!$A:$G,7,0), "")</f>
        <v/>
      </c>
      <c r="R551" s="48"/>
      <c r="S551" s="49" t="str">
        <f t="shared" si="23"/>
        <v>Accept</v>
      </c>
      <c r="T551" s="50"/>
      <c r="U551" s="51"/>
    </row>
    <row r="552" spans="1:21" ht="24.75" customHeight="1" x14ac:dyDescent="0.3">
      <c r="A552" s="38" t="str">
        <f>IFERROR(VLOOKUP(D552,'[1]Product Datasheet'!$A:$G,2,0),"")</f>
        <v/>
      </c>
      <c r="B552" s="39" t="str">
        <f>IFERROR(VLOOKUP(D552,'[1]Product Datasheet'!$A:$G,3,0),"")</f>
        <v/>
      </c>
      <c r="C552" s="40"/>
      <c r="D552" s="41"/>
      <c r="E552" s="41"/>
      <c r="F552" s="41"/>
      <c r="G552" s="42"/>
      <c r="H552" s="43"/>
      <c r="I552" s="42"/>
      <c r="J552" s="44"/>
      <c r="K552" s="44"/>
      <c r="L552" s="44"/>
      <c r="M552" s="45" t="str">
        <f t="shared" si="22"/>
        <v>Pass</v>
      </c>
      <c r="N552" s="46" t="str">
        <f>IFERROR(VLOOKUP(D552,'[1]Product Datasheet'!$A:$G,4,0),"")</f>
        <v/>
      </c>
      <c r="O552" s="47" t="str">
        <f>IFERROR(VLOOKUP(D552,'[1]Product Datasheet'!$A:$G,5,0),"")</f>
        <v/>
      </c>
      <c r="P552" s="47" t="str">
        <f>IFERROR(VLOOKUP(D552,'[1]Product Datasheet'!$A:$G,6,0),"")</f>
        <v/>
      </c>
      <c r="Q552" s="47" t="str">
        <f>IFERROR(VLOOKUP(D552,'[1]Product Datasheet'!$A:$G,7,0), "")</f>
        <v/>
      </c>
      <c r="R552" s="48"/>
      <c r="S552" s="49" t="str">
        <f t="shared" si="23"/>
        <v>Accept</v>
      </c>
      <c r="T552" s="50"/>
      <c r="U552" s="51"/>
    </row>
    <row r="553" spans="1:21" ht="24.75" customHeight="1" x14ac:dyDescent="0.3">
      <c r="A553" s="38" t="str">
        <f>IFERROR(VLOOKUP(D553,'[1]Product Datasheet'!$A:$G,2,0),"")</f>
        <v/>
      </c>
      <c r="B553" s="39" t="str">
        <f>IFERROR(VLOOKUP(D553,'[1]Product Datasheet'!$A:$G,3,0),"")</f>
        <v/>
      </c>
      <c r="C553" s="40"/>
      <c r="D553" s="41"/>
      <c r="E553" s="41"/>
      <c r="F553" s="41"/>
      <c r="G553" s="42"/>
      <c r="H553" s="43"/>
      <c r="I553" s="42"/>
      <c r="J553" s="44"/>
      <c r="K553" s="44"/>
      <c r="L553" s="44"/>
      <c r="M553" s="45" t="str">
        <f t="shared" si="22"/>
        <v>Pass</v>
      </c>
      <c r="N553" s="46" t="str">
        <f>IFERROR(VLOOKUP(D553,'[1]Product Datasheet'!$A:$G,4,0),"")</f>
        <v/>
      </c>
      <c r="O553" s="47" t="str">
        <f>IFERROR(VLOOKUP(D553,'[1]Product Datasheet'!$A:$G,5,0),"")</f>
        <v/>
      </c>
      <c r="P553" s="47" t="str">
        <f>IFERROR(VLOOKUP(D553,'[1]Product Datasheet'!$A:$G,6,0),"")</f>
        <v/>
      </c>
      <c r="Q553" s="47" t="str">
        <f>IFERROR(VLOOKUP(D553,'[1]Product Datasheet'!$A:$G,7,0), "")</f>
        <v/>
      </c>
      <c r="R553" s="48"/>
      <c r="S553" s="49" t="str">
        <f t="shared" si="23"/>
        <v>Accept</v>
      </c>
      <c r="T553" s="50"/>
      <c r="U553" s="51"/>
    </row>
    <row r="554" spans="1:21" ht="24.75" customHeight="1" x14ac:dyDescent="0.3">
      <c r="A554" s="38" t="str">
        <f>IFERROR(VLOOKUP(D554,'[1]Product Datasheet'!$A:$G,2,0),"")</f>
        <v/>
      </c>
      <c r="B554" s="39" t="str">
        <f>IFERROR(VLOOKUP(D554,'[1]Product Datasheet'!$A:$G,3,0),"")</f>
        <v/>
      </c>
      <c r="C554" s="40"/>
      <c r="D554" s="41"/>
      <c r="E554" s="41"/>
      <c r="F554" s="41"/>
      <c r="G554" s="42"/>
      <c r="H554" s="43"/>
      <c r="I554" s="42"/>
      <c r="J554" s="44"/>
      <c r="K554" s="44"/>
      <c r="L554" s="44"/>
      <c r="M554" s="45" t="str">
        <f t="shared" si="22"/>
        <v>Pass</v>
      </c>
      <c r="N554" s="46" t="str">
        <f>IFERROR(VLOOKUP(D554,'[1]Product Datasheet'!$A:$G,4,0),"")</f>
        <v/>
      </c>
      <c r="O554" s="47" t="str">
        <f>IFERROR(VLOOKUP(D554,'[1]Product Datasheet'!$A:$G,5,0),"")</f>
        <v/>
      </c>
      <c r="P554" s="47" t="str">
        <f>IFERROR(VLOOKUP(D554,'[1]Product Datasheet'!$A:$G,6,0),"")</f>
        <v/>
      </c>
      <c r="Q554" s="47" t="str">
        <f>IFERROR(VLOOKUP(D554,'[1]Product Datasheet'!$A:$G,7,0), "")</f>
        <v/>
      </c>
      <c r="R554" s="48"/>
      <c r="S554" s="49" t="str">
        <f t="shared" si="23"/>
        <v>Accept</v>
      </c>
      <c r="T554" s="50"/>
      <c r="U554" s="51"/>
    </row>
    <row r="555" spans="1:21" ht="24.75" customHeight="1" x14ac:dyDescent="0.3">
      <c r="A555" s="38" t="str">
        <f>IFERROR(VLOOKUP(D555,'[1]Product Datasheet'!$A:$G,2,0),"")</f>
        <v/>
      </c>
      <c r="B555" s="39" t="str">
        <f>IFERROR(VLOOKUP(D555,'[1]Product Datasheet'!$A:$G,3,0),"")</f>
        <v/>
      </c>
      <c r="C555" s="40"/>
      <c r="D555" s="41"/>
      <c r="E555" s="41"/>
      <c r="F555" s="41"/>
      <c r="G555" s="42"/>
      <c r="H555" s="43"/>
      <c r="I555" s="42"/>
      <c r="J555" s="44"/>
      <c r="K555" s="44"/>
      <c r="L555" s="44"/>
      <c r="M555" s="45" t="str">
        <f t="shared" si="22"/>
        <v>Pass</v>
      </c>
      <c r="N555" s="46" t="str">
        <f>IFERROR(VLOOKUP(D555,'[1]Product Datasheet'!$A:$G,4,0),"")</f>
        <v/>
      </c>
      <c r="O555" s="47" t="str">
        <f>IFERROR(VLOOKUP(D555,'[1]Product Datasheet'!$A:$G,5,0),"")</f>
        <v/>
      </c>
      <c r="P555" s="47" t="str">
        <f>IFERROR(VLOOKUP(D555,'[1]Product Datasheet'!$A:$G,6,0),"")</f>
        <v/>
      </c>
      <c r="Q555" s="47" t="str">
        <f>IFERROR(VLOOKUP(D555,'[1]Product Datasheet'!$A:$G,7,0), "")</f>
        <v/>
      </c>
      <c r="R555" s="48"/>
      <c r="S555" s="49" t="str">
        <f t="shared" si="23"/>
        <v>Accept</v>
      </c>
      <c r="T555" s="50"/>
      <c r="U555" s="51"/>
    </row>
    <row r="556" spans="1:21" ht="24.75" customHeight="1" x14ac:dyDescent="0.3">
      <c r="A556" s="38" t="str">
        <f>IFERROR(VLOOKUP(D556,'[1]Product Datasheet'!$A:$G,2,0),"")</f>
        <v/>
      </c>
      <c r="B556" s="39" t="str">
        <f>IFERROR(VLOOKUP(D556,'[1]Product Datasheet'!$A:$G,3,0),"")</f>
        <v/>
      </c>
      <c r="C556" s="40"/>
      <c r="D556" s="41"/>
      <c r="E556" s="41"/>
      <c r="F556" s="41"/>
      <c r="G556" s="42"/>
      <c r="H556" s="43"/>
      <c r="I556" s="42"/>
      <c r="J556" s="44"/>
      <c r="K556" s="44"/>
      <c r="L556" s="44"/>
      <c r="M556" s="45" t="str">
        <f t="shared" si="22"/>
        <v>Pass</v>
      </c>
      <c r="N556" s="46" t="str">
        <f>IFERROR(VLOOKUP(D556,'[1]Product Datasheet'!$A:$G,4,0),"")</f>
        <v/>
      </c>
      <c r="O556" s="47" t="str">
        <f>IFERROR(VLOOKUP(D556,'[1]Product Datasheet'!$A:$G,5,0),"")</f>
        <v/>
      </c>
      <c r="P556" s="47" t="str">
        <f>IFERROR(VLOOKUP(D556,'[1]Product Datasheet'!$A:$G,6,0),"")</f>
        <v/>
      </c>
      <c r="Q556" s="47" t="str">
        <f>IFERROR(VLOOKUP(D556,'[1]Product Datasheet'!$A:$G,7,0), "")</f>
        <v/>
      </c>
      <c r="R556" s="48"/>
      <c r="S556" s="49" t="str">
        <f t="shared" si="23"/>
        <v>Accept</v>
      </c>
      <c r="T556" s="50"/>
      <c r="U556" s="51"/>
    </row>
    <row r="557" spans="1:21" ht="24.75" customHeight="1" x14ac:dyDescent="0.3">
      <c r="A557" s="38" t="str">
        <f>IFERROR(VLOOKUP(D557,'[1]Product Datasheet'!$A:$G,2,0),"")</f>
        <v/>
      </c>
      <c r="B557" s="39" t="str">
        <f>IFERROR(VLOOKUP(D557,'[1]Product Datasheet'!$A:$G,3,0),"")</f>
        <v/>
      </c>
      <c r="C557" s="40"/>
      <c r="D557" s="41"/>
      <c r="E557" s="41"/>
      <c r="F557" s="41"/>
      <c r="G557" s="42"/>
      <c r="H557" s="43"/>
      <c r="I557" s="42"/>
      <c r="J557" s="44"/>
      <c r="K557" s="44"/>
      <c r="L557" s="44"/>
      <c r="M557" s="45" t="str">
        <f t="shared" si="22"/>
        <v>Pass</v>
      </c>
      <c r="N557" s="46" t="str">
        <f>IFERROR(VLOOKUP(D557,'[1]Product Datasheet'!$A:$G,4,0),"")</f>
        <v/>
      </c>
      <c r="O557" s="47" t="str">
        <f>IFERROR(VLOOKUP(D557,'[1]Product Datasheet'!$A:$G,5,0),"")</f>
        <v/>
      </c>
      <c r="P557" s="47" t="str">
        <f>IFERROR(VLOOKUP(D557,'[1]Product Datasheet'!$A:$G,6,0),"")</f>
        <v/>
      </c>
      <c r="Q557" s="47" t="str">
        <f>IFERROR(VLOOKUP(D557,'[1]Product Datasheet'!$A:$G,7,0), "")</f>
        <v/>
      </c>
      <c r="R557" s="48"/>
      <c r="S557" s="49" t="str">
        <f t="shared" si="23"/>
        <v>Accept</v>
      </c>
      <c r="T557" s="50"/>
      <c r="U557" s="51"/>
    </row>
    <row r="558" spans="1:21" ht="24.75" customHeight="1" x14ac:dyDescent="0.3">
      <c r="A558" s="38" t="str">
        <f>IFERROR(VLOOKUP(D558,'[1]Product Datasheet'!$A:$G,2,0),"")</f>
        <v/>
      </c>
      <c r="B558" s="39" t="str">
        <f>IFERROR(VLOOKUP(D558,'[1]Product Datasheet'!$A:$G,3,0),"")</f>
        <v/>
      </c>
      <c r="C558" s="40"/>
      <c r="D558" s="41"/>
      <c r="E558" s="41"/>
      <c r="F558" s="41"/>
      <c r="G558" s="42"/>
      <c r="H558" s="43"/>
      <c r="I558" s="42"/>
      <c r="J558" s="44"/>
      <c r="K558" s="44"/>
      <c r="L558" s="44"/>
      <c r="M558" s="45" t="str">
        <f t="shared" si="22"/>
        <v>Pass</v>
      </c>
      <c r="N558" s="46" t="str">
        <f>IFERROR(VLOOKUP(D558,'[1]Product Datasheet'!$A:$G,4,0),"")</f>
        <v/>
      </c>
      <c r="O558" s="47" t="str">
        <f>IFERROR(VLOOKUP(D558,'[1]Product Datasheet'!$A:$G,5,0),"")</f>
        <v/>
      </c>
      <c r="P558" s="47" t="str">
        <f>IFERROR(VLOOKUP(D558,'[1]Product Datasheet'!$A:$G,6,0),"")</f>
        <v/>
      </c>
      <c r="Q558" s="47" t="str">
        <f>IFERROR(VLOOKUP(D558,'[1]Product Datasheet'!$A:$G,7,0), "")</f>
        <v/>
      </c>
      <c r="R558" s="48"/>
      <c r="S558" s="49" t="str">
        <f t="shared" si="23"/>
        <v>Accept</v>
      </c>
      <c r="T558" s="50"/>
      <c r="U558" s="51"/>
    </row>
    <row r="559" spans="1:21" ht="24.75" customHeight="1" x14ac:dyDescent="0.3">
      <c r="A559" s="38" t="str">
        <f>IFERROR(VLOOKUP(D559,'[1]Product Datasheet'!$A:$G,2,0),"")</f>
        <v/>
      </c>
      <c r="B559" s="39" t="str">
        <f>IFERROR(VLOOKUP(D559,'[1]Product Datasheet'!$A:$G,3,0),"")</f>
        <v/>
      </c>
      <c r="C559" s="40"/>
      <c r="D559" s="41"/>
      <c r="E559" s="41"/>
      <c r="F559" s="41"/>
      <c r="G559" s="42"/>
      <c r="H559" s="43"/>
      <c r="I559" s="42"/>
      <c r="J559" s="44"/>
      <c r="K559" s="44"/>
      <c r="L559" s="44"/>
      <c r="M559" s="45" t="str">
        <f t="shared" si="22"/>
        <v>Pass</v>
      </c>
      <c r="N559" s="46" t="str">
        <f>IFERROR(VLOOKUP(D559,'[1]Product Datasheet'!$A:$G,4,0),"")</f>
        <v/>
      </c>
      <c r="O559" s="47" t="str">
        <f>IFERROR(VLOOKUP(D559,'[1]Product Datasheet'!$A:$G,5,0),"")</f>
        <v/>
      </c>
      <c r="P559" s="47" t="str">
        <f>IFERROR(VLOOKUP(D559,'[1]Product Datasheet'!$A:$G,6,0),"")</f>
        <v/>
      </c>
      <c r="Q559" s="47" t="str">
        <f>IFERROR(VLOOKUP(D559,'[1]Product Datasheet'!$A:$G,7,0), "")</f>
        <v/>
      </c>
      <c r="R559" s="48"/>
      <c r="S559" s="49" t="str">
        <f t="shared" si="23"/>
        <v>Accept</v>
      </c>
      <c r="T559" s="50"/>
      <c r="U559" s="51"/>
    </row>
    <row r="560" spans="1:21" ht="24.75" customHeight="1" x14ac:dyDescent="0.3">
      <c r="A560" s="38" t="str">
        <f>IFERROR(VLOOKUP(D560,'[1]Product Datasheet'!$A:$G,2,0),"")</f>
        <v/>
      </c>
      <c r="B560" s="39" t="str">
        <f>IFERROR(VLOOKUP(D560,'[1]Product Datasheet'!$A:$G,3,0),"")</f>
        <v/>
      </c>
      <c r="C560" s="40"/>
      <c r="D560" s="41"/>
      <c r="E560" s="41"/>
      <c r="F560" s="41"/>
      <c r="G560" s="42"/>
      <c r="H560" s="43"/>
      <c r="I560" s="42"/>
      <c r="J560" s="44"/>
      <c r="K560" s="44"/>
      <c r="L560" s="44"/>
      <c r="M560" s="45" t="str">
        <f t="shared" si="22"/>
        <v>Pass</v>
      </c>
      <c r="N560" s="46" t="str">
        <f>IFERROR(VLOOKUP(D560,'[1]Product Datasheet'!$A:$G,4,0),"")</f>
        <v/>
      </c>
      <c r="O560" s="47" t="str">
        <f>IFERROR(VLOOKUP(D560,'[1]Product Datasheet'!$A:$G,5,0),"")</f>
        <v/>
      </c>
      <c r="P560" s="47" t="str">
        <f>IFERROR(VLOOKUP(D560,'[1]Product Datasheet'!$A:$G,6,0),"")</f>
        <v/>
      </c>
      <c r="Q560" s="47" t="str">
        <f>IFERROR(VLOOKUP(D560,'[1]Product Datasheet'!$A:$G,7,0), "")</f>
        <v/>
      </c>
      <c r="R560" s="48"/>
      <c r="S560" s="49" t="str">
        <f t="shared" si="23"/>
        <v>Accept</v>
      </c>
      <c r="T560" s="50"/>
      <c r="U560" s="51"/>
    </row>
    <row r="561" spans="1:21" ht="24.75" customHeight="1" x14ac:dyDescent="0.3">
      <c r="A561" s="38" t="str">
        <f>IFERROR(VLOOKUP(D561,'[1]Product Datasheet'!$A:$G,2,0),"")</f>
        <v/>
      </c>
      <c r="B561" s="39" t="str">
        <f>IFERROR(VLOOKUP(D561,'[1]Product Datasheet'!$A:$G,3,0),"")</f>
        <v/>
      </c>
      <c r="C561" s="40"/>
      <c r="D561" s="41"/>
      <c r="E561" s="41"/>
      <c r="F561" s="41"/>
      <c r="G561" s="42"/>
      <c r="H561" s="43"/>
      <c r="I561" s="42"/>
      <c r="J561" s="44"/>
      <c r="K561" s="44"/>
      <c r="L561" s="44"/>
      <c r="M561" s="45" t="str">
        <f t="shared" si="22"/>
        <v>Pass</v>
      </c>
      <c r="N561" s="46" t="str">
        <f>IFERROR(VLOOKUP(D561,'[1]Product Datasheet'!$A:$G,4,0),"")</f>
        <v/>
      </c>
      <c r="O561" s="47" t="str">
        <f>IFERROR(VLOOKUP(D561,'[1]Product Datasheet'!$A:$G,5,0),"")</f>
        <v/>
      </c>
      <c r="P561" s="47" t="str">
        <f>IFERROR(VLOOKUP(D561,'[1]Product Datasheet'!$A:$G,6,0),"")</f>
        <v/>
      </c>
      <c r="Q561" s="47" t="str">
        <f>IFERROR(VLOOKUP(D561,'[1]Product Datasheet'!$A:$G,7,0), "")</f>
        <v/>
      </c>
      <c r="R561" s="48"/>
      <c r="S561" s="49" t="str">
        <f t="shared" si="23"/>
        <v>Accept</v>
      </c>
      <c r="T561" s="50"/>
      <c r="U561" s="51"/>
    </row>
    <row r="562" spans="1:21" ht="24.75" customHeight="1" x14ac:dyDescent="0.3">
      <c r="A562" s="38" t="str">
        <f>IFERROR(VLOOKUP(D562,'[1]Product Datasheet'!$A:$G,2,0),"")</f>
        <v/>
      </c>
      <c r="B562" s="39" t="str">
        <f>IFERROR(VLOOKUP(D562,'[1]Product Datasheet'!$A:$G,3,0),"")</f>
        <v/>
      </c>
      <c r="C562" s="40"/>
      <c r="D562" s="41"/>
      <c r="E562" s="41"/>
      <c r="F562" s="41"/>
      <c r="G562" s="42"/>
      <c r="H562" s="43"/>
      <c r="I562" s="42"/>
      <c r="J562" s="44"/>
      <c r="K562" s="44"/>
      <c r="L562" s="44"/>
      <c r="M562" s="45" t="str">
        <f t="shared" si="22"/>
        <v>Pass</v>
      </c>
      <c r="N562" s="46" t="str">
        <f>IFERROR(VLOOKUP(D562,'[1]Product Datasheet'!$A:$G,4,0),"")</f>
        <v/>
      </c>
      <c r="O562" s="47" t="str">
        <f>IFERROR(VLOOKUP(D562,'[1]Product Datasheet'!$A:$G,5,0),"")</f>
        <v/>
      </c>
      <c r="P562" s="47" t="str">
        <f>IFERROR(VLOOKUP(D562,'[1]Product Datasheet'!$A:$G,6,0),"")</f>
        <v/>
      </c>
      <c r="Q562" s="47" t="str">
        <f>IFERROR(VLOOKUP(D562,'[1]Product Datasheet'!$A:$G,7,0), "")</f>
        <v/>
      </c>
      <c r="R562" s="48"/>
      <c r="S562" s="49" t="str">
        <f t="shared" si="23"/>
        <v>Accept</v>
      </c>
      <c r="T562" s="50"/>
      <c r="U562" s="51"/>
    </row>
    <row r="563" spans="1:21" ht="24.75" customHeight="1" x14ac:dyDescent="0.3">
      <c r="A563" s="38" t="str">
        <f>IFERROR(VLOOKUP(D563,'[1]Product Datasheet'!$A:$G,2,0),"")</f>
        <v/>
      </c>
      <c r="B563" s="39" t="str">
        <f>IFERROR(VLOOKUP(D563,'[1]Product Datasheet'!$A:$G,3,0),"")</f>
        <v/>
      </c>
      <c r="C563" s="40"/>
      <c r="D563" s="41"/>
      <c r="E563" s="41"/>
      <c r="F563" s="41"/>
      <c r="G563" s="42"/>
      <c r="H563" s="43"/>
      <c r="I563" s="42"/>
      <c r="J563" s="44"/>
      <c r="K563" s="44"/>
      <c r="L563" s="44"/>
      <c r="M563" s="45" t="str">
        <f t="shared" si="22"/>
        <v>Pass</v>
      </c>
      <c r="N563" s="46" t="str">
        <f>IFERROR(VLOOKUP(D563,'[1]Product Datasheet'!$A:$G,4,0),"")</f>
        <v/>
      </c>
      <c r="O563" s="47" t="str">
        <f>IFERROR(VLOOKUP(D563,'[1]Product Datasheet'!$A:$G,5,0),"")</f>
        <v/>
      </c>
      <c r="P563" s="47" t="str">
        <f>IFERROR(VLOOKUP(D563,'[1]Product Datasheet'!$A:$G,6,0),"")</f>
        <v/>
      </c>
      <c r="Q563" s="47" t="str">
        <f>IFERROR(VLOOKUP(D563,'[1]Product Datasheet'!$A:$G,7,0), "")</f>
        <v/>
      </c>
      <c r="R563" s="48"/>
      <c r="S563" s="49" t="str">
        <f t="shared" si="23"/>
        <v>Accept</v>
      </c>
      <c r="T563" s="50"/>
      <c r="U563" s="51"/>
    </row>
    <row r="564" spans="1:21" ht="24.75" customHeight="1" x14ac:dyDescent="0.3">
      <c r="A564" s="38" t="str">
        <f>IFERROR(VLOOKUP(D564,'[1]Product Datasheet'!$A:$G,2,0),"")</f>
        <v/>
      </c>
      <c r="B564" s="39" t="str">
        <f>IFERROR(VLOOKUP(D564,'[1]Product Datasheet'!$A:$G,3,0),"")</f>
        <v/>
      </c>
      <c r="C564" s="40"/>
      <c r="D564" s="41"/>
      <c r="E564" s="41"/>
      <c r="F564" s="41"/>
      <c r="G564" s="42"/>
      <c r="H564" s="43"/>
      <c r="I564" s="42"/>
      <c r="J564" s="44"/>
      <c r="K564" s="44"/>
      <c r="L564" s="44"/>
      <c r="M564" s="45" t="str">
        <f t="shared" si="22"/>
        <v>Pass</v>
      </c>
      <c r="N564" s="46" t="str">
        <f>IFERROR(VLOOKUP(D564,'[1]Product Datasheet'!$A:$G,4,0),"")</f>
        <v/>
      </c>
      <c r="O564" s="47" t="str">
        <f>IFERROR(VLOOKUP(D564,'[1]Product Datasheet'!$A:$G,5,0),"")</f>
        <v/>
      </c>
      <c r="P564" s="47" t="str">
        <f>IFERROR(VLOOKUP(D564,'[1]Product Datasheet'!$A:$G,6,0),"")</f>
        <v/>
      </c>
      <c r="Q564" s="47" t="str">
        <f>IFERROR(VLOOKUP(D564,'[1]Product Datasheet'!$A:$G,7,0), "")</f>
        <v/>
      </c>
      <c r="R564" s="48"/>
      <c r="S564" s="49" t="str">
        <f t="shared" si="23"/>
        <v>Accept</v>
      </c>
      <c r="T564" s="50"/>
      <c r="U564" s="51"/>
    </row>
    <row r="565" spans="1:21" ht="24.75" customHeight="1" x14ac:dyDescent="0.3">
      <c r="A565" s="38" t="str">
        <f>IFERROR(VLOOKUP(D565,'[1]Product Datasheet'!$A:$G,2,0),"")</f>
        <v/>
      </c>
      <c r="B565" s="39" t="str">
        <f>IFERROR(VLOOKUP(D565,'[1]Product Datasheet'!$A:$G,3,0),"")</f>
        <v/>
      </c>
      <c r="C565" s="40"/>
      <c r="D565" s="41"/>
      <c r="E565" s="41"/>
      <c r="F565" s="41"/>
      <c r="G565" s="42"/>
      <c r="H565" s="43"/>
      <c r="I565" s="42"/>
      <c r="J565" s="44"/>
      <c r="K565" s="44"/>
      <c r="L565" s="44"/>
      <c r="M565" s="45" t="str">
        <f t="shared" si="22"/>
        <v>Pass</v>
      </c>
      <c r="N565" s="46" t="str">
        <f>IFERROR(VLOOKUP(D565,'[1]Product Datasheet'!$A:$G,4,0),"")</f>
        <v/>
      </c>
      <c r="O565" s="47" t="str">
        <f>IFERROR(VLOOKUP(D565,'[1]Product Datasheet'!$A:$G,5,0),"")</f>
        <v/>
      </c>
      <c r="P565" s="47" t="str">
        <f>IFERROR(VLOOKUP(D565,'[1]Product Datasheet'!$A:$G,6,0),"")</f>
        <v/>
      </c>
      <c r="Q565" s="47" t="str">
        <f>IFERROR(VLOOKUP(D565,'[1]Product Datasheet'!$A:$G,7,0), "")</f>
        <v/>
      </c>
      <c r="R565" s="48"/>
      <c r="S565" s="49" t="str">
        <f t="shared" si="23"/>
        <v>Accept</v>
      </c>
      <c r="T565" s="50"/>
      <c r="U565" s="51"/>
    </row>
    <row r="566" spans="1:21" ht="24.75" customHeight="1" x14ac:dyDescent="0.3">
      <c r="A566" s="38" t="str">
        <f>IFERROR(VLOOKUP(D566,'[1]Product Datasheet'!$A:$G,2,0),"")</f>
        <v/>
      </c>
      <c r="B566" s="39" t="str">
        <f>IFERROR(VLOOKUP(D566,'[1]Product Datasheet'!$A:$G,3,0),"")</f>
        <v/>
      </c>
      <c r="C566" s="40"/>
      <c r="D566" s="41"/>
      <c r="E566" s="41"/>
      <c r="F566" s="41"/>
      <c r="G566" s="42"/>
      <c r="H566" s="43"/>
      <c r="I566" s="42"/>
      <c r="J566" s="44"/>
      <c r="K566" s="44"/>
      <c r="L566" s="44"/>
      <c r="M566" s="45" t="str">
        <f t="shared" si="22"/>
        <v>Pass</v>
      </c>
      <c r="N566" s="46" t="str">
        <f>IFERROR(VLOOKUP(D566,'[1]Product Datasheet'!$A:$G,4,0),"")</f>
        <v/>
      </c>
      <c r="O566" s="47" t="str">
        <f>IFERROR(VLOOKUP(D566,'[1]Product Datasheet'!$A:$G,5,0),"")</f>
        <v/>
      </c>
      <c r="P566" s="47" t="str">
        <f>IFERROR(VLOOKUP(D566,'[1]Product Datasheet'!$A:$G,6,0),"")</f>
        <v/>
      </c>
      <c r="Q566" s="47" t="str">
        <f>IFERROR(VLOOKUP(D566,'[1]Product Datasheet'!$A:$G,7,0), "")</f>
        <v/>
      </c>
      <c r="R566" s="48"/>
      <c r="S566" s="49" t="str">
        <f t="shared" si="23"/>
        <v>Accept</v>
      </c>
      <c r="T566" s="50"/>
      <c r="U566" s="51"/>
    </row>
    <row r="567" spans="1:21" ht="24.75" customHeight="1" x14ac:dyDescent="0.3">
      <c r="A567" s="38" t="str">
        <f>IFERROR(VLOOKUP(D567,'[1]Product Datasheet'!$A:$G,2,0),"")</f>
        <v/>
      </c>
      <c r="B567" s="39" t="str">
        <f>IFERROR(VLOOKUP(D567,'[1]Product Datasheet'!$A:$G,3,0),"")</f>
        <v/>
      </c>
      <c r="C567" s="40"/>
      <c r="D567" s="41"/>
      <c r="E567" s="41"/>
      <c r="F567" s="41"/>
      <c r="G567" s="42"/>
      <c r="H567" s="43"/>
      <c r="I567" s="42"/>
      <c r="J567" s="44"/>
      <c r="K567" s="44"/>
      <c r="L567" s="44"/>
      <c r="M567" s="45" t="str">
        <f t="shared" si="22"/>
        <v>Pass</v>
      </c>
      <c r="N567" s="46" t="str">
        <f>IFERROR(VLOOKUP(D567,'[1]Product Datasheet'!$A:$G,4,0),"")</f>
        <v/>
      </c>
      <c r="O567" s="47" t="str">
        <f>IFERROR(VLOOKUP(D567,'[1]Product Datasheet'!$A:$G,5,0),"")</f>
        <v/>
      </c>
      <c r="P567" s="47" t="str">
        <f>IFERROR(VLOOKUP(D567,'[1]Product Datasheet'!$A:$G,6,0),"")</f>
        <v/>
      </c>
      <c r="Q567" s="47" t="str">
        <f>IFERROR(VLOOKUP(D567,'[1]Product Datasheet'!$A:$G,7,0), "")</f>
        <v/>
      </c>
      <c r="R567" s="48"/>
      <c r="S567" s="49" t="str">
        <f t="shared" si="23"/>
        <v>Accept</v>
      </c>
      <c r="T567" s="50"/>
      <c r="U567" s="51"/>
    </row>
    <row r="568" spans="1:21" ht="24.75" customHeight="1" x14ac:dyDescent="0.3">
      <c r="A568" s="38" t="str">
        <f>IFERROR(VLOOKUP(D568,'[1]Product Datasheet'!$A:$G,2,0),"")</f>
        <v/>
      </c>
      <c r="B568" s="39" t="str">
        <f>IFERROR(VLOOKUP(D568,'[1]Product Datasheet'!$A:$G,3,0),"")</f>
        <v/>
      </c>
      <c r="C568" s="40"/>
      <c r="D568" s="41"/>
      <c r="E568" s="41"/>
      <c r="F568" s="41"/>
      <c r="G568" s="42"/>
      <c r="H568" s="43"/>
      <c r="I568" s="42"/>
      <c r="J568" s="44"/>
      <c r="K568" s="44"/>
      <c r="L568" s="44"/>
      <c r="M568" s="45" t="str">
        <f t="shared" si="22"/>
        <v>Pass</v>
      </c>
      <c r="N568" s="46" t="str">
        <f>IFERROR(VLOOKUP(D568,'[1]Product Datasheet'!$A:$G,4,0),"")</f>
        <v/>
      </c>
      <c r="O568" s="47" t="str">
        <f>IFERROR(VLOOKUP(D568,'[1]Product Datasheet'!$A:$G,5,0),"")</f>
        <v/>
      </c>
      <c r="P568" s="47" t="str">
        <f>IFERROR(VLOOKUP(D568,'[1]Product Datasheet'!$A:$G,6,0),"")</f>
        <v/>
      </c>
      <c r="Q568" s="47" t="str">
        <f>IFERROR(VLOOKUP(D568,'[1]Product Datasheet'!$A:$G,7,0), "")</f>
        <v/>
      </c>
      <c r="R568" s="48"/>
      <c r="S568" s="49" t="str">
        <f t="shared" si="23"/>
        <v>Accept</v>
      </c>
      <c r="T568" s="50"/>
      <c r="U568" s="51"/>
    </row>
    <row r="569" spans="1:21" ht="24.75" customHeight="1" x14ac:dyDescent="0.3">
      <c r="A569" s="38" t="str">
        <f>IFERROR(VLOOKUP(D569,'[1]Product Datasheet'!$A:$G,2,0),"")</f>
        <v/>
      </c>
      <c r="B569" s="39" t="str">
        <f>IFERROR(VLOOKUP(D569,'[1]Product Datasheet'!$A:$G,3,0),"")</f>
        <v/>
      </c>
      <c r="C569" s="40"/>
      <c r="D569" s="41"/>
      <c r="E569" s="41"/>
      <c r="F569" s="41"/>
      <c r="G569" s="42"/>
      <c r="H569" s="43"/>
      <c r="I569" s="42"/>
      <c r="J569" s="44"/>
      <c r="K569" s="44"/>
      <c r="L569" s="44"/>
      <c r="M569" s="45" t="str">
        <f t="shared" si="22"/>
        <v>Pass</v>
      </c>
      <c r="N569" s="46" t="str">
        <f>IFERROR(VLOOKUP(D569,'[1]Product Datasheet'!$A:$G,4,0),"")</f>
        <v/>
      </c>
      <c r="O569" s="47" t="str">
        <f>IFERROR(VLOOKUP(D569,'[1]Product Datasheet'!$A:$G,5,0),"")</f>
        <v/>
      </c>
      <c r="P569" s="47" t="str">
        <f>IFERROR(VLOOKUP(D569,'[1]Product Datasheet'!$A:$G,6,0),"")</f>
        <v/>
      </c>
      <c r="Q569" s="47" t="str">
        <f>IFERROR(VLOOKUP(D569,'[1]Product Datasheet'!$A:$G,7,0), "")</f>
        <v/>
      </c>
      <c r="R569" s="48"/>
      <c r="S569" s="49" t="str">
        <f t="shared" si="23"/>
        <v>Accept</v>
      </c>
      <c r="T569" s="50"/>
      <c r="U569" s="51"/>
    </row>
    <row r="570" spans="1:21" ht="24.75" customHeight="1" x14ac:dyDescent="0.3">
      <c r="A570" s="38" t="str">
        <f>IFERROR(VLOOKUP(D570,'[1]Product Datasheet'!$A:$G,2,0),"")</f>
        <v/>
      </c>
      <c r="B570" s="39" t="str">
        <f>IFERROR(VLOOKUP(D570,'[1]Product Datasheet'!$A:$G,3,0),"")</f>
        <v/>
      </c>
      <c r="C570" s="40"/>
      <c r="D570" s="41"/>
      <c r="E570" s="41"/>
      <c r="F570" s="41"/>
      <c r="G570" s="42"/>
      <c r="H570" s="43"/>
      <c r="I570" s="42"/>
      <c r="J570" s="44"/>
      <c r="K570" s="44"/>
      <c r="L570" s="44"/>
      <c r="M570" s="45" t="str">
        <f t="shared" si="22"/>
        <v>Pass</v>
      </c>
      <c r="N570" s="46" t="str">
        <f>IFERROR(VLOOKUP(D570,'[1]Product Datasheet'!$A:$G,4,0),"")</f>
        <v/>
      </c>
      <c r="O570" s="47" t="str">
        <f>IFERROR(VLOOKUP(D570,'[1]Product Datasheet'!$A:$G,5,0),"")</f>
        <v/>
      </c>
      <c r="P570" s="47" t="str">
        <f>IFERROR(VLOOKUP(D570,'[1]Product Datasheet'!$A:$G,6,0),"")</f>
        <v/>
      </c>
      <c r="Q570" s="47" t="str">
        <f>IFERROR(VLOOKUP(D570,'[1]Product Datasheet'!$A:$G,7,0), "")</f>
        <v/>
      </c>
      <c r="R570" s="48"/>
      <c r="S570" s="49" t="str">
        <f t="shared" si="23"/>
        <v>Accept</v>
      </c>
      <c r="T570" s="50"/>
      <c r="U570" s="51"/>
    </row>
    <row r="571" spans="1:21" ht="24.75" customHeight="1" x14ac:dyDescent="0.3">
      <c r="A571" s="38" t="str">
        <f>IFERROR(VLOOKUP(D571,'[1]Product Datasheet'!$A:$G,2,0),"")</f>
        <v/>
      </c>
      <c r="B571" s="39" t="str">
        <f>IFERROR(VLOOKUP(D571,'[1]Product Datasheet'!$A:$G,3,0),"")</f>
        <v/>
      </c>
      <c r="C571" s="40"/>
      <c r="D571" s="41"/>
      <c r="E571" s="41"/>
      <c r="F571" s="41"/>
      <c r="G571" s="42"/>
      <c r="H571" s="43"/>
      <c r="I571" s="42"/>
      <c r="J571" s="44"/>
      <c r="K571" s="44"/>
      <c r="L571" s="44"/>
      <c r="M571" s="45" t="str">
        <f t="shared" si="22"/>
        <v>Pass</v>
      </c>
      <c r="N571" s="46" t="str">
        <f>IFERROR(VLOOKUP(D571,'[1]Product Datasheet'!$A:$G,4,0),"")</f>
        <v/>
      </c>
      <c r="O571" s="47" t="str">
        <f>IFERROR(VLOOKUP(D571,'[1]Product Datasheet'!$A:$G,5,0),"")</f>
        <v/>
      </c>
      <c r="P571" s="47" t="str">
        <f>IFERROR(VLOOKUP(D571,'[1]Product Datasheet'!$A:$G,6,0),"")</f>
        <v/>
      </c>
      <c r="Q571" s="47" t="str">
        <f>IFERROR(VLOOKUP(D571,'[1]Product Datasheet'!$A:$G,7,0), "")</f>
        <v/>
      </c>
      <c r="R571" s="48"/>
      <c r="S571" s="49" t="str">
        <f t="shared" si="23"/>
        <v>Accept</v>
      </c>
      <c r="T571" s="50"/>
      <c r="U571" s="51"/>
    </row>
    <row r="572" spans="1:21" ht="24.75" customHeight="1" x14ac:dyDescent="0.3">
      <c r="A572" s="38" t="str">
        <f>IFERROR(VLOOKUP(D572,'[1]Product Datasheet'!$A:$G,2,0),"")</f>
        <v/>
      </c>
      <c r="B572" s="39" t="str">
        <f>IFERROR(VLOOKUP(D572,'[1]Product Datasheet'!$A:$G,3,0),"")</f>
        <v/>
      </c>
      <c r="C572" s="40"/>
      <c r="D572" s="41"/>
      <c r="E572" s="41"/>
      <c r="F572" s="41"/>
      <c r="G572" s="42"/>
      <c r="H572" s="43"/>
      <c r="I572" s="42"/>
      <c r="J572" s="44"/>
      <c r="K572" s="44"/>
      <c r="L572" s="44"/>
      <c r="M572" s="45" t="str">
        <f t="shared" si="22"/>
        <v>Pass</v>
      </c>
      <c r="N572" s="46" t="str">
        <f>IFERROR(VLOOKUP(D572,'[1]Product Datasheet'!$A:$G,4,0),"")</f>
        <v/>
      </c>
      <c r="O572" s="47" t="str">
        <f>IFERROR(VLOOKUP(D572,'[1]Product Datasheet'!$A:$G,5,0),"")</f>
        <v/>
      </c>
      <c r="P572" s="47" t="str">
        <f>IFERROR(VLOOKUP(D572,'[1]Product Datasheet'!$A:$G,6,0),"")</f>
        <v/>
      </c>
      <c r="Q572" s="47" t="str">
        <f>IFERROR(VLOOKUP(D572,'[1]Product Datasheet'!$A:$G,7,0), "")</f>
        <v/>
      </c>
      <c r="R572" s="48"/>
      <c r="S572" s="49" t="str">
        <f t="shared" si="23"/>
        <v>Accept</v>
      </c>
      <c r="T572" s="50"/>
      <c r="U572" s="51"/>
    </row>
    <row r="573" spans="1:21" ht="24.75" customHeight="1" x14ac:dyDescent="0.3">
      <c r="A573" s="38" t="str">
        <f>IFERROR(VLOOKUP(D573,'[1]Product Datasheet'!$A:$G,2,0),"")</f>
        <v/>
      </c>
      <c r="B573" s="39" t="str">
        <f>IFERROR(VLOOKUP(D573,'[1]Product Datasheet'!$A:$G,3,0),"")</f>
        <v/>
      </c>
      <c r="C573" s="40"/>
      <c r="D573" s="41"/>
      <c r="E573" s="41"/>
      <c r="F573" s="41"/>
      <c r="G573" s="42"/>
      <c r="H573" s="43"/>
      <c r="I573" s="42"/>
      <c r="J573" s="44"/>
      <c r="K573" s="44"/>
      <c r="L573" s="44"/>
      <c r="M573" s="45" t="str">
        <f t="shared" si="22"/>
        <v>Pass</v>
      </c>
      <c r="N573" s="46" t="str">
        <f>IFERROR(VLOOKUP(D573,'[1]Product Datasheet'!$A:$G,4,0),"")</f>
        <v/>
      </c>
      <c r="O573" s="47" t="str">
        <f>IFERROR(VLOOKUP(D573,'[1]Product Datasheet'!$A:$G,5,0),"")</f>
        <v/>
      </c>
      <c r="P573" s="47" t="str">
        <f>IFERROR(VLOOKUP(D573,'[1]Product Datasheet'!$A:$G,6,0),"")</f>
        <v/>
      </c>
      <c r="Q573" s="47" t="str">
        <f>IFERROR(VLOOKUP(D573,'[1]Product Datasheet'!$A:$G,7,0), "")</f>
        <v/>
      </c>
      <c r="R573" s="48"/>
      <c r="S573" s="49" t="str">
        <f t="shared" si="23"/>
        <v>Accept</v>
      </c>
      <c r="T573" s="50"/>
      <c r="U573" s="51"/>
    </row>
    <row r="574" spans="1:21" ht="24.75" customHeight="1" x14ac:dyDescent="0.3">
      <c r="A574" s="38" t="str">
        <f>IFERROR(VLOOKUP(D574,'[1]Product Datasheet'!$A:$G,2,0),"")</f>
        <v/>
      </c>
      <c r="B574" s="39" t="str">
        <f>IFERROR(VLOOKUP(D574,'[1]Product Datasheet'!$A:$G,3,0),"")</f>
        <v/>
      </c>
      <c r="C574" s="40"/>
      <c r="D574" s="41"/>
      <c r="E574" s="41"/>
      <c r="F574" s="41"/>
      <c r="G574" s="42"/>
      <c r="H574" s="43"/>
      <c r="I574" s="42"/>
      <c r="J574" s="44"/>
      <c r="K574" s="44"/>
      <c r="L574" s="44"/>
      <c r="M574" s="45" t="str">
        <f t="shared" si="22"/>
        <v>Pass</v>
      </c>
      <c r="N574" s="46" t="str">
        <f>IFERROR(VLOOKUP(D574,'[1]Product Datasheet'!$A:$G,4,0),"")</f>
        <v/>
      </c>
      <c r="O574" s="47" t="str">
        <f>IFERROR(VLOOKUP(D574,'[1]Product Datasheet'!$A:$G,5,0),"")</f>
        <v/>
      </c>
      <c r="P574" s="47" t="str">
        <f>IFERROR(VLOOKUP(D574,'[1]Product Datasheet'!$A:$G,6,0),"")</f>
        <v/>
      </c>
      <c r="Q574" s="47" t="str">
        <f>IFERROR(VLOOKUP(D574,'[1]Product Datasheet'!$A:$G,7,0), "")</f>
        <v/>
      </c>
      <c r="R574" s="48"/>
      <c r="S574" s="49" t="str">
        <f t="shared" si="23"/>
        <v>Accept</v>
      </c>
      <c r="T574" s="50"/>
      <c r="U574" s="51"/>
    </row>
    <row r="575" spans="1:21" ht="24.75" customHeight="1" x14ac:dyDescent="0.3">
      <c r="A575" s="38" t="str">
        <f>IFERROR(VLOOKUP(D575,'[1]Product Datasheet'!$A:$G,2,0),"")</f>
        <v/>
      </c>
      <c r="B575" s="39" t="str">
        <f>IFERROR(VLOOKUP(D575,'[1]Product Datasheet'!$A:$G,3,0),"")</f>
        <v/>
      </c>
      <c r="C575" s="40"/>
      <c r="D575" s="41"/>
      <c r="E575" s="41"/>
      <c r="F575" s="41"/>
      <c r="G575" s="42"/>
      <c r="H575" s="43"/>
      <c r="I575" s="42"/>
      <c r="J575" s="44"/>
      <c r="K575" s="44"/>
      <c r="L575" s="44"/>
      <c r="M575" s="45" t="str">
        <f t="shared" si="22"/>
        <v>Pass</v>
      </c>
      <c r="N575" s="46" t="str">
        <f>IFERROR(VLOOKUP(D575,'[1]Product Datasheet'!$A:$G,4,0),"")</f>
        <v/>
      </c>
      <c r="O575" s="47" t="str">
        <f>IFERROR(VLOOKUP(D575,'[1]Product Datasheet'!$A:$G,5,0),"")</f>
        <v/>
      </c>
      <c r="P575" s="47" t="str">
        <f>IFERROR(VLOOKUP(D575,'[1]Product Datasheet'!$A:$G,6,0),"")</f>
        <v/>
      </c>
      <c r="Q575" s="47" t="str">
        <f>IFERROR(VLOOKUP(D575,'[1]Product Datasheet'!$A:$G,7,0), "")</f>
        <v/>
      </c>
      <c r="R575" s="48"/>
      <c r="S575" s="49" t="str">
        <f t="shared" si="23"/>
        <v>Accept</v>
      </c>
      <c r="T575" s="50"/>
      <c r="U575" s="51"/>
    </row>
    <row r="576" spans="1:21" ht="24.75" customHeight="1" x14ac:dyDescent="0.3">
      <c r="A576" s="38" t="str">
        <f>IFERROR(VLOOKUP(D576,'[1]Product Datasheet'!$A:$G,2,0),"")</f>
        <v/>
      </c>
      <c r="B576" s="39" t="str">
        <f>IFERROR(VLOOKUP(D576,'[1]Product Datasheet'!$A:$G,3,0),"")</f>
        <v/>
      </c>
      <c r="C576" s="40"/>
      <c r="D576" s="41"/>
      <c r="E576" s="41"/>
      <c r="F576" s="41"/>
      <c r="G576" s="42"/>
      <c r="H576" s="43"/>
      <c r="I576" s="42"/>
      <c r="J576" s="44"/>
      <c r="K576" s="44"/>
      <c r="L576" s="44"/>
      <c r="M576" s="45" t="str">
        <f t="shared" si="22"/>
        <v>Pass</v>
      </c>
      <c r="N576" s="46" t="str">
        <f>IFERROR(VLOOKUP(D576,'[1]Product Datasheet'!$A:$G,4,0),"")</f>
        <v/>
      </c>
      <c r="O576" s="47" t="str">
        <f>IFERROR(VLOOKUP(D576,'[1]Product Datasheet'!$A:$G,5,0),"")</f>
        <v/>
      </c>
      <c r="P576" s="47" t="str">
        <f>IFERROR(VLOOKUP(D576,'[1]Product Datasheet'!$A:$G,6,0),"")</f>
        <v/>
      </c>
      <c r="Q576" s="47" t="str">
        <f>IFERROR(VLOOKUP(D576,'[1]Product Datasheet'!$A:$G,7,0), "")</f>
        <v/>
      </c>
      <c r="R576" s="48"/>
      <c r="S576" s="49" t="str">
        <f t="shared" si="23"/>
        <v>Accept</v>
      </c>
      <c r="T576" s="50"/>
      <c r="U576" s="51"/>
    </row>
    <row r="577" spans="1:21" ht="24.75" customHeight="1" x14ac:dyDescent="0.3">
      <c r="A577" s="38" t="str">
        <f>IFERROR(VLOOKUP(D577,'[1]Product Datasheet'!$A:$G,2,0),"")</f>
        <v/>
      </c>
      <c r="B577" s="39" t="str">
        <f>IFERROR(VLOOKUP(D577,'[1]Product Datasheet'!$A:$G,3,0),"")</f>
        <v/>
      </c>
      <c r="C577" s="40"/>
      <c r="D577" s="41"/>
      <c r="E577" s="41"/>
      <c r="F577" s="41"/>
      <c r="G577" s="42"/>
      <c r="H577" s="43"/>
      <c r="I577" s="42"/>
      <c r="J577" s="44"/>
      <c r="K577" s="44"/>
      <c r="L577" s="44"/>
      <c r="M577" s="45" t="str">
        <f t="shared" si="22"/>
        <v>Pass</v>
      </c>
      <c r="N577" s="46" t="str">
        <f>IFERROR(VLOOKUP(D577,'[1]Product Datasheet'!$A:$G,4,0),"")</f>
        <v/>
      </c>
      <c r="O577" s="47" t="str">
        <f>IFERROR(VLOOKUP(D577,'[1]Product Datasheet'!$A:$G,5,0),"")</f>
        <v/>
      </c>
      <c r="P577" s="47" t="str">
        <f>IFERROR(VLOOKUP(D577,'[1]Product Datasheet'!$A:$G,6,0),"")</f>
        <v/>
      </c>
      <c r="Q577" s="47" t="str">
        <f>IFERROR(VLOOKUP(D577,'[1]Product Datasheet'!$A:$G,7,0), "")</f>
        <v/>
      </c>
      <c r="R577" s="48"/>
      <c r="S577" s="49" t="str">
        <f t="shared" si="23"/>
        <v>Accept</v>
      </c>
      <c r="T577" s="50"/>
      <c r="U577" s="51"/>
    </row>
    <row r="578" spans="1:21" ht="24.75" customHeight="1" x14ac:dyDescent="0.3">
      <c r="A578" s="38" t="str">
        <f>IFERROR(VLOOKUP(D578,'[1]Product Datasheet'!$A:$G,2,0),"")</f>
        <v/>
      </c>
      <c r="B578" s="39" t="str">
        <f>IFERROR(VLOOKUP(D578,'[1]Product Datasheet'!$A:$G,3,0),"")</f>
        <v/>
      </c>
      <c r="C578" s="40"/>
      <c r="D578" s="41"/>
      <c r="E578" s="41"/>
      <c r="F578" s="41"/>
      <c r="G578" s="42"/>
      <c r="H578" s="43"/>
      <c r="I578" s="42"/>
      <c r="J578" s="44"/>
      <c r="K578" s="44"/>
      <c r="L578" s="44"/>
      <c r="M578" s="45" t="str">
        <f t="shared" si="22"/>
        <v>Pass</v>
      </c>
      <c r="N578" s="46" t="str">
        <f>IFERROR(VLOOKUP(D578,'[1]Product Datasheet'!$A:$G,4,0),"")</f>
        <v/>
      </c>
      <c r="O578" s="47" t="str">
        <f>IFERROR(VLOOKUP(D578,'[1]Product Datasheet'!$A:$G,5,0),"")</f>
        <v/>
      </c>
      <c r="P578" s="47" t="str">
        <f>IFERROR(VLOOKUP(D578,'[1]Product Datasheet'!$A:$G,6,0),"")</f>
        <v/>
      </c>
      <c r="Q578" s="47" t="str">
        <f>IFERROR(VLOOKUP(D578,'[1]Product Datasheet'!$A:$G,7,0), "")</f>
        <v/>
      </c>
      <c r="R578" s="48"/>
      <c r="S578" s="49" t="str">
        <f t="shared" si="23"/>
        <v>Accept</v>
      </c>
      <c r="T578" s="50"/>
      <c r="U578" s="51"/>
    </row>
    <row r="579" spans="1:21" ht="24.75" customHeight="1" x14ac:dyDescent="0.3">
      <c r="A579" s="38" t="str">
        <f>IFERROR(VLOOKUP(D579,'[1]Product Datasheet'!$A:$G,2,0),"")</f>
        <v/>
      </c>
      <c r="B579" s="39" t="str">
        <f>IFERROR(VLOOKUP(D579,'[1]Product Datasheet'!$A:$G,3,0),"")</f>
        <v/>
      </c>
      <c r="C579" s="40"/>
      <c r="D579" s="41"/>
      <c r="E579" s="41"/>
      <c r="F579" s="41"/>
      <c r="G579" s="42"/>
      <c r="H579" s="43"/>
      <c r="I579" s="42"/>
      <c r="J579" s="44"/>
      <c r="K579" s="44"/>
      <c r="L579" s="44"/>
      <c r="M579" s="45" t="str">
        <f t="shared" si="22"/>
        <v>Pass</v>
      </c>
      <c r="N579" s="46" t="str">
        <f>IFERROR(VLOOKUP(D579,'[1]Product Datasheet'!$A:$G,4,0),"")</f>
        <v/>
      </c>
      <c r="O579" s="47" t="str">
        <f>IFERROR(VLOOKUP(D579,'[1]Product Datasheet'!$A:$G,5,0),"")</f>
        <v/>
      </c>
      <c r="P579" s="47" t="str">
        <f>IFERROR(VLOOKUP(D579,'[1]Product Datasheet'!$A:$G,6,0),"")</f>
        <v/>
      </c>
      <c r="Q579" s="47" t="str">
        <f>IFERROR(VLOOKUP(D579,'[1]Product Datasheet'!$A:$G,7,0), "")</f>
        <v/>
      </c>
      <c r="R579" s="48"/>
      <c r="S579" s="49" t="str">
        <f t="shared" si="23"/>
        <v>Accept</v>
      </c>
      <c r="T579" s="50"/>
      <c r="U579" s="51"/>
    </row>
    <row r="580" spans="1:21" ht="24.75" customHeight="1" x14ac:dyDescent="0.3">
      <c r="A580" s="38" t="str">
        <f>IFERROR(VLOOKUP(D580,'[1]Product Datasheet'!$A:$G,2,0),"")</f>
        <v/>
      </c>
      <c r="B580" s="39" t="str">
        <f>IFERROR(VLOOKUP(D580,'[1]Product Datasheet'!$A:$G,3,0),"")</f>
        <v/>
      </c>
      <c r="C580" s="40"/>
      <c r="D580" s="41"/>
      <c r="E580" s="41"/>
      <c r="F580" s="41"/>
      <c r="G580" s="42"/>
      <c r="H580" s="43"/>
      <c r="I580" s="42"/>
      <c r="J580" s="44"/>
      <c r="K580" s="44"/>
      <c r="L580" s="44"/>
      <c r="M580" s="45" t="str">
        <f t="shared" si="22"/>
        <v>Pass</v>
      </c>
      <c r="N580" s="46" t="str">
        <f>IFERROR(VLOOKUP(D580,'[1]Product Datasheet'!$A:$G,4,0),"")</f>
        <v/>
      </c>
      <c r="O580" s="47" t="str">
        <f>IFERROR(VLOOKUP(D580,'[1]Product Datasheet'!$A:$G,5,0),"")</f>
        <v/>
      </c>
      <c r="P580" s="47" t="str">
        <f>IFERROR(VLOOKUP(D580,'[1]Product Datasheet'!$A:$G,6,0),"")</f>
        <v/>
      </c>
      <c r="Q580" s="47" t="str">
        <f>IFERROR(VLOOKUP(D580,'[1]Product Datasheet'!$A:$G,7,0), "")</f>
        <v/>
      </c>
      <c r="R580" s="48"/>
      <c r="S580" s="49" t="str">
        <f t="shared" si="23"/>
        <v>Accept</v>
      </c>
      <c r="T580" s="50"/>
      <c r="U580" s="51"/>
    </row>
    <row r="581" spans="1:21" ht="24.75" customHeight="1" x14ac:dyDescent="0.3">
      <c r="A581" s="38" t="str">
        <f>IFERROR(VLOOKUP(D581,'[1]Product Datasheet'!$A:$G,2,0),"")</f>
        <v/>
      </c>
      <c r="B581" s="39" t="str">
        <f>IFERROR(VLOOKUP(D581,'[1]Product Datasheet'!$A:$G,3,0),"")</f>
        <v/>
      </c>
      <c r="C581" s="40"/>
      <c r="D581" s="41"/>
      <c r="E581" s="41"/>
      <c r="F581" s="41"/>
      <c r="G581" s="42"/>
      <c r="H581" s="43"/>
      <c r="I581" s="42"/>
      <c r="J581" s="44"/>
      <c r="K581" s="44"/>
      <c r="L581" s="44"/>
      <c r="M581" s="45" t="str">
        <f t="shared" si="22"/>
        <v>Pass</v>
      </c>
      <c r="N581" s="46" t="str">
        <f>IFERROR(VLOOKUP(D581,'[1]Product Datasheet'!$A:$G,4,0),"")</f>
        <v/>
      </c>
      <c r="O581" s="47" t="str">
        <f>IFERROR(VLOOKUP(D581,'[1]Product Datasheet'!$A:$G,5,0),"")</f>
        <v/>
      </c>
      <c r="P581" s="47" t="str">
        <f>IFERROR(VLOOKUP(D581,'[1]Product Datasheet'!$A:$G,6,0),"")</f>
        <v/>
      </c>
      <c r="Q581" s="47" t="str">
        <f>IFERROR(VLOOKUP(D581,'[1]Product Datasheet'!$A:$G,7,0), "")</f>
        <v/>
      </c>
      <c r="R581" s="48"/>
      <c r="S581" s="49" t="str">
        <f t="shared" si="23"/>
        <v>Accept</v>
      </c>
      <c r="T581" s="50"/>
      <c r="U581" s="51"/>
    </row>
    <row r="582" spans="1:21" ht="24.75" customHeight="1" x14ac:dyDescent="0.3">
      <c r="A582" s="38" t="str">
        <f>IFERROR(VLOOKUP(D582,'[1]Product Datasheet'!$A:$G,2,0),"")</f>
        <v/>
      </c>
      <c r="B582" s="39" t="str">
        <f>IFERROR(VLOOKUP(D582,'[1]Product Datasheet'!$A:$G,3,0),"")</f>
        <v/>
      </c>
      <c r="C582" s="40"/>
      <c r="D582" s="41"/>
      <c r="E582" s="41"/>
      <c r="F582" s="41"/>
      <c r="G582" s="42"/>
      <c r="H582" s="43"/>
      <c r="I582" s="42"/>
      <c r="J582" s="44"/>
      <c r="K582" s="44"/>
      <c r="L582" s="44"/>
      <c r="M582" s="45" t="str">
        <f t="shared" si="22"/>
        <v>Pass</v>
      </c>
      <c r="N582" s="46" t="str">
        <f>IFERROR(VLOOKUP(D582,'[1]Product Datasheet'!$A:$G,4,0),"")</f>
        <v/>
      </c>
      <c r="O582" s="47" t="str">
        <f>IFERROR(VLOOKUP(D582,'[1]Product Datasheet'!$A:$G,5,0),"")</f>
        <v/>
      </c>
      <c r="P582" s="47" t="str">
        <f>IFERROR(VLOOKUP(D582,'[1]Product Datasheet'!$A:$G,6,0),"")</f>
        <v/>
      </c>
      <c r="Q582" s="47" t="str">
        <f>IFERROR(VLOOKUP(D582,'[1]Product Datasheet'!$A:$G,7,0), "")</f>
        <v/>
      </c>
      <c r="R582" s="48"/>
      <c r="S582" s="49" t="str">
        <f t="shared" si="23"/>
        <v>Accept</v>
      </c>
      <c r="T582" s="50"/>
      <c r="U582" s="51"/>
    </row>
    <row r="583" spans="1:21" ht="24.75" customHeight="1" x14ac:dyDescent="0.3">
      <c r="A583" s="38" t="str">
        <f>IFERROR(VLOOKUP(D583,'[1]Product Datasheet'!$A:$G,2,0),"")</f>
        <v/>
      </c>
      <c r="B583" s="39" t="str">
        <f>IFERROR(VLOOKUP(D583,'[1]Product Datasheet'!$A:$G,3,0),"")</f>
        <v/>
      </c>
      <c r="C583" s="40"/>
      <c r="D583" s="41"/>
      <c r="E583" s="41"/>
      <c r="F583" s="41"/>
      <c r="G583" s="42"/>
      <c r="H583" s="43"/>
      <c r="I583" s="42"/>
      <c r="J583" s="44"/>
      <c r="K583" s="44"/>
      <c r="L583" s="44"/>
      <c r="M583" s="45" t="str">
        <f t="shared" si="22"/>
        <v>Pass</v>
      </c>
      <c r="N583" s="46" t="str">
        <f>IFERROR(VLOOKUP(D583,'[1]Product Datasheet'!$A:$G,4,0),"")</f>
        <v/>
      </c>
      <c r="O583" s="47" t="str">
        <f>IFERROR(VLOOKUP(D583,'[1]Product Datasheet'!$A:$G,5,0),"")</f>
        <v/>
      </c>
      <c r="P583" s="47" t="str">
        <f>IFERROR(VLOOKUP(D583,'[1]Product Datasheet'!$A:$G,6,0),"")</f>
        <v/>
      </c>
      <c r="Q583" s="47" t="str">
        <f>IFERROR(VLOOKUP(D583,'[1]Product Datasheet'!$A:$G,7,0), "")</f>
        <v/>
      </c>
      <c r="R583" s="48"/>
      <c r="S583" s="49" t="str">
        <f t="shared" si="23"/>
        <v>Accept</v>
      </c>
      <c r="T583" s="50"/>
      <c r="U583" s="51"/>
    </row>
    <row r="584" spans="1:21" ht="24.75" customHeight="1" x14ac:dyDescent="0.3">
      <c r="A584" s="38" t="str">
        <f>IFERROR(VLOOKUP(D584,'[1]Product Datasheet'!$A:$G,2,0),"")</f>
        <v/>
      </c>
      <c r="B584" s="39" t="str">
        <f>IFERROR(VLOOKUP(D584,'[1]Product Datasheet'!$A:$G,3,0),"")</f>
        <v/>
      </c>
      <c r="C584" s="40"/>
      <c r="D584" s="41"/>
      <c r="E584" s="41"/>
      <c r="F584" s="41"/>
      <c r="G584" s="42"/>
      <c r="H584" s="43"/>
      <c r="I584" s="42"/>
      <c r="J584" s="44"/>
      <c r="K584" s="44"/>
      <c r="L584" s="44"/>
      <c r="M584" s="45" t="str">
        <f t="shared" si="22"/>
        <v>Pass</v>
      </c>
      <c r="N584" s="46" t="str">
        <f>IFERROR(VLOOKUP(D584,'[1]Product Datasheet'!$A:$G,4,0),"")</f>
        <v/>
      </c>
      <c r="O584" s="47" t="str">
        <f>IFERROR(VLOOKUP(D584,'[1]Product Datasheet'!$A:$G,5,0),"")</f>
        <v/>
      </c>
      <c r="P584" s="47" t="str">
        <f>IFERROR(VLOOKUP(D584,'[1]Product Datasheet'!$A:$G,6,0),"")</f>
        <v/>
      </c>
      <c r="Q584" s="47" t="str">
        <f>IFERROR(VLOOKUP(D584,'[1]Product Datasheet'!$A:$G,7,0), "")</f>
        <v/>
      </c>
      <c r="R584" s="48"/>
      <c r="S584" s="49" t="str">
        <f t="shared" si="23"/>
        <v>Accept</v>
      </c>
      <c r="T584" s="50"/>
      <c r="U584" s="51"/>
    </row>
    <row r="585" spans="1:21" ht="24.75" customHeight="1" x14ac:dyDescent="0.3">
      <c r="A585" s="38" t="str">
        <f>IFERROR(VLOOKUP(D585,'[1]Product Datasheet'!$A:$G,2,0),"")</f>
        <v/>
      </c>
      <c r="B585" s="39" t="str">
        <f>IFERROR(VLOOKUP(D585,'[1]Product Datasheet'!$A:$G,3,0),"")</f>
        <v/>
      </c>
      <c r="C585" s="40"/>
      <c r="D585" s="41"/>
      <c r="E585" s="41"/>
      <c r="F585" s="41"/>
      <c r="G585" s="42"/>
      <c r="H585" s="43"/>
      <c r="I585" s="42"/>
      <c r="J585" s="44"/>
      <c r="K585" s="44"/>
      <c r="L585" s="44"/>
      <c r="M585" s="45" t="str">
        <f t="shared" ref="M585:M648" si="24">IF(AND(G585&lt;=O585,G585&gt;=N585,H585&lt;=Q585,H585&gt;=P585),"Pass","Fail")</f>
        <v>Pass</v>
      </c>
      <c r="N585" s="46" t="str">
        <f>IFERROR(VLOOKUP(D585,'[1]Product Datasheet'!$A:$G,4,0),"")</f>
        <v/>
      </c>
      <c r="O585" s="47" t="str">
        <f>IFERROR(VLOOKUP(D585,'[1]Product Datasheet'!$A:$G,5,0),"")</f>
        <v/>
      </c>
      <c r="P585" s="47" t="str">
        <f>IFERROR(VLOOKUP(D585,'[1]Product Datasheet'!$A:$G,6,0),"")</f>
        <v/>
      </c>
      <c r="Q585" s="47" t="str">
        <f>IFERROR(VLOOKUP(D585,'[1]Product Datasheet'!$A:$G,7,0), "")</f>
        <v/>
      </c>
      <c r="R585" s="48"/>
      <c r="S585" s="49" t="str">
        <f t="shared" ref="S585:S648" si="25">IFERROR(IF(AND(ROUND(H585, 2)&lt;=Q585, ROUND(G585,1)&lt;=O585), "Accept", "Reject"),"Reject")</f>
        <v>Accept</v>
      </c>
      <c r="T585" s="50"/>
      <c r="U585" s="51"/>
    </row>
    <row r="586" spans="1:21" ht="24.75" customHeight="1" x14ac:dyDescent="0.3">
      <c r="A586" s="38" t="str">
        <f>IFERROR(VLOOKUP(D586,'[1]Product Datasheet'!$A:$G,2,0),"")</f>
        <v/>
      </c>
      <c r="B586" s="39" t="str">
        <f>IFERROR(VLOOKUP(D586,'[1]Product Datasheet'!$A:$G,3,0),"")</f>
        <v/>
      </c>
      <c r="C586" s="40"/>
      <c r="D586" s="41"/>
      <c r="E586" s="41"/>
      <c r="F586" s="41"/>
      <c r="G586" s="42"/>
      <c r="H586" s="43"/>
      <c r="I586" s="42"/>
      <c r="J586" s="44"/>
      <c r="K586" s="44"/>
      <c r="L586" s="44"/>
      <c r="M586" s="45" t="str">
        <f t="shared" si="24"/>
        <v>Pass</v>
      </c>
      <c r="N586" s="46" t="str">
        <f>IFERROR(VLOOKUP(D586,'[1]Product Datasheet'!$A:$G,4,0),"")</f>
        <v/>
      </c>
      <c r="O586" s="47" t="str">
        <f>IFERROR(VLOOKUP(D586,'[1]Product Datasheet'!$A:$G,5,0),"")</f>
        <v/>
      </c>
      <c r="P586" s="47" t="str">
        <f>IFERROR(VLOOKUP(D586,'[1]Product Datasheet'!$A:$G,6,0),"")</f>
        <v/>
      </c>
      <c r="Q586" s="47" t="str">
        <f>IFERROR(VLOOKUP(D586,'[1]Product Datasheet'!$A:$G,7,0), "")</f>
        <v/>
      </c>
      <c r="R586" s="48"/>
      <c r="S586" s="49" t="str">
        <f t="shared" si="25"/>
        <v>Accept</v>
      </c>
      <c r="T586" s="50"/>
      <c r="U586" s="51"/>
    </row>
    <row r="587" spans="1:21" ht="24.75" customHeight="1" x14ac:dyDescent="0.3">
      <c r="A587" s="38" t="str">
        <f>IFERROR(VLOOKUP(D587,'[1]Product Datasheet'!$A:$G,2,0),"")</f>
        <v/>
      </c>
      <c r="B587" s="39" t="str">
        <f>IFERROR(VLOOKUP(D587,'[1]Product Datasheet'!$A:$G,3,0),"")</f>
        <v/>
      </c>
      <c r="C587" s="40"/>
      <c r="D587" s="41"/>
      <c r="E587" s="41"/>
      <c r="F587" s="41"/>
      <c r="G587" s="42"/>
      <c r="H587" s="43"/>
      <c r="I587" s="42"/>
      <c r="J587" s="44"/>
      <c r="K587" s="44"/>
      <c r="L587" s="44"/>
      <c r="M587" s="45" t="str">
        <f t="shared" si="24"/>
        <v>Pass</v>
      </c>
      <c r="N587" s="46" t="str">
        <f>IFERROR(VLOOKUP(D587,'[1]Product Datasheet'!$A:$G,4,0),"")</f>
        <v/>
      </c>
      <c r="O587" s="47" t="str">
        <f>IFERROR(VLOOKUP(D587,'[1]Product Datasheet'!$A:$G,5,0),"")</f>
        <v/>
      </c>
      <c r="P587" s="47" t="str">
        <f>IFERROR(VLOOKUP(D587,'[1]Product Datasheet'!$A:$G,6,0),"")</f>
        <v/>
      </c>
      <c r="Q587" s="47" t="str">
        <f>IFERROR(VLOOKUP(D587,'[1]Product Datasheet'!$A:$G,7,0), "")</f>
        <v/>
      </c>
      <c r="R587" s="48"/>
      <c r="S587" s="49" t="str">
        <f t="shared" si="25"/>
        <v>Accept</v>
      </c>
      <c r="T587" s="50"/>
      <c r="U587" s="51"/>
    </row>
    <row r="588" spans="1:21" ht="24.75" customHeight="1" x14ac:dyDescent="0.3">
      <c r="A588" s="38" t="str">
        <f>IFERROR(VLOOKUP(D588,'[1]Product Datasheet'!$A:$G,2,0),"")</f>
        <v/>
      </c>
      <c r="B588" s="39" t="str">
        <f>IFERROR(VLOOKUP(D588,'[1]Product Datasheet'!$A:$G,3,0),"")</f>
        <v/>
      </c>
      <c r="C588" s="40"/>
      <c r="D588" s="41"/>
      <c r="E588" s="41"/>
      <c r="F588" s="41"/>
      <c r="G588" s="42"/>
      <c r="H588" s="43"/>
      <c r="I588" s="42"/>
      <c r="J588" s="44"/>
      <c r="K588" s="44"/>
      <c r="L588" s="44"/>
      <c r="M588" s="45" t="str">
        <f t="shared" si="24"/>
        <v>Pass</v>
      </c>
      <c r="N588" s="46" t="str">
        <f>IFERROR(VLOOKUP(D588,'[1]Product Datasheet'!$A:$G,4,0),"")</f>
        <v/>
      </c>
      <c r="O588" s="47" t="str">
        <f>IFERROR(VLOOKUP(D588,'[1]Product Datasheet'!$A:$G,5,0),"")</f>
        <v/>
      </c>
      <c r="P588" s="47" t="str">
        <f>IFERROR(VLOOKUP(D588,'[1]Product Datasheet'!$A:$G,6,0),"")</f>
        <v/>
      </c>
      <c r="Q588" s="47" t="str">
        <f>IFERROR(VLOOKUP(D588,'[1]Product Datasheet'!$A:$G,7,0), "")</f>
        <v/>
      </c>
      <c r="R588" s="48"/>
      <c r="S588" s="49" t="str">
        <f t="shared" si="25"/>
        <v>Accept</v>
      </c>
      <c r="T588" s="50"/>
      <c r="U588" s="51"/>
    </row>
    <row r="589" spans="1:21" ht="24.75" customHeight="1" x14ac:dyDescent="0.3">
      <c r="A589" s="38" t="str">
        <f>IFERROR(VLOOKUP(D589,'[1]Product Datasheet'!$A:$G,2,0),"")</f>
        <v/>
      </c>
      <c r="B589" s="39" t="str">
        <f>IFERROR(VLOOKUP(D589,'[1]Product Datasheet'!$A:$G,3,0),"")</f>
        <v/>
      </c>
      <c r="C589" s="40"/>
      <c r="D589" s="41"/>
      <c r="E589" s="41"/>
      <c r="F589" s="41"/>
      <c r="G589" s="42"/>
      <c r="H589" s="43"/>
      <c r="I589" s="42"/>
      <c r="J589" s="44"/>
      <c r="K589" s="44"/>
      <c r="L589" s="44"/>
      <c r="M589" s="45" t="str">
        <f t="shared" si="24"/>
        <v>Pass</v>
      </c>
      <c r="N589" s="46" t="str">
        <f>IFERROR(VLOOKUP(D589,'[1]Product Datasheet'!$A:$G,4,0),"")</f>
        <v/>
      </c>
      <c r="O589" s="47" t="str">
        <f>IFERROR(VLOOKUP(D589,'[1]Product Datasheet'!$A:$G,5,0),"")</f>
        <v/>
      </c>
      <c r="P589" s="47" t="str">
        <f>IFERROR(VLOOKUP(D589,'[1]Product Datasheet'!$A:$G,6,0),"")</f>
        <v/>
      </c>
      <c r="Q589" s="47" t="str">
        <f>IFERROR(VLOOKUP(D589,'[1]Product Datasheet'!$A:$G,7,0), "")</f>
        <v/>
      </c>
      <c r="R589" s="48"/>
      <c r="S589" s="49" t="str">
        <f t="shared" si="25"/>
        <v>Accept</v>
      </c>
      <c r="T589" s="50"/>
      <c r="U589" s="51"/>
    </row>
    <row r="590" spans="1:21" ht="24.75" customHeight="1" x14ac:dyDescent="0.3">
      <c r="A590" s="38" t="str">
        <f>IFERROR(VLOOKUP(D590,'[1]Product Datasheet'!$A:$G,2,0),"")</f>
        <v/>
      </c>
      <c r="B590" s="39" t="str">
        <f>IFERROR(VLOOKUP(D590,'[1]Product Datasheet'!$A:$G,3,0),"")</f>
        <v/>
      </c>
      <c r="C590" s="40"/>
      <c r="D590" s="41"/>
      <c r="E590" s="41"/>
      <c r="F590" s="41"/>
      <c r="G590" s="42"/>
      <c r="H590" s="43"/>
      <c r="I590" s="42"/>
      <c r="J590" s="44"/>
      <c r="K590" s="44"/>
      <c r="L590" s="44"/>
      <c r="M590" s="45" t="str">
        <f t="shared" si="24"/>
        <v>Pass</v>
      </c>
      <c r="N590" s="46" t="str">
        <f>IFERROR(VLOOKUP(D590,'[1]Product Datasheet'!$A:$G,4,0),"")</f>
        <v/>
      </c>
      <c r="O590" s="47" t="str">
        <f>IFERROR(VLOOKUP(D590,'[1]Product Datasheet'!$A:$G,5,0),"")</f>
        <v/>
      </c>
      <c r="P590" s="47" t="str">
        <f>IFERROR(VLOOKUP(D590,'[1]Product Datasheet'!$A:$G,6,0),"")</f>
        <v/>
      </c>
      <c r="Q590" s="47" t="str">
        <f>IFERROR(VLOOKUP(D590,'[1]Product Datasheet'!$A:$G,7,0), "")</f>
        <v/>
      </c>
      <c r="R590" s="48"/>
      <c r="S590" s="49" t="str">
        <f t="shared" si="25"/>
        <v>Accept</v>
      </c>
      <c r="T590" s="50"/>
      <c r="U590" s="51"/>
    </row>
    <row r="591" spans="1:21" ht="24.75" customHeight="1" x14ac:dyDescent="0.3">
      <c r="A591" s="38" t="str">
        <f>IFERROR(VLOOKUP(D591,'[1]Product Datasheet'!$A:$G,2,0),"")</f>
        <v/>
      </c>
      <c r="B591" s="39" t="str">
        <f>IFERROR(VLOOKUP(D591,'[1]Product Datasheet'!$A:$G,3,0),"")</f>
        <v/>
      </c>
      <c r="C591" s="40"/>
      <c r="D591" s="41"/>
      <c r="E591" s="41"/>
      <c r="F591" s="41"/>
      <c r="G591" s="42"/>
      <c r="H591" s="43"/>
      <c r="I591" s="42"/>
      <c r="J591" s="44"/>
      <c r="K591" s="44"/>
      <c r="L591" s="44"/>
      <c r="M591" s="45" t="str">
        <f t="shared" si="24"/>
        <v>Pass</v>
      </c>
      <c r="N591" s="46" t="str">
        <f>IFERROR(VLOOKUP(D591,'[1]Product Datasheet'!$A:$G,4,0),"")</f>
        <v/>
      </c>
      <c r="O591" s="47" t="str">
        <f>IFERROR(VLOOKUP(D591,'[1]Product Datasheet'!$A:$G,5,0),"")</f>
        <v/>
      </c>
      <c r="P591" s="47" t="str">
        <f>IFERROR(VLOOKUP(D591,'[1]Product Datasheet'!$A:$G,6,0),"")</f>
        <v/>
      </c>
      <c r="Q591" s="47" t="str">
        <f>IFERROR(VLOOKUP(D591,'[1]Product Datasheet'!$A:$G,7,0), "")</f>
        <v/>
      </c>
      <c r="R591" s="48"/>
      <c r="S591" s="49" t="str">
        <f t="shared" si="25"/>
        <v>Accept</v>
      </c>
      <c r="T591" s="50"/>
      <c r="U591" s="51"/>
    </row>
    <row r="592" spans="1:21" ht="24.75" customHeight="1" x14ac:dyDescent="0.3">
      <c r="A592" s="38" t="str">
        <f>IFERROR(VLOOKUP(D592,'[1]Product Datasheet'!$A:$G,2,0),"")</f>
        <v/>
      </c>
      <c r="B592" s="39" t="str">
        <f>IFERROR(VLOOKUP(D592,'[1]Product Datasheet'!$A:$G,3,0),"")</f>
        <v/>
      </c>
      <c r="C592" s="40"/>
      <c r="D592" s="41"/>
      <c r="E592" s="41"/>
      <c r="F592" s="41"/>
      <c r="G592" s="42"/>
      <c r="H592" s="43"/>
      <c r="I592" s="42"/>
      <c r="J592" s="44"/>
      <c r="K592" s="44"/>
      <c r="L592" s="44"/>
      <c r="M592" s="45" t="str">
        <f t="shared" si="24"/>
        <v>Pass</v>
      </c>
      <c r="N592" s="46" t="str">
        <f>IFERROR(VLOOKUP(D592,'[1]Product Datasheet'!$A:$G,4,0),"")</f>
        <v/>
      </c>
      <c r="O592" s="47" t="str">
        <f>IFERROR(VLOOKUP(D592,'[1]Product Datasheet'!$A:$G,5,0),"")</f>
        <v/>
      </c>
      <c r="P592" s="47" t="str">
        <f>IFERROR(VLOOKUP(D592,'[1]Product Datasheet'!$A:$G,6,0),"")</f>
        <v/>
      </c>
      <c r="Q592" s="47" t="str">
        <f>IFERROR(VLOOKUP(D592,'[1]Product Datasheet'!$A:$G,7,0), "")</f>
        <v/>
      </c>
      <c r="R592" s="48"/>
      <c r="S592" s="49" t="str">
        <f t="shared" si="25"/>
        <v>Accept</v>
      </c>
      <c r="T592" s="50"/>
      <c r="U592" s="51"/>
    </row>
    <row r="593" spans="1:21" ht="24.75" customHeight="1" x14ac:dyDescent="0.3">
      <c r="A593" s="38" t="str">
        <f>IFERROR(VLOOKUP(D593,'[1]Product Datasheet'!$A:$G,2,0),"")</f>
        <v/>
      </c>
      <c r="B593" s="39" t="str">
        <f>IFERROR(VLOOKUP(D593,'[1]Product Datasheet'!$A:$G,3,0),"")</f>
        <v/>
      </c>
      <c r="C593" s="40"/>
      <c r="D593" s="41"/>
      <c r="E593" s="41"/>
      <c r="F593" s="41"/>
      <c r="G593" s="42"/>
      <c r="H593" s="43"/>
      <c r="I593" s="42"/>
      <c r="J593" s="44"/>
      <c r="K593" s="44"/>
      <c r="L593" s="44"/>
      <c r="M593" s="45" t="str">
        <f t="shared" si="24"/>
        <v>Pass</v>
      </c>
      <c r="N593" s="46" t="str">
        <f>IFERROR(VLOOKUP(D593,'[1]Product Datasheet'!$A:$G,4,0),"")</f>
        <v/>
      </c>
      <c r="O593" s="47" t="str">
        <f>IFERROR(VLOOKUP(D593,'[1]Product Datasheet'!$A:$G,5,0),"")</f>
        <v/>
      </c>
      <c r="P593" s="47" t="str">
        <f>IFERROR(VLOOKUP(D593,'[1]Product Datasheet'!$A:$G,6,0),"")</f>
        <v/>
      </c>
      <c r="Q593" s="47" t="str">
        <f>IFERROR(VLOOKUP(D593,'[1]Product Datasheet'!$A:$G,7,0), "")</f>
        <v/>
      </c>
      <c r="R593" s="48"/>
      <c r="S593" s="49" t="str">
        <f t="shared" si="25"/>
        <v>Accept</v>
      </c>
      <c r="T593" s="50"/>
      <c r="U593" s="51"/>
    </row>
    <row r="594" spans="1:21" ht="24.75" customHeight="1" x14ac:dyDescent="0.3">
      <c r="A594" s="38" t="str">
        <f>IFERROR(VLOOKUP(D594,'[1]Product Datasheet'!$A:$G,2,0),"")</f>
        <v/>
      </c>
      <c r="B594" s="39" t="str">
        <f>IFERROR(VLOOKUP(D594,'[1]Product Datasheet'!$A:$G,3,0),"")</f>
        <v/>
      </c>
      <c r="C594" s="40"/>
      <c r="D594" s="41"/>
      <c r="E594" s="41"/>
      <c r="F594" s="41"/>
      <c r="G594" s="42"/>
      <c r="H594" s="43"/>
      <c r="I594" s="42"/>
      <c r="J594" s="44"/>
      <c r="K594" s="44"/>
      <c r="L594" s="44"/>
      <c r="M594" s="45" t="str">
        <f t="shared" si="24"/>
        <v>Pass</v>
      </c>
      <c r="N594" s="46" t="str">
        <f>IFERROR(VLOOKUP(D594,'[1]Product Datasheet'!$A:$G,4,0),"")</f>
        <v/>
      </c>
      <c r="O594" s="47" t="str">
        <f>IFERROR(VLOOKUP(D594,'[1]Product Datasheet'!$A:$G,5,0),"")</f>
        <v/>
      </c>
      <c r="P594" s="47" t="str">
        <f>IFERROR(VLOOKUP(D594,'[1]Product Datasheet'!$A:$G,6,0),"")</f>
        <v/>
      </c>
      <c r="Q594" s="47" t="str">
        <f>IFERROR(VLOOKUP(D594,'[1]Product Datasheet'!$A:$G,7,0), "")</f>
        <v/>
      </c>
      <c r="R594" s="48"/>
      <c r="S594" s="49" t="str">
        <f t="shared" si="25"/>
        <v>Accept</v>
      </c>
      <c r="T594" s="50"/>
      <c r="U594" s="51"/>
    </row>
    <row r="595" spans="1:21" ht="24.75" customHeight="1" x14ac:dyDescent="0.3">
      <c r="A595" s="38" t="str">
        <f>IFERROR(VLOOKUP(D595,'[1]Product Datasheet'!$A:$G,2,0),"")</f>
        <v/>
      </c>
      <c r="B595" s="39" t="str">
        <f>IFERROR(VLOOKUP(D595,'[1]Product Datasheet'!$A:$G,3,0),"")</f>
        <v/>
      </c>
      <c r="C595" s="40"/>
      <c r="D595" s="41"/>
      <c r="E595" s="41"/>
      <c r="F595" s="41"/>
      <c r="G595" s="42"/>
      <c r="H595" s="43"/>
      <c r="I595" s="42"/>
      <c r="J595" s="44"/>
      <c r="K595" s="44"/>
      <c r="L595" s="44"/>
      <c r="M595" s="45" t="str">
        <f t="shared" si="24"/>
        <v>Pass</v>
      </c>
      <c r="N595" s="46" t="str">
        <f>IFERROR(VLOOKUP(D595,'[1]Product Datasheet'!$A:$G,4,0),"")</f>
        <v/>
      </c>
      <c r="O595" s="47" t="str">
        <f>IFERROR(VLOOKUP(D595,'[1]Product Datasheet'!$A:$G,5,0),"")</f>
        <v/>
      </c>
      <c r="P595" s="47" t="str">
        <f>IFERROR(VLOOKUP(D595,'[1]Product Datasheet'!$A:$G,6,0),"")</f>
        <v/>
      </c>
      <c r="Q595" s="47" t="str">
        <f>IFERROR(VLOOKUP(D595,'[1]Product Datasheet'!$A:$G,7,0), "")</f>
        <v/>
      </c>
      <c r="R595" s="48"/>
      <c r="S595" s="49" t="str">
        <f t="shared" si="25"/>
        <v>Accept</v>
      </c>
      <c r="T595" s="50"/>
      <c r="U595" s="51"/>
    </row>
    <row r="596" spans="1:21" ht="24.75" customHeight="1" x14ac:dyDescent="0.3">
      <c r="A596" s="38" t="str">
        <f>IFERROR(VLOOKUP(D596,'[1]Product Datasheet'!$A:$G,2,0),"")</f>
        <v/>
      </c>
      <c r="B596" s="39" t="str">
        <f>IFERROR(VLOOKUP(D596,'[1]Product Datasheet'!$A:$G,3,0),"")</f>
        <v/>
      </c>
      <c r="C596" s="40"/>
      <c r="D596" s="41"/>
      <c r="E596" s="41"/>
      <c r="F596" s="41"/>
      <c r="G596" s="42"/>
      <c r="H596" s="43"/>
      <c r="I596" s="42"/>
      <c r="J596" s="44"/>
      <c r="K596" s="44"/>
      <c r="L596" s="44"/>
      <c r="M596" s="45" t="str">
        <f t="shared" si="24"/>
        <v>Pass</v>
      </c>
      <c r="N596" s="46" t="str">
        <f>IFERROR(VLOOKUP(D596,'[1]Product Datasheet'!$A:$G,4,0),"")</f>
        <v/>
      </c>
      <c r="O596" s="47" t="str">
        <f>IFERROR(VLOOKUP(D596,'[1]Product Datasheet'!$A:$G,5,0),"")</f>
        <v/>
      </c>
      <c r="P596" s="47" t="str">
        <f>IFERROR(VLOOKUP(D596,'[1]Product Datasheet'!$A:$G,6,0),"")</f>
        <v/>
      </c>
      <c r="Q596" s="47" t="str">
        <f>IFERROR(VLOOKUP(D596,'[1]Product Datasheet'!$A:$G,7,0), "")</f>
        <v/>
      </c>
      <c r="R596" s="48"/>
      <c r="S596" s="49" t="str">
        <f t="shared" si="25"/>
        <v>Accept</v>
      </c>
      <c r="T596" s="50"/>
      <c r="U596" s="51"/>
    </row>
    <row r="597" spans="1:21" ht="24.75" customHeight="1" x14ac:dyDescent="0.3">
      <c r="A597" s="38" t="str">
        <f>IFERROR(VLOOKUP(D597,'[1]Product Datasheet'!$A:$G,2,0),"")</f>
        <v/>
      </c>
      <c r="B597" s="39" t="str">
        <f>IFERROR(VLOOKUP(D597,'[1]Product Datasheet'!$A:$G,3,0),"")</f>
        <v/>
      </c>
      <c r="C597" s="40"/>
      <c r="D597" s="41"/>
      <c r="E597" s="41"/>
      <c r="F597" s="41"/>
      <c r="G597" s="42"/>
      <c r="H597" s="43"/>
      <c r="I597" s="42"/>
      <c r="J597" s="44"/>
      <c r="K597" s="44"/>
      <c r="L597" s="44"/>
      <c r="M597" s="45" t="str">
        <f t="shared" si="24"/>
        <v>Pass</v>
      </c>
      <c r="N597" s="46" t="str">
        <f>IFERROR(VLOOKUP(D597,'[1]Product Datasheet'!$A:$G,4,0),"")</f>
        <v/>
      </c>
      <c r="O597" s="47" t="str">
        <f>IFERROR(VLOOKUP(D597,'[1]Product Datasheet'!$A:$G,5,0),"")</f>
        <v/>
      </c>
      <c r="P597" s="47" t="str">
        <f>IFERROR(VLOOKUP(D597,'[1]Product Datasheet'!$A:$G,6,0),"")</f>
        <v/>
      </c>
      <c r="Q597" s="47" t="str">
        <f>IFERROR(VLOOKUP(D597,'[1]Product Datasheet'!$A:$G,7,0), "")</f>
        <v/>
      </c>
      <c r="R597" s="48"/>
      <c r="S597" s="49" t="str">
        <f t="shared" si="25"/>
        <v>Accept</v>
      </c>
      <c r="T597" s="50"/>
      <c r="U597" s="51"/>
    </row>
    <row r="598" spans="1:21" ht="24.75" customHeight="1" x14ac:dyDescent="0.3">
      <c r="A598" s="38" t="str">
        <f>IFERROR(VLOOKUP(D598,'[1]Product Datasheet'!$A:$G,2,0),"")</f>
        <v/>
      </c>
      <c r="B598" s="39" t="str">
        <f>IFERROR(VLOOKUP(D598,'[1]Product Datasheet'!$A:$G,3,0),"")</f>
        <v/>
      </c>
      <c r="C598" s="40"/>
      <c r="D598" s="41"/>
      <c r="E598" s="41"/>
      <c r="F598" s="41"/>
      <c r="G598" s="42"/>
      <c r="H598" s="43"/>
      <c r="I598" s="42"/>
      <c r="J598" s="44"/>
      <c r="K598" s="44"/>
      <c r="L598" s="44"/>
      <c r="M598" s="45" t="str">
        <f t="shared" si="24"/>
        <v>Pass</v>
      </c>
      <c r="N598" s="46" t="str">
        <f>IFERROR(VLOOKUP(D598,'[1]Product Datasheet'!$A:$G,4,0),"")</f>
        <v/>
      </c>
      <c r="O598" s="47" t="str">
        <f>IFERROR(VLOOKUP(D598,'[1]Product Datasheet'!$A:$G,5,0),"")</f>
        <v/>
      </c>
      <c r="P598" s="47" t="str">
        <f>IFERROR(VLOOKUP(D598,'[1]Product Datasheet'!$A:$G,6,0),"")</f>
        <v/>
      </c>
      <c r="Q598" s="47" t="str">
        <f>IFERROR(VLOOKUP(D598,'[1]Product Datasheet'!$A:$G,7,0), "")</f>
        <v/>
      </c>
      <c r="R598" s="48"/>
      <c r="S598" s="49" t="str">
        <f t="shared" si="25"/>
        <v>Accept</v>
      </c>
      <c r="T598" s="50"/>
      <c r="U598" s="51"/>
    </row>
    <row r="599" spans="1:21" ht="24.75" customHeight="1" x14ac:dyDescent="0.3">
      <c r="A599" s="38" t="str">
        <f>IFERROR(VLOOKUP(D599,'[1]Product Datasheet'!$A:$G,2,0),"")</f>
        <v/>
      </c>
      <c r="B599" s="39" t="str">
        <f>IFERROR(VLOOKUP(D599,'[1]Product Datasheet'!$A:$G,3,0),"")</f>
        <v/>
      </c>
      <c r="C599" s="40"/>
      <c r="D599" s="41"/>
      <c r="E599" s="41"/>
      <c r="F599" s="41"/>
      <c r="G599" s="42"/>
      <c r="H599" s="43"/>
      <c r="I599" s="42"/>
      <c r="J599" s="44"/>
      <c r="K599" s="44"/>
      <c r="L599" s="44"/>
      <c r="M599" s="45" t="str">
        <f t="shared" si="24"/>
        <v>Pass</v>
      </c>
      <c r="N599" s="46" t="str">
        <f>IFERROR(VLOOKUP(D599,'[1]Product Datasheet'!$A:$G,4,0),"")</f>
        <v/>
      </c>
      <c r="O599" s="47" t="str">
        <f>IFERROR(VLOOKUP(D599,'[1]Product Datasheet'!$A:$G,5,0),"")</f>
        <v/>
      </c>
      <c r="P599" s="47" t="str">
        <f>IFERROR(VLOOKUP(D599,'[1]Product Datasheet'!$A:$G,6,0),"")</f>
        <v/>
      </c>
      <c r="Q599" s="47" t="str">
        <f>IFERROR(VLOOKUP(D599,'[1]Product Datasheet'!$A:$G,7,0), "")</f>
        <v/>
      </c>
      <c r="R599" s="48"/>
      <c r="S599" s="49" t="str">
        <f t="shared" si="25"/>
        <v>Accept</v>
      </c>
      <c r="T599" s="50"/>
      <c r="U599" s="51"/>
    </row>
    <row r="600" spans="1:21" ht="24.75" customHeight="1" x14ac:dyDescent="0.3">
      <c r="A600" s="38" t="str">
        <f>IFERROR(VLOOKUP(D600,'[1]Product Datasheet'!$A:$G,2,0),"")</f>
        <v/>
      </c>
      <c r="B600" s="39" t="str">
        <f>IFERROR(VLOOKUP(D600,'[1]Product Datasheet'!$A:$G,3,0),"")</f>
        <v/>
      </c>
      <c r="C600" s="40"/>
      <c r="D600" s="41"/>
      <c r="E600" s="41"/>
      <c r="F600" s="41"/>
      <c r="G600" s="42"/>
      <c r="H600" s="43"/>
      <c r="I600" s="42"/>
      <c r="J600" s="44"/>
      <c r="K600" s="44"/>
      <c r="L600" s="44"/>
      <c r="M600" s="45" t="str">
        <f t="shared" si="24"/>
        <v>Pass</v>
      </c>
      <c r="N600" s="46" t="str">
        <f>IFERROR(VLOOKUP(D600,'[1]Product Datasheet'!$A:$G,4,0),"")</f>
        <v/>
      </c>
      <c r="O600" s="47" t="str">
        <f>IFERROR(VLOOKUP(D600,'[1]Product Datasheet'!$A:$G,5,0),"")</f>
        <v/>
      </c>
      <c r="P600" s="47" t="str">
        <f>IFERROR(VLOOKUP(D600,'[1]Product Datasheet'!$A:$G,6,0),"")</f>
        <v/>
      </c>
      <c r="Q600" s="47" t="str">
        <f>IFERROR(VLOOKUP(D600,'[1]Product Datasheet'!$A:$G,7,0), "")</f>
        <v/>
      </c>
      <c r="R600" s="48"/>
      <c r="S600" s="49" t="str">
        <f t="shared" si="25"/>
        <v>Accept</v>
      </c>
      <c r="T600" s="50"/>
      <c r="U600" s="51"/>
    </row>
    <row r="601" spans="1:21" ht="24.75" customHeight="1" x14ac:dyDescent="0.3">
      <c r="A601" s="38" t="str">
        <f>IFERROR(VLOOKUP(D601,'[1]Product Datasheet'!$A:$G,2,0),"")</f>
        <v/>
      </c>
      <c r="B601" s="39" t="str">
        <f>IFERROR(VLOOKUP(D601,'[1]Product Datasheet'!$A:$G,3,0),"")</f>
        <v/>
      </c>
      <c r="C601" s="40"/>
      <c r="D601" s="41"/>
      <c r="E601" s="41"/>
      <c r="F601" s="41"/>
      <c r="G601" s="42"/>
      <c r="H601" s="43"/>
      <c r="I601" s="42"/>
      <c r="J601" s="44"/>
      <c r="K601" s="44"/>
      <c r="L601" s="44"/>
      <c r="M601" s="45" t="str">
        <f t="shared" si="24"/>
        <v>Pass</v>
      </c>
      <c r="N601" s="46" t="str">
        <f>IFERROR(VLOOKUP(D601,'[1]Product Datasheet'!$A:$G,4,0),"")</f>
        <v/>
      </c>
      <c r="O601" s="47" t="str">
        <f>IFERROR(VLOOKUP(D601,'[1]Product Datasheet'!$A:$G,5,0),"")</f>
        <v/>
      </c>
      <c r="P601" s="47" t="str">
        <f>IFERROR(VLOOKUP(D601,'[1]Product Datasheet'!$A:$G,6,0),"")</f>
        <v/>
      </c>
      <c r="Q601" s="47" t="str">
        <f>IFERROR(VLOOKUP(D601,'[1]Product Datasheet'!$A:$G,7,0), "")</f>
        <v/>
      </c>
      <c r="R601" s="48"/>
      <c r="S601" s="49" t="str">
        <f t="shared" si="25"/>
        <v>Accept</v>
      </c>
      <c r="T601" s="50"/>
      <c r="U601" s="51"/>
    </row>
    <row r="602" spans="1:21" ht="24.75" customHeight="1" x14ac:dyDescent="0.3">
      <c r="A602" s="38" t="str">
        <f>IFERROR(VLOOKUP(D602,'[1]Product Datasheet'!$A:$G,2,0),"")</f>
        <v/>
      </c>
      <c r="B602" s="39" t="str">
        <f>IFERROR(VLOOKUP(D602,'[1]Product Datasheet'!$A:$G,3,0),"")</f>
        <v/>
      </c>
      <c r="C602" s="40"/>
      <c r="D602" s="41"/>
      <c r="E602" s="41"/>
      <c r="F602" s="41"/>
      <c r="G602" s="42"/>
      <c r="H602" s="43"/>
      <c r="I602" s="42"/>
      <c r="J602" s="44"/>
      <c r="K602" s="44"/>
      <c r="L602" s="44"/>
      <c r="M602" s="45" t="str">
        <f t="shared" si="24"/>
        <v>Pass</v>
      </c>
      <c r="N602" s="46" t="str">
        <f>IFERROR(VLOOKUP(D602,'[1]Product Datasheet'!$A:$G,4,0),"")</f>
        <v/>
      </c>
      <c r="O602" s="47" t="str">
        <f>IFERROR(VLOOKUP(D602,'[1]Product Datasheet'!$A:$G,5,0),"")</f>
        <v/>
      </c>
      <c r="P602" s="47" t="str">
        <f>IFERROR(VLOOKUP(D602,'[1]Product Datasheet'!$A:$G,6,0),"")</f>
        <v/>
      </c>
      <c r="Q602" s="47" t="str">
        <f>IFERROR(VLOOKUP(D602,'[1]Product Datasheet'!$A:$G,7,0), "")</f>
        <v/>
      </c>
      <c r="R602" s="48"/>
      <c r="S602" s="49" t="str">
        <f t="shared" si="25"/>
        <v>Accept</v>
      </c>
      <c r="T602" s="50"/>
      <c r="U602" s="51"/>
    </row>
    <row r="603" spans="1:21" ht="24.75" customHeight="1" x14ac:dyDescent="0.3">
      <c r="A603" s="38" t="str">
        <f>IFERROR(VLOOKUP(D603,'[1]Product Datasheet'!$A:$G,2,0),"")</f>
        <v/>
      </c>
      <c r="B603" s="39" t="str">
        <f>IFERROR(VLOOKUP(D603,'[1]Product Datasheet'!$A:$G,3,0),"")</f>
        <v/>
      </c>
      <c r="C603" s="40"/>
      <c r="D603" s="41"/>
      <c r="E603" s="41"/>
      <c r="F603" s="41"/>
      <c r="G603" s="42"/>
      <c r="H603" s="43"/>
      <c r="I603" s="42"/>
      <c r="J603" s="44"/>
      <c r="K603" s="44"/>
      <c r="L603" s="44"/>
      <c r="M603" s="45" t="str">
        <f t="shared" si="24"/>
        <v>Pass</v>
      </c>
      <c r="N603" s="46" t="str">
        <f>IFERROR(VLOOKUP(D603,'[1]Product Datasheet'!$A:$G,4,0),"")</f>
        <v/>
      </c>
      <c r="O603" s="47" t="str">
        <f>IFERROR(VLOOKUP(D603,'[1]Product Datasheet'!$A:$G,5,0),"")</f>
        <v/>
      </c>
      <c r="P603" s="47" t="str">
        <f>IFERROR(VLOOKUP(D603,'[1]Product Datasheet'!$A:$G,6,0),"")</f>
        <v/>
      </c>
      <c r="Q603" s="47" t="str">
        <f>IFERROR(VLOOKUP(D603,'[1]Product Datasheet'!$A:$G,7,0), "")</f>
        <v/>
      </c>
      <c r="R603" s="48"/>
      <c r="S603" s="49" t="str">
        <f t="shared" si="25"/>
        <v>Accept</v>
      </c>
      <c r="T603" s="50"/>
      <c r="U603" s="51"/>
    </row>
    <row r="604" spans="1:21" ht="24.75" customHeight="1" x14ac:dyDescent="0.3">
      <c r="A604" s="38" t="str">
        <f>IFERROR(VLOOKUP(D604,'[1]Product Datasheet'!$A:$G,2,0),"")</f>
        <v/>
      </c>
      <c r="B604" s="39" t="str">
        <f>IFERROR(VLOOKUP(D604,'[1]Product Datasheet'!$A:$G,3,0),"")</f>
        <v/>
      </c>
      <c r="C604" s="40"/>
      <c r="D604" s="41"/>
      <c r="E604" s="41"/>
      <c r="F604" s="41"/>
      <c r="G604" s="42"/>
      <c r="H604" s="43"/>
      <c r="I604" s="42"/>
      <c r="J604" s="44"/>
      <c r="K604" s="44"/>
      <c r="L604" s="44"/>
      <c r="M604" s="45" t="str">
        <f t="shared" si="24"/>
        <v>Pass</v>
      </c>
      <c r="N604" s="46" t="str">
        <f>IFERROR(VLOOKUP(D604,'[1]Product Datasheet'!$A:$G,4,0),"")</f>
        <v/>
      </c>
      <c r="O604" s="47" t="str">
        <f>IFERROR(VLOOKUP(D604,'[1]Product Datasheet'!$A:$G,5,0),"")</f>
        <v/>
      </c>
      <c r="P604" s="47" t="str">
        <f>IFERROR(VLOOKUP(D604,'[1]Product Datasheet'!$A:$G,6,0),"")</f>
        <v/>
      </c>
      <c r="Q604" s="47" t="str">
        <f>IFERROR(VLOOKUP(D604,'[1]Product Datasheet'!$A:$G,7,0), "")</f>
        <v/>
      </c>
      <c r="R604" s="48"/>
      <c r="S604" s="49" t="str">
        <f t="shared" si="25"/>
        <v>Accept</v>
      </c>
      <c r="T604" s="50"/>
      <c r="U604" s="51"/>
    </row>
    <row r="605" spans="1:21" ht="24.75" customHeight="1" x14ac:dyDescent="0.3">
      <c r="A605" s="38" t="str">
        <f>IFERROR(VLOOKUP(D605,'[1]Product Datasheet'!$A:$G,2,0),"")</f>
        <v/>
      </c>
      <c r="B605" s="39" t="str">
        <f>IFERROR(VLOOKUP(D605,'[1]Product Datasheet'!$A:$G,3,0),"")</f>
        <v/>
      </c>
      <c r="C605" s="40"/>
      <c r="D605" s="41"/>
      <c r="E605" s="41"/>
      <c r="F605" s="41"/>
      <c r="G605" s="42"/>
      <c r="H605" s="43"/>
      <c r="I605" s="42"/>
      <c r="J605" s="44"/>
      <c r="K605" s="44"/>
      <c r="L605" s="44"/>
      <c r="M605" s="45" t="str">
        <f t="shared" si="24"/>
        <v>Pass</v>
      </c>
      <c r="N605" s="46" t="str">
        <f>IFERROR(VLOOKUP(D605,'[1]Product Datasheet'!$A:$G,4,0),"")</f>
        <v/>
      </c>
      <c r="O605" s="47" t="str">
        <f>IFERROR(VLOOKUP(D605,'[1]Product Datasheet'!$A:$G,5,0),"")</f>
        <v/>
      </c>
      <c r="P605" s="47" t="str">
        <f>IFERROR(VLOOKUP(D605,'[1]Product Datasheet'!$A:$G,6,0),"")</f>
        <v/>
      </c>
      <c r="Q605" s="47" t="str">
        <f>IFERROR(VLOOKUP(D605,'[1]Product Datasheet'!$A:$G,7,0), "")</f>
        <v/>
      </c>
      <c r="R605" s="48"/>
      <c r="S605" s="49" t="str">
        <f t="shared" si="25"/>
        <v>Accept</v>
      </c>
      <c r="T605" s="50"/>
      <c r="U605" s="51"/>
    </row>
    <row r="606" spans="1:21" ht="24.75" customHeight="1" x14ac:dyDescent="0.3">
      <c r="A606" s="38" t="str">
        <f>IFERROR(VLOOKUP(D606,'[1]Product Datasheet'!$A:$G,2,0),"")</f>
        <v/>
      </c>
      <c r="B606" s="39" t="str">
        <f>IFERROR(VLOOKUP(D606,'[1]Product Datasheet'!$A:$G,3,0),"")</f>
        <v/>
      </c>
      <c r="C606" s="40"/>
      <c r="D606" s="41"/>
      <c r="E606" s="41"/>
      <c r="F606" s="41"/>
      <c r="G606" s="42"/>
      <c r="H606" s="43"/>
      <c r="I606" s="42"/>
      <c r="J606" s="44"/>
      <c r="K606" s="44"/>
      <c r="L606" s="44"/>
      <c r="M606" s="45" t="str">
        <f t="shared" si="24"/>
        <v>Pass</v>
      </c>
      <c r="N606" s="46" t="str">
        <f>IFERROR(VLOOKUP(D606,'[1]Product Datasheet'!$A:$G,4,0),"")</f>
        <v/>
      </c>
      <c r="O606" s="47" t="str">
        <f>IFERROR(VLOOKUP(D606,'[1]Product Datasheet'!$A:$G,5,0),"")</f>
        <v/>
      </c>
      <c r="P606" s="47" t="str">
        <f>IFERROR(VLOOKUP(D606,'[1]Product Datasheet'!$A:$G,6,0),"")</f>
        <v/>
      </c>
      <c r="Q606" s="47" t="str">
        <f>IFERROR(VLOOKUP(D606,'[1]Product Datasheet'!$A:$G,7,0), "")</f>
        <v/>
      </c>
      <c r="R606" s="48"/>
      <c r="S606" s="49" t="str">
        <f t="shared" si="25"/>
        <v>Accept</v>
      </c>
      <c r="T606" s="50"/>
      <c r="U606" s="51"/>
    </row>
    <row r="607" spans="1:21" ht="24.75" customHeight="1" x14ac:dyDescent="0.3">
      <c r="A607" s="38" t="str">
        <f>IFERROR(VLOOKUP(D607,'[1]Product Datasheet'!$A:$G,2,0),"")</f>
        <v/>
      </c>
      <c r="B607" s="39" t="str">
        <f>IFERROR(VLOOKUP(D607,'[1]Product Datasheet'!$A:$G,3,0),"")</f>
        <v/>
      </c>
      <c r="C607" s="40"/>
      <c r="D607" s="41"/>
      <c r="E607" s="41"/>
      <c r="F607" s="41"/>
      <c r="G607" s="42"/>
      <c r="H607" s="43"/>
      <c r="I607" s="42"/>
      <c r="J607" s="44"/>
      <c r="K607" s="44"/>
      <c r="L607" s="44"/>
      <c r="M607" s="45" t="str">
        <f t="shared" si="24"/>
        <v>Pass</v>
      </c>
      <c r="N607" s="46" t="str">
        <f>IFERROR(VLOOKUP(D607,'[1]Product Datasheet'!$A:$G,4,0),"")</f>
        <v/>
      </c>
      <c r="O607" s="47" t="str">
        <f>IFERROR(VLOOKUP(D607,'[1]Product Datasheet'!$A:$G,5,0),"")</f>
        <v/>
      </c>
      <c r="P607" s="47" t="str">
        <f>IFERROR(VLOOKUP(D607,'[1]Product Datasheet'!$A:$G,6,0),"")</f>
        <v/>
      </c>
      <c r="Q607" s="47" t="str">
        <f>IFERROR(VLOOKUP(D607,'[1]Product Datasheet'!$A:$G,7,0), "")</f>
        <v/>
      </c>
      <c r="R607" s="48"/>
      <c r="S607" s="49" t="str">
        <f t="shared" si="25"/>
        <v>Accept</v>
      </c>
      <c r="T607" s="50"/>
      <c r="U607" s="51"/>
    </row>
    <row r="608" spans="1:21" ht="24.75" customHeight="1" x14ac:dyDescent="0.3">
      <c r="A608" s="38" t="str">
        <f>IFERROR(VLOOKUP(D608,'[1]Product Datasheet'!$A:$G,2,0),"")</f>
        <v/>
      </c>
      <c r="B608" s="39" t="str">
        <f>IFERROR(VLOOKUP(D608,'[1]Product Datasheet'!$A:$G,3,0),"")</f>
        <v/>
      </c>
      <c r="C608" s="40"/>
      <c r="D608" s="41"/>
      <c r="E608" s="41"/>
      <c r="F608" s="41"/>
      <c r="G608" s="42"/>
      <c r="H608" s="43"/>
      <c r="I608" s="42"/>
      <c r="J608" s="44"/>
      <c r="K608" s="44"/>
      <c r="L608" s="44"/>
      <c r="M608" s="45" t="str">
        <f t="shared" si="24"/>
        <v>Pass</v>
      </c>
      <c r="N608" s="46" t="str">
        <f>IFERROR(VLOOKUP(D608,'[1]Product Datasheet'!$A:$G,4,0),"")</f>
        <v/>
      </c>
      <c r="O608" s="47" t="str">
        <f>IFERROR(VLOOKUP(D608,'[1]Product Datasheet'!$A:$G,5,0),"")</f>
        <v/>
      </c>
      <c r="P608" s="47" t="str">
        <f>IFERROR(VLOOKUP(D608,'[1]Product Datasheet'!$A:$G,6,0),"")</f>
        <v/>
      </c>
      <c r="Q608" s="47" t="str">
        <f>IFERROR(VLOOKUP(D608,'[1]Product Datasheet'!$A:$G,7,0), "")</f>
        <v/>
      </c>
      <c r="R608" s="48"/>
      <c r="S608" s="49" t="str">
        <f t="shared" si="25"/>
        <v>Accept</v>
      </c>
      <c r="T608" s="50"/>
      <c r="U608" s="51"/>
    </row>
    <row r="609" spans="1:21" ht="24.75" customHeight="1" x14ac:dyDescent="0.3">
      <c r="A609" s="38" t="str">
        <f>IFERROR(VLOOKUP(D609,'[1]Product Datasheet'!$A:$G,2,0),"")</f>
        <v/>
      </c>
      <c r="B609" s="39" t="str">
        <f>IFERROR(VLOOKUP(D609,'[1]Product Datasheet'!$A:$G,3,0),"")</f>
        <v/>
      </c>
      <c r="C609" s="40"/>
      <c r="D609" s="41"/>
      <c r="E609" s="41"/>
      <c r="F609" s="41"/>
      <c r="G609" s="42"/>
      <c r="H609" s="43"/>
      <c r="I609" s="42"/>
      <c r="J609" s="44"/>
      <c r="K609" s="44"/>
      <c r="L609" s="44"/>
      <c r="M609" s="45" t="str">
        <f t="shared" si="24"/>
        <v>Pass</v>
      </c>
      <c r="N609" s="46" t="str">
        <f>IFERROR(VLOOKUP(D609,'[1]Product Datasheet'!$A:$G,4,0),"")</f>
        <v/>
      </c>
      <c r="O609" s="47" t="str">
        <f>IFERROR(VLOOKUP(D609,'[1]Product Datasheet'!$A:$G,5,0),"")</f>
        <v/>
      </c>
      <c r="P609" s="47" t="str">
        <f>IFERROR(VLOOKUP(D609,'[1]Product Datasheet'!$A:$G,6,0),"")</f>
        <v/>
      </c>
      <c r="Q609" s="47" t="str">
        <f>IFERROR(VLOOKUP(D609,'[1]Product Datasheet'!$A:$G,7,0), "")</f>
        <v/>
      </c>
      <c r="R609" s="48"/>
      <c r="S609" s="49" t="str">
        <f t="shared" si="25"/>
        <v>Accept</v>
      </c>
      <c r="T609" s="50"/>
      <c r="U609" s="51"/>
    </row>
    <row r="610" spans="1:21" ht="24.75" customHeight="1" x14ac:dyDescent="0.3">
      <c r="A610" s="38" t="str">
        <f>IFERROR(VLOOKUP(D610,'[1]Product Datasheet'!$A:$G,2,0),"")</f>
        <v/>
      </c>
      <c r="B610" s="39" t="str">
        <f>IFERROR(VLOOKUP(D610,'[1]Product Datasheet'!$A:$G,3,0),"")</f>
        <v/>
      </c>
      <c r="C610" s="40"/>
      <c r="D610" s="41"/>
      <c r="E610" s="41"/>
      <c r="F610" s="41"/>
      <c r="G610" s="42"/>
      <c r="H610" s="43"/>
      <c r="I610" s="42"/>
      <c r="J610" s="44"/>
      <c r="K610" s="44"/>
      <c r="L610" s="44"/>
      <c r="M610" s="45" t="str">
        <f t="shared" si="24"/>
        <v>Pass</v>
      </c>
      <c r="N610" s="46" t="str">
        <f>IFERROR(VLOOKUP(D610,'[1]Product Datasheet'!$A:$G,4,0),"")</f>
        <v/>
      </c>
      <c r="O610" s="47" t="str">
        <f>IFERROR(VLOOKUP(D610,'[1]Product Datasheet'!$A:$G,5,0),"")</f>
        <v/>
      </c>
      <c r="P610" s="47" t="str">
        <f>IFERROR(VLOOKUP(D610,'[1]Product Datasheet'!$A:$G,6,0),"")</f>
        <v/>
      </c>
      <c r="Q610" s="47" t="str">
        <f>IFERROR(VLOOKUP(D610,'[1]Product Datasheet'!$A:$G,7,0), "")</f>
        <v/>
      </c>
      <c r="R610" s="48"/>
      <c r="S610" s="49" t="str">
        <f t="shared" si="25"/>
        <v>Accept</v>
      </c>
      <c r="T610" s="50"/>
      <c r="U610" s="51"/>
    </row>
    <row r="611" spans="1:21" ht="24.75" customHeight="1" x14ac:dyDescent="0.3">
      <c r="A611" s="38" t="str">
        <f>IFERROR(VLOOKUP(D611,'[1]Product Datasheet'!$A:$G,2,0),"")</f>
        <v/>
      </c>
      <c r="B611" s="39" t="str">
        <f>IFERROR(VLOOKUP(D611,'[1]Product Datasheet'!$A:$G,3,0),"")</f>
        <v/>
      </c>
      <c r="C611" s="40"/>
      <c r="D611" s="41"/>
      <c r="E611" s="41"/>
      <c r="F611" s="41"/>
      <c r="G611" s="42"/>
      <c r="H611" s="43"/>
      <c r="I611" s="42"/>
      <c r="J611" s="44"/>
      <c r="K611" s="44"/>
      <c r="L611" s="44"/>
      <c r="M611" s="45" t="str">
        <f t="shared" si="24"/>
        <v>Pass</v>
      </c>
      <c r="N611" s="46" t="str">
        <f>IFERROR(VLOOKUP(D611,'[1]Product Datasheet'!$A:$G,4,0),"")</f>
        <v/>
      </c>
      <c r="O611" s="47" t="str">
        <f>IFERROR(VLOOKUP(D611,'[1]Product Datasheet'!$A:$G,5,0),"")</f>
        <v/>
      </c>
      <c r="P611" s="47" t="str">
        <f>IFERROR(VLOOKUP(D611,'[1]Product Datasheet'!$A:$G,6,0),"")</f>
        <v/>
      </c>
      <c r="Q611" s="47" t="str">
        <f>IFERROR(VLOOKUP(D611,'[1]Product Datasheet'!$A:$G,7,0), "")</f>
        <v/>
      </c>
      <c r="R611" s="48"/>
      <c r="S611" s="49" t="str">
        <f t="shared" si="25"/>
        <v>Accept</v>
      </c>
      <c r="T611" s="50"/>
      <c r="U611" s="51"/>
    </row>
    <row r="612" spans="1:21" ht="24.75" customHeight="1" x14ac:dyDescent="0.3">
      <c r="A612" s="38" t="str">
        <f>IFERROR(VLOOKUP(D612,'[1]Product Datasheet'!$A:$G,2,0),"")</f>
        <v/>
      </c>
      <c r="B612" s="39" t="str">
        <f>IFERROR(VLOOKUP(D612,'[1]Product Datasheet'!$A:$G,3,0),"")</f>
        <v/>
      </c>
      <c r="C612" s="40"/>
      <c r="D612" s="41"/>
      <c r="E612" s="41"/>
      <c r="F612" s="41"/>
      <c r="G612" s="42"/>
      <c r="H612" s="43"/>
      <c r="I612" s="42"/>
      <c r="J612" s="44"/>
      <c r="K612" s="44"/>
      <c r="L612" s="44"/>
      <c r="M612" s="45" t="str">
        <f t="shared" si="24"/>
        <v>Pass</v>
      </c>
      <c r="N612" s="46" t="str">
        <f>IFERROR(VLOOKUP(D612,'[1]Product Datasheet'!$A:$G,4,0),"")</f>
        <v/>
      </c>
      <c r="O612" s="47" t="str">
        <f>IFERROR(VLOOKUP(D612,'[1]Product Datasheet'!$A:$G,5,0),"")</f>
        <v/>
      </c>
      <c r="P612" s="47" t="str">
        <f>IFERROR(VLOOKUP(D612,'[1]Product Datasheet'!$A:$G,6,0),"")</f>
        <v/>
      </c>
      <c r="Q612" s="47" t="str">
        <f>IFERROR(VLOOKUP(D612,'[1]Product Datasheet'!$A:$G,7,0), "")</f>
        <v/>
      </c>
      <c r="R612" s="48"/>
      <c r="S612" s="49" t="str">
        <f t="shared" si="25"/>
        <v>Accept</v>
      </c>
      <c r="T612" s="50"/>
      <c r="U612" s="51"/>
    </row>
    <row r="613" spans="1:21" ht="24.75" customHeight="1" x14ac:dyDescent="0.3">
      <c r="A613" s="38" t="str">
        <f>IFERROR(VLOOKUP(D613,'[1]Product Datasheet'!$A:$G,2,0),"")</f>
        <v/>
      </c>
      <c r="B613" s="39" t="str">
        <f>IFERROR(VLOOKUP(D613,'[1]Product Datasheet'!$A:$G,3,0),"")</f>
        <v/>
      </c>
      <c r="C613" s="40"/>
      <c r="D613" s="41"/>
      <c r="E613" s="41"/>
      <c r="F613" s="41"/>
      <c r="G613" s="42"/>
      <c r="H613" s="43"/>
      <c r="I613" s="42"/>
      <c r="J613" s="44"/>
      <c r="K613" s="44"/>
      <c r="L613" s="44"/>
      <c r="M613" s="45" t="str">
        <f t="shared" si="24"/>
        <v>Pass</v>
      </c>
      <c r="N613" s="46" t="str">
        <f>IFERROR(VLOOKUP(D613,'[1]Product Datasheet'!$A:$G,4,0),"")</f>
        <v/>
      </c>
      <c r="O613" s="47" t="str">
        <f>IFERROR(VLOOKUP(D613,'[1]Product Datasheet'!$A:$G,5,0),"")</f>
        <v/>
      </c>
      <c r="P613" s="47" t="str">
        <f>IFERROR(VLOOKUP(D613,'[1]Product Datasheet'!$A:$G,6,0),"")</f>
        <v/>
      </c>
      <c r="Q613" s="47" t="str">
        <f>IFERROR(VLOOKUP(D613,'[1]Product Datasheet'!$A:$G,7,0), "")</f>
        <v/>
      </c>
      <c r="R613" s="48"/>
      <c r="S613" s="49" t="str">
        <f t="shared" si="25"/>
        <v>Accept</v>
      </c>
      <c r="T613" s="50"/>
      <c r="U613" s="51"/>
    </row>
    <row r="614" spans="1:21" ht="24.75" customHeight="1" x14ac:dyDescent="0.3">
      <c r="A614" s="38" t="str">
        <f>IFERROR(VLOOKUP(D614,'[1]Product Datasheet'!$A:$G,2,0),"")</f>
        <v/>
      </c>
      <c r="B614" s="39" t="str">
        <f>IFERROR(VLOOKUP(D614,'[1]Product Datasheet'!$A:$G,3,0),"")</f>
        <v/>
      </c>
      <c r="C614" s="40"/>
      <c r="D614" s="41"/>
      <c r="E614" s="41"/>
      <c r="F614" s="41"/>
      <c r="G614" s="42"/>
      <c r="H614" s="43"/>
      <c r="I614" s="42"/>
      <c r="J614" s="44"/>
      <c r="K614" s="44"/>
      <c r="L614" s="44"/>
      <c r="M614" s="45" t="str">
        <f t="shared" si="24"/>
        <v>Pass</v>
      </c>
      <c r="N614" s="46" t="str">
        <f>IFERROR(VLOOKUP(D614,'[1]Product Datasheet'!$A:$G,4,0),"")</f>
        <v/>
      </c>
      <c r="O614" s="47" t="str">
        <f>IFERROR(VLOOKUP(D614,'[1]Product Datasheet'!$A:$G,5,0),"")</f>
        <v/>
      </c>
      <c r="P614" s="47" t="str">
        <f>IFERROR(VLOOKUP(D614,'[1]Product Datasheet'!$A:$G,6,0),"")</f>
        <v/>
      </c>
      <c r="Q614" s="47" t="str">
        <f>IFERROR(VLOOKUP(D614,'[1]Product Datasheet'!$A:$G,7,0), "")</f>
        <v/>
      </c>
      <c r="R614" s="48"/>
      <c r="S614" s="49" t="str">
        <f t="shared" si="25"/>
        <v>Accept</v>
      </c>
      <c r="T614" s="50"/>
      <c r="U614" s="51"/>
    </row>
    <row r="615" spans="1:21" ht="24.75" customHeight="1" x14ac:dyDescent="0.3">
      <c r="A615" s="38" t="str">
        <f>IFERROR(VLOOKUP(D615,'[1]Product Datasheet'!$A:$G,2,0),"")</f>
        <v/>
      </c>
      <c r="B615" s="39" t="str">
        <f>IFERROR(VLOOKUP(D615,'[1]Product Datasheet'!$A:$G,3,0),"")</f>
        <v/>
      </c>
      <c r="C615" s="40"/>
      <c r="D615" s="41"/>
      <c r="E615" s="41"/>
      <c r="F615" s="41"/>
      <c r="G615" s="42"/>
      <c r="H615" s="43"/>
      <c r="I615" s="42"/>
      <c r="J615" s="44"/>
      <c r="K615" s="44"/>
      <c r="L615" s="44"/>
      <c r="M615" s="45" t="str">
        <f t="shared" si="24"/>
        <v>Pass</v>
      </c>
      <c r="N615" s="46" t="str">
        <f>IFERROR(VLOOKUP(D615,'[1]Product Datasheet'!$A:$G,4,0),"")</f>
        <v/>
      </c>
      <c r="O615" s="47" t="str">
        <f>IFERROR(VLOOKUP(D615,'[1]Product Datasheet'!$A:$G,5,0),"")</f>
        <v/>
      </c>
      <c r="P615" s="47" t="str">
        <f>IFERROR(VLOOKUP(D615,'[1]Product Datasheet'!$A:$G,6,0),"")</f>
        <v/>
      </c>
      <c r="Q615" s="47" t="str">
        <f>IFERROR(VLOOKUP(D615,'[1]Product Datasheet'!$A:$G,7,0), "")</f>
        <v/>
      </c>
      <c r="R615" s="48"/>
      <c r="S615" s="49" t="str">
        <f t="shared" si="25"/>
        <v>Accept</v>
      </c>
      <c r="T615" s="50"/>
      <c r="U615" s="51"/>
    </row>
    <row r="616" spans="1:21" ht="24.75" customHeight="1" x14ac:dyDescent="0.3">
      <c r="A616" s="38" t="str">
        <f>IFERROR(VLOOKUP(D616,'[1]Product Datasheet'!$A:$G,2,0),"")</f>
        <v/>
      </c>
      <c r="B616" s="39" t="str">
        <f>IFERROR(VLOOKUP(D616,'[1]Product Datasheet'!$A:$G,3,0),"")</f>
        <v/>
      </c>
      <c r="C616" s="40"/>
      <c r="D616" s="41"/>
      <c r="E616" s="41"/>
      <c r="F616" s="41"/>
      <c r="G616" s="42"/>
      <c r="H616" s="43"/>
      <c r="I616" s="42"/>
      <c r="J616" s="44"/>
      <c r="K616" s="44"/>
      <c r="L616" s="44"/>
      <c r="M616" s="45" t="str">
        <f t="shared" si="24"/>
        <v>Pass</v>
      </c>
      <c r="N616" s="46" t="str">
        <f>IFERROR(VLOOKUP(D616,'[1]Product Datasheet'!$A:$G,4,0),"")</f>
        <v/>
      </c>
      <c r="O616" s="47" t="str">
        <f>IFERROR(VLOOKUP(D616,'[1]Product Datasheet'!$A:$G,5,0),"")</f>
        <v/>
      </c>
      <c r="P616" s="47" t="str">
        <f>IFERROR(VLOOKUP(D616,'[1]Product Datasheet'!$A:$G,6,0),"")</f>
        <v/>
      </c>
      <c r="Q616" s="47" t="str">
        <f>IFERROR(VLOOKUP(D616,'[1]Product Datasheet'!$A:$G,7,0), "")</f>
        <v/>
      </c>
      <c r="R616" s="48"/>
      <c r="S616" s="49" t="str">
        <f t="shared" si="25"/>
        <v>Accept</v>
      </c>
      <c r="T616" s="50"/>
      <c r="U616" s="51"/>
    </row>
    <row r="617" spans="1:21" ht="24.75" customHeight="1" x14ac:dyDescent="0.3">
      <c r="A617" s="38" t="str">
        <f>IFERROR(VLOOKUP(D617,'[1]Product Datasheet'!$A:$G,2,0),"")</f>
        <v/>
      </c>
      <c r="B617" s="39" t="str">
        <f>IFERROR(VLOOKUP(D617,'[1]Product Datasheet'!$A:$G,3,0),"")</f>
        <v/>
      </c>
      <c r="C617" s="40"/>
      <c r="D617" s="41"/>
      <c r="E617" s="41"/>
      <c r="F617" s="41"/>
      <c r="G617" s="42"/>
      <c r="H617" s="43"/>
      <c r="I617" s="42"/>
      <c r="J617" s="44"/>
      <c r="K617" s="44"/>
      <c r="L617" s="44"/>
      <c r="M617" s="45" t="str">
        <f t="shared" si="24"/>
        <v>Pass</v>
      </c>
      <c r="N617" s="46" t="str">
        <f>IFERROR(VLOOKUP(D617,'[1]Product Datasheet'!$A:$G,4,0),"")</f>
        <v/>
      </c>
      <c r="O617" s="47" t="str">
        <f>IFERROR(VLOOKUP(D617,'[1]Product Datasheet'!$A:$G,5,0),"")</f>
        <v/>
      </c>
      <c r="P617" s="47" t="str">
        <f>IFERROR(VLOOKUP(D617,'[1]Product Datasheet'!$A:$G,6,0),"")</f>
        <v/>
      </c>
      <c r="Q617" s="47" t="str">
        <f>IFERROR(VLOOKUP(D617,'[1]Product Datasheet'!$A:$G,7,0), "")</f>
        <v/>
      </c>
      <c r="R617" s="48"/>
      <c r="S617" s="49" t="str">
        <f t="shared" si="25"/>
        <v>Accept</v>
      </c>
      <c r="T617" s="50"/>
      <c r="U617" s="51"/>
    </row>
    <row r="618" spans="1:21" ht="24.75" customHeight="1" x14ac:dyDescent="0.3">
      <c r="A618" s="38" t="str">
        <f>IFERROR(VLOOKUP(D618,'[1]Product Datasheet'!$A:$G,2,0),"")</f>
        <v/>
      </c>
      <c r="B618" s="39" t="str">
        <f>IFERROR(VLOOKUP(D618,'[1]Product Datasheet'!$A:$G,3,0),"")</f>
        <v/>
      </c>
      <c r="C618" s="40"/>
      <c r="D618" s="41"/>
      <c r="E618" s="41"/>
      <c r="F618" s="41"/>
      <c r="G618" s="42"/>
      <c r="H618" s="43"/>
      <c r="I618" s="42"/>
      <c r="J618" s="44"/>
      <c r="K618" s="44"/>
      <c r="L618" s="44"/>
      <c r="M618" s="45" t="str">
        <f t="shared" si="24"/>
        <v>Pass</v>
      </c>
      <c r="N618" s="46" t="str">
        <f>IFERROR(VLOOKUP(D618,'[1]Product Datasheet'!$A:$G,4,0),"")</f>
        <v/>
      </c>
      <c r="O618" s="47" t="str">
        <f>IFERROR(VLOOKUP(D618,'[1]Product Datasheet'!$A:$G,5,0),"")</f>
        <v/>
      </c>
      <c r="P618" s="47" t="str">
        <f>IFERROR(VLOOKUP(D618,'[1]Product Datasheet'!$A:$G,6,0),"")</f>
        <v/>
      </c>
      <c r="Q618" s="47" t="str">
        <f>IFERROR(VLOOKUP(D618,'[1]Product Datasheet'!$A:$G,7,0), "")</f>
        <v/>
      </c>
      <c r="R618" s="48"/>
      <c r="S618" s="49" t="str">
        <f t="shared" si="25"/>
        <v>Accept</v>
      </c>
      <c r="T618" s="50"/>
      <c r="U618" s="51"/>
    </row>
    <row r="619" spans="1:21" ht="24.75" customHeight="1" x14ac:dyDescent="0.3">
      <c r="A619" s="38" t="str">
        <f>IFERROR(VLOOKUP(D619,'[1]Product Datasheet'!$A:$G,2,0),"")</f>
        <v/>
      </c>
      <c r="B619" s="39" t="str">
        <f>IFERROR(VLOOKUP(D619,'[1]Product Datasheet'!$A:$G,3,0),"")</f>
        <v/>
      </c>
      <c r="C619" s="40"/>
      <c r="D619" s="41"/>
      <c r="E619" s="41"/>
      <c r="F619" s="41"/>
      <c r="G619" s="42"/>
      <c r="H619" s="43"/>
      <c r="I619" s="42"/>
      <c r="J619" s="44"/>
      <c r="K619" s="44"/>
      <c r="L619" s="44"/>
      <c r="M619" s="45" t="str">
        <f t="shared" si="24"/>
        <v>Pass</v>
      </c>
      <c r="N619" s="46" t="str">
        <f>IFERROR(VLOOKUP(D619,'[1]Product Datasheet'!$A:$G,4,0),"")</f>
        <v/>
      </c>
      <c r="O619" s="47" t="str">
        <f>IFERROR(VLOOKUP(D619,'[1]Product Datasheet'!$A:$G,5,0),"")</f>
        <v/>
      </c>
      <c r="P619" s="47" t="str">
        <f>IFERROR(VLOOKUP(D619,'[1]Product Datasheet'!$A:$G,6,0),"")</f>
        <v/>
      </c>
      <c r="Q619" s="47" t="str">
        <f>IFERROR(VLOOKUP(D619,'[1]Product Datasheet'!$A:$G,7,0), "")</f>
        <v/>
      </c>
      <c r="R619" s="48"/>
      <c r="S619" s="49" t="str">
        <f t="shared" si="25"/>
        <v>Accept</v>
      </c>
      <c r="T619" s="50"/>
      <c r="U619" s="51"/>
    </row>
    <row r="620" spans="1:21" ht="24.75" customHeight="1" x14ac:dyDescent="0.3">
      <c r="A620" s="38" t="str">
        <f>IFERROR(VLOOKUP(D620,'[1]Product Datasheet'!$A:$G,2,0),"")</f>
        <v/>
      </c>
      <c r="B620" s="39" t="str">
        <f>IFERROR(VLOOKUP(D620,'[1]Product Datasheet'!$A:$G,3,0),"")</f>
        <v/>
      </c>
      <c r="C620" s="40"/>
      <c r="D620" s="41"/>
      <c r="E620" s="41"/>
      <c r="F620" s="41"/>
      <c r="G620" s="42"/>
      <c r="H620" s="43"/>
      <c r="I620" s="42"/>
      <c r="J620" s="44"/>
      <c r="K620" s="44"/>
      <c r="L620" s="44"/>
      <c r="M620" s="45" t="str">
        <f t="shared" si="24"/>
        <v>Pass</v>
      </c>
      <c r="N620" s="46" t="str">
        <f>IFERROR(VLOOKUP(D620,'[1]Product Datasheet'!$A:$G,4,0),"")</f>
        <v/>
      </c>
      <c r="O620" s="47" t="str">
        <f>IFERROR(VLOOKUP(D620,'[1]Product Datasheet'!$A:$G,5,0),"")</f>
        <v/>
      </c>
      <c r="P620" s="47" t="str">
        <f>IFERROR(VLOOKUP(D620,'[1]Product Datasheet'!$A:$G,6,0),"")</f>
        <v/>
      </c>
      <c r="Q620" s="47" t="str">
        <f>IFERROR(VLOOKUP(D620,'[1]Product Datasheet'!$A:$G,7,0), "")</f>
        <v/>
      </c>
      <c r="R620" s="48"/>
      <c r="S620" s="49" t="str">
        <f t="shared" si="25"/>
        <v>Accept</v>
      </c>
      <c r="T620" s="50"/>
      <c r="U620" s="51"/>
    </row>
    <row r="621" spans="1:21" ht="24.75" customHeight="1" x14ac:dyDescent="0.3">
      <c r="A621" s="38" t="str">
        <f>IFERROR(VLOOKUP(D621,'[1]Product Datasheet'!$A:$G,2,0),"")</f>
        <v/>
      </c>
      <c r="B621" s="39" t="str">
        <f>IFERROR(VLOOKUP(D621,'[1]Product Datasheet'!$A:$G,3,0),"")</f>
        <v/>
      </c>
      <c r="C621" s="40"/>
      <c r="D621" s="41"/>
      <c r="E621" s="41"/>
      <c r="F621" s="41"/>
      <c r="G621" s="42"/>
      <c r="H621" s="43"/>
      <c r="I621" s="42"/>
      <c r="J621" s="44"/>
      <c r="K621" s="44"/>
      <c r="L621" s="44"/>
      <c r="M621" s="45" t="str">
        <f t="shared" si="24"/>
        <v>Pass</v>
      </c>
      <c r="N621" s="46" t="str">
        <f>IFERROR(VLOOKUP(D621,'[1]Product Datasheet'!$A:$G,4,0),"")</f>
        <v/>
      </c>
      <c r="O621" s="47" t="str">
        <f>IFERROR(VLOOKUP(D621,'[1]Product Datasheet'!$A:$G,5,0),"")</f>
        <v/>
      </c>
      <c r="P621" s="47" t="str">
        <f>IFERROR(VLOOKUP(D621,'[1]Product Datasheet'!$A:$G,6,0),"")</f>
        <v/>
      </c>
      <c r="Q621" s="47" t="str">
        <f>IFERROR(VLOOKUP(D621,'[1]Product Datasheet'!$A:$G,7,0), "")</f>
        <v/>
      </c>
      <c r="R621" s="48"/>
      <c r="S621" s="49" t="str">
        <f t="shared" si="25"/>
        <v>Accept</v>
      </c>
      <c r="T621" s="50"/>
      <c r="U621" s="51"/>
    </row>
    <row r="622" spans="1:21" ht="24.75" customHeight="1" x14ac:dyDescent="0.3">
      <c r="A622" s="38" t="str">
        <f>IFERROR(VLOOKUP(D622,'[1]Product Datasheet'!$A:$G,2,0),"")</f>
        <v/>
      </c>
      <c r="B622" s="39" t="str">
        <f>IFERROR(VLOOKUP(D622,'[1]Product Datasheet'!$A:$G,3,0),"")</f>
        <v/>
      </c>
      <c r="C622" s="40"/>
      <c r="D622" s="41"/>
      <c r="E622" s="41"/>
      <c r="F622" s="41"/>
      <c r="G622" s="42"/>
      <c r="H622" s="43"/>
      <c r="I622" s="42"/>
      <c r="J622" s="44"/>
      <c r="K622" s="44"/>
      <c r="L622" s="44"/>
      <c r="M622" s="45" t="str">
        <f t="shared" si="24"/>
        <v>Pass</v>
      </c>
      <c r="N622" s="46" t="str">
        <f>IFERROR(VLOOKUP(D622,'[1]Product Datasheet'!$A:$G,4,0),"")</f>
        <v/>
      </c>
      <c r="O622" s="47" t="str">
        <f>IFERROR(VLOOKUP(D622,'[1]Product Datasheet'!$A:$G,5,0),"")</f>
        <v/>
      </c>
      <c r="P622" s="47" t="str">
        <f>IFERROR(VLOOKUP(D622,'[1]Product Datasheet'!$A:$G,6,0),"")</f>
        <v/>
      </c>
      <c r="Q622" s="47" t="str">
        <f>IFERROR(VLOOKUP(D622,'[1]Product Datasheet'!$A:$G,7,0), "")</f>
        <v/>
      </c>
      <c r="R622" s="48"/>
      <c r="S622" s="49" t="str">
        <f t="shared" si="25"/>
        <v>Accept</v>
      </c>
      <c r="T622" s="50"/>
      <c r="U622" s="51"/>
    </row>
    <row r="623" spans="1:21" ht="24.75" customHeight="1" x14ac:dyDescent="0.3">
      <c r="A623" s="38" t="str">
        <f>IFERROR(VLOOKUP(D623,'[1]Product Datasheet'!$A:$G,2,0),"")</f>
        <v/>
      </c>
      <c r="B623" s="39" t="str">
        <f>IFERROR(VLOOKUP(D623,'[1]Product Datasheet'!$A:$G,3,0),"")</f>
        <v/>
      </c>
      <c r="C623" s="40"/>
      <c r="D623" s="41"/>
      <c r="E623" s="41"/>
      <c r="F623" s="41"/>
      <c r="G623" s="42"/>
      <c r="H623" s="43"/>
      <c r="I623" s="42"/>
      <c r="J623" s="44"/>
      <c r="K623" s="44"/>
      <c r="L623" s="44"/>
      <c r="M623" s="45" t="str">
        <f t="shared" si="24"/>
        <v>Pass</v>
      </c>
      <c r="N623" s="46" t="str">
        <f>IFERROR(VLOOKUP(D623,'[1]Product Datasheet'!$A:$G,4,0),"")</f>
        <v/>
      </c>
      <c r="O623" s="47" t="str">
        <f>IFERROR(VLOOKUP(D623,'[1]Product Datasheet'!$A:$G,5,0),"")</f>
        <v/>
      </c>
      <c r="P623" s="47" t="str">
        <f>IFERROR(VLOOKUP(D623,'[1]Product Datasheet'!$A:$G,6,0),"")</f>
        <v/>
      </c>
      <c r="Q623" s="47" t="str">
        <f>IFERROR(VLOOKUP(D623,'[1]Product Datasheet'!$A:$G,7,0), "")</f>
        <v/>
      </c>
      <c r="R623" s="48"/>
      <c r="S623" s="49" t="str">
        <f t="shared" si="25"/>
        <v>Accept</v>
      </c>
      <c r="T623" s="50"/>
      <c r="U623" s="51"/>
    </row>
    <row r="624" spans="1:21" ht="24.75" customHeight="1" x14ac:dyDescent="0.3">
      <c r="A624" s="38" t="str">
        <f>IFERROR(VLOOKUP(D624,'[1]Product Datasheet'!$A:$G,2,0),"")</f>
        <v/>
      </c>
      <c r="B624" s="39" t="str">
        <f>IFERROR(VLOOKUP(D624,'[1]Product Datasheet'!$A:$G,3,0),"")</f>
        <v/>
      </c>
      <c r="C624" s="40"/>
      <c r="D624" s="41"/>
      <c r="E624" s="41"/>
      <c r="F624" s="41"/>
      <c r="G624" s="42"/>
      <c r="H624" s="43"/>
      <c r="I624" s="42"/>
      <c r="J624" s="44"/>
      <c r="K624" s="44"/>
      <c r="L624" s="44"/>
      <c r="M624" s="45" t="str">
        <f t="shared" si="24"/>
        <v>Pass</v>
      </c>
      <c r="N624" s="46" t="str">
        <f>IFERROR(VLOOKUP(D624,'[1]Product Datasheet'!$A:$G,4,0),"")</f>
        <v/>
      </c>
      <c r="O624" s="47" t="str">
        <f>IFERROR(VLOOKUP(D624,'[1]Product Datasheet'!$A:$G,5,0),"")</f>
        <v/>
      </c>
      <c r="P624" s="47" t="str">
        <f>IFERROR(VLOOKUP(D624,'[1]Product Datasheet'!$A:$G,6,0),"")</f>
        <v/>
      </c>
      <c r="Q624" s="47" t="str">
        <f>IFERROR(VLOOKUP(D624,'[1]Product Datasheet'!$A:$G,7,0), "")</f>
        <v/>
      </c>
      <c r="R624" s="48"/>
      <c r="S624" s="49" t="str">
        <f t="shared" si="25"/>
        <v>Accept</v>
      </c>
      <c r="T624" s="50"/>
      <c r="U624" s="51"/>
    </row>
    <row r="625" spans="1:21" ht="24.75" customHeight="1" x14ac:dyDescent="0.3">
      <c r="A625" s="38" t="str">
        <f>IFERROR(VLOOKUP(D625,'[1]Product Datasheet'!$A:$G,2,0),"")</f>
        <v/>
      </c>
      <c r="B625" s="39" t="str">
        <f>IFERROR(VLOOKUP(D625,'[1]Product Datasheet'!$A:$G,3,0),"")</f>
        <v/>
      </c>
      <c r="C625" s="40"/>
      <c r="D625" s="41"/>
      <c r="E625" s="41"/>
      <c r="F625" s="41"/>
      <c r="G625" s="42"/>
      <c r="H625" s="43"/>
      <c r="I625" s="42"/>
      <c r="J625" s="44"/>
      <c r="K625" s="44"/>
      <c r="L625" s="44"/>
      <c r="M625" s="45" t="str">
        <f t="shared" si="24"/>
        <v>Pass</v>
      </c>
      <c r="N625" s="46" t="str">
        <f>IFERROR(VLOOKUP(D625,'[1]Product Datasheet'!$A:$G,4,0),"")</f>
        <v/>
      </c>
      <c r="O625" s="47" t="str">
        <f>IFERROR(VLOOKUP(D625,'[1]Product Datasheet'!$A:$G,5,0),"")</f>
        <v/>
      </c>
      <c r="P625" s="47" t="str">
        <f>IFERROR(VLOOKUP(D625,'[1]Product Datasheet'!$A:$G,6,0),"")</f>
        <v/>
      </c>
      <c r="Q625" s="47" t="str">
        <f>IFERROR(VLOOKUP(D625,'[1]Product Datasheet'!$A:$G,7,0), "")</f>
        <v/>
      </c>
      <c r="R625" s="48"/>
      <c r="S625" s="49" t="str">
        <f t="shared" si="25"/>
        <v>Accept</v>
      </c>
      <c r="T625" s="50"/>
      <c r="U625" s="51"/>
    </row>
    <row r="626" spans="1:21" ht="24.75" customHeight="1" x14ac:dyDescent="0.3">
      <c r="A626" s="38" t="str">
        <f>IFERROR(VLOOKUP(D626,'[1]Product Datasheet'!$A:$G,2,0),"")</f>
        <v/>
      </c>
      <c r="B626" s="39" t="str">
        <f>IFERROR(VLOOKUP(D626,'[1]Product Datasheet'!$A:$G,3,0),"")</f>
        <v/>
      </c>
      <c r="C626" s="40"/>
      <c r="D626" s="41"/>
      <c r="E626" s="41"/>
      <c r="F626" s="41"/>
      <c r="G626" s="42"/>
      <c r="H626" s="43"/>
      <c r="I626" s="42"/>
      <c r="J626" s="44"/>
      <c r="K626" s="44"/>
      <c r="L626" s="44"/>
      <c r="M626" s="45" t="str">
        <f t="shared" si="24"/>
        <v>Pass</v>
      </c>
      <c r="N626" s="46" t="str">
        <f>IFERROR(VLOOKUP(D626,'[1]Product Datasheet'!$A:$G,4,0),"")</f>
        <v/>
      </c>
      <c r="O626" s="47" t="str">
        <f>IFERROR(VLOOKUP(D626,'[1]Product Datasheet'!$A:$G,5,0),"")</f>
        <v/>
      </c>
      <c r="P626" s="47" t="str">
        <f>IFERROR(VLOOKUP(D626,'[1]Product Datasheet'!$A:$G,6,0),"")</f>
        <v/>
      </c>
      <c r="Q626" s="47" t="str">
        <f>IFERROR(VLOOKUP(D626,'[1]Product Datasheet'!$A:$G,7,0), "")</f>
        <v/>
      </c>
      <c r="R626" s="48"/>
      <c r="S626" s="49" t="str">
        <f t="shared" si="25"/>
        <v>Accept</v>
      </c>
      <c r="T626" s="50"/>
      <c r="U626" s="51"/>
    </row>
    <row r="627" spans="1:21" ht="24.75" customHeight="1" x14ac:dyDescent="0.3">
      <c r="A627" s="38" t="str">
        <f>IFERROR(VLOOKUP(D627,'[1]Product Datasheet'!$A:$G,2,0),"")</f>
        <v/>
      </c>
      <c r="B627" s="39" t="str">
        <f>IFERROR(VLOOKUP(D627,'[1]Product Datasheet'!$A:$G,3,0),"")</f>
        <v/>
      </c>
      <c r="C627" s="40"/>
      <c r="D627" s="41"/>
      <c r="E627" s="41"/>
      <c r="F627" s="41"/>
      <c r="G627" s="42"/>
      <c r="H627" s="43"/>
      <c r="I627" s="42"/>
      <c r="J627" s="44"/>
      <c r="K627" s="44"/>
      <c r="L627" s="44"/>
      <c r="M627" s="45" t="str">
        <f t="shared" si="24"/>
        <v>Pass</v>
      </c>
      <c r="N627" s="46" t="str">
        <f>IFERROR(VLOOKUP(D627,'[1]Product Datasheet'!$A:$G,4,0),"")</f>
        <v/>
      </c>
      <c r="O627" s="47" t="str">
        <f>IFERROR(VLOOKUP(D627,'[1]Product Datasheet'!$A:$G,5,0),"")</f>
        <v/>
      </c>
      <c r="P627" s="47" t="str">
        <f>IFERROR(VLOOKUP(D627,'[1]Product Datasheet'!$A:$G,6,0),"")</f>
        <v/>
      </c>
      <c r="Q627" s="47" t="str">
        <f>IFERROR(VLOOKUP(D627,'[1]Product Datasheet'!$A:$G,7,0), "")</f>
        <v/>
      </c>
      <c r="R627" s="48"/>
      <c r="S627" s="49" t="str">
        <f t="shared" si="25"/>
        <v>Accept</v>
      </c>
      <c r="T627" s="50"/>
      <c r="U627" s="51"/>
    </row>
    <row r="628" spans="1:21" ht="24.75" customHeight="1" x14ac:dyDescent="0.3">
      <c r="A628" s="38" t="str">
        <f>IFERROR(VLOOKUP(D628,'[1]Product Datasheet'!$A:$G,2,0),"")</f>
        <v/>
      </c>
      <c r="B628" s="39" t="str">
        <f>IFERROR(VLOOKUP(D628,'[1]Product Datasheet'!$A:$G,3,0),"")</f>
        <v/>
      </c>
      <c r="C628" s="40"/>
      <c r="D628" s="41"/>
      <c r="E628" s="41"/>
      <c r="F628" s="41"/>
      <c r="G628" s="42"/>
      <c r="H628" s="43"/>
      <c r="I628" s="42"/>
      <c r="J628" s="44"/>
      <c r="K628" s="44"/>
      <c r="L628" s="44"/>
      <c r="M628" s="45" t="str">
        <f t="shared" si="24"/>
        <v>Pass</v>
      </c>
      <c r="N628" s="46" t="str">
        <f>IFERROR(VLOOKUP(D628,'[1]Product Datasheet'!$A:$G,4,0),"")</f>
        <v/>
      </c>
      <c r="O628" s="47" t="str">
        <f>IFERROR(VLOOKUP(D628,'[1]Product Datasheet'!$A:$G,5,0),"")</f>
        <v/>
      </c>
      <c r="P628" s="47" t="str">
        <f>IFERROR(VLOOKUP(D628,'[1]Product Datasheet'!$A:$G,6,0),"")</f>
        <v/>
      </c>
      <c r="Q628" s="47" t="str">
        <f>IFERROR(VLOOKUP(D628,'[1]Product Datasheet'!$A:$G,7,0), "")</f>
        <v/>
      </c>
      <c r="R628" s="48"/>
      <c r="S628" s="49" t="str">
        <f t="shared" si="25"/>
        <v>Accept</v>
      </c>
      <c r="T628" s="50"/>
      <c r="U628" s="51"/>
    </row>
    <row r="629" spans="1:21" ht="24.75" customHeight="1" x14ac:dyDescent="0.3">
      <c r="A629" s="38" t="str">
        <f>IFERROR(VLOOKUP(D629,'[1]Product Datasheet'!$A:$G,2,0),"")</f>
        <v/>
      </c>
      <c r="B629" s="39" t="str">
        <f>IFERROR(VLOOKUP(D629,'[1]Product Datasheet'!$A:$G,3,0),"")</f>
        <v/>
      </c>
      <c r="C629" s="40"/>
      <c r="D629" s="41"/>
      <c r="E629" s="41"/>
      <c r="F629" s="41"/>
      <c r="G629" s="42"/>
      <c r="H629" s="43"/>
      <c r="I629" s="42"/>
      <c r="J629" s="44"/>
      <c r="K629" s="44"/>
      <c r="L629" s="44"/>
      <c r="M629" s="45" t="str">
        <f t="shared" si="24"/>
        <v>Pass</v>
      </c>
      <c r="N629" s="46" t="str">
        <f>IFERROR(VLOOKUP(D629,'[1]Product Datasheet'!$A:$G,4,0),"")</f>
        <v/>
      </c>
      <c r="O629" s="47" t="str">
        <f>IFERROR(VLOOKUP(D629,'[1]Product Datasheet'!$A:$G,5,0),"")</f>
        <v/>
      </c>
      <c r="P629" s="47" t="str">
        <f>IFERROR(VLOOKUP(D629,'[1]Product Datasheet'!$A:$G,6,0),"")</f>
        <v/>
      </c>
      <c r="Q629" s="47" t="str">
        <f>IFERROR(VLOOKUP(D629,'[1]Product Datasheet'!$A:$G,7,0), "")</f>
        <v/>
      </c>
      <c r="R629" s="48"/>
      <c r="S629" s="49" t="str">
        <f t="shared" si="25"/>
        <v>Accept</v>
      </c>
      <c r="T629" s="50"/>
      <c r="U629" s="51"/>
    </row>
    <row r="630" spans="1:21" ht="24.75" customHeight="1" x14ac:dyDescent="0.3">
      <c r="A630" s="38" t="str">
        <f>IFERROR(VLOOKUP(D630,'[1]Product Datasheet'!$A:$G,2,0),"")</f>
        <v/>
      </c>
      <c r="B630" s="39" t="str">
        <f>IFERROR(VLOOKUP(D630,'[1]Product Datasheet'!$A:$G,3,0),"")</f>
        <v/>
      </c>
      <c r="C630" s="40"/>
      <c r="D630" s="41"/>
      <c r="E630" s="41"/>
      <c r="F630" s="41"/>
      <c r="G630" s="42"/>
      <c r="H630" s="43"/>
      <c r="I630" s="42"/>
      <c r="J630" s="44"/>
      <c r="K630" s="44"/>
      <c r="L630" s="44"/>
      <c r="M630" s="45" t="str">
        <f t="shared" si="24"/>
        <v>Pass</v>
      </c>
      <c r="N630" s="46" t="str">
        <f>IFERROR(VLOOKUP(D630,'[1]Product Datasheet'!$A:$G,4,0),"")</f>
        <v/>
      </c>
      <c r="O630" s="47" t="str">
        <f>IFERROR(VLOOKUP(D630,'[1]Product Datasheet'!$A:$G,5,0),"")</f>
        <v/>
      </c>
      <c r="P630" s="47" t="str">
        <f>IFERROR(VLOOKUP(D630,'[1]Product Datasheet'!$A:$G,6,0),"")</f>
        <v/>
      </c>
      <c r="Q630" s="47" t="str">
        <f>IFERROR(VLOOKUP(D630,'[1]Product Datasheet'!$A:$G,7,0), "")</f>
        <v/>
      </c>
      <c r="R630" s="48"/>
      <c r="S630" s="49" t="str">
        <f t="shared" si="25"/>
        <v>Accept</v>
      </c>
      <c r="T630" s="50"/>
      <c r="U630" s="51"/>
    </row>
    <row r="631" spans="1:21" ht="24.75" customHeight="1" x14ac:dyDescent="0.3">
      <c r="A631" s="38" t="str">
        <f>IFERROR(VLOOKUP(D631,'[1]Product Datasheet'!$A:$G,2,0),"")</f>
        <v/>
      </c>
      <c r="B631" s="39" t="str">
        <f>IFERROR(VLOOKUP(D631,'[1]Product Datasheet'!$A:$G,3,0),"")</f>
        <v/>
      </c>
      <c r="C631" s="40"/>
      <c r="D631" s="41"/>
      <c r="E631" s="41"/>
      <c r="F631" s="41"/>
      <c r="G631" s="42"/>
      <c r="H631" s="43"/>
      <c r="I631" s="42"/>
      <c r="J631" s="44"/>
      <c r="K631" s="44"/>
      <c r="L631" s="44"/>
      <c r="M631" s="45" t="str">
        <f t="shared" si="24"/>
        <v>Pass</v>
      </c>
      <c r="N631" s="46" t="str">
        <f>IFERROR(VLOOKUP(D631,'[1]Product Datasheet'!$A:$G,4,0),"")</f>
        <v/>
      </c>
      <c r="O631" s="47" t="str">
        <f>IFERROR(VLOOKUP(D631,'[1]Product Datasheet'!$A:$G,5,0),"")</f>
        <v/>
      </c>
      <c r="P631" s="47" t="str">
        <f>IFERROR(VLOOKUP(D631,'[1]Product Datasheet'!$A:$G,6,0),"")</f>
        <v/>
      </c>
      <c r="Q631" s="47" t="str">
        <f>IFERROR(VLOOKUP(D631,'[1]Product Datasheet'!$A:$G,7,0), "")</f>
        <v/>
      </c>
      <c r="R631" s="48"/>
      <c r="S631" s="49" t="str">
        <f t="shared" si="25"/>
        <v>Accept</v>
      </c>
      <c r="T631" s="50"/>
      <c r="U631" s="51"/>
    </row>
    <row r="632" spans="1:21" ht="24.75" customHeight="1" x14ac:dyDescent="0.3">
      <c r="A632" s="38" t="str">
        <f>IFERROR(VLOOKUP(D632,'[1]Product Datasheet'!$A:$G,2,0),"")</f>
        <v/>
      </c>
      <c r="B632" s="39" t="str">
        <f>IFERROR(VLOOKUP(D632,'[1]Product Datasheet'!$A:$G,3,0),"")</f>
        <v/>
      </c>
      <c r="C632" s="40"/>
      <c r="D632" s="41"/>
      <c r="E632" s="41"/>
      <c r="F632" s="41"/>
      <c r="G632" s="42"/>
      <c r="H632" s="43"/>
      <c r="I632" s="42"/>
      <c r="J632" s="44"/>
      <c r="K632" s="44"/>
      <c r="L632" s="44"/>
      <c r="M632" s="45" t="str">
        <f t="shared" si="24"/>
        <v>Pass</v>
      </c>
      <c r="N632" s="46" t="str">
        <f>IFERROR(VLOOKUP(D632,'[1]Product Datasheet'!$A:$G,4,0),"")</f>
        <v/>
      </c>
      <c r="O632" s="47" t="str">
        <f>IFERROR(VLOOKUP(D632,'[1]Product Datasheet'!$A:$G,5,0),"")</f>
        <v/>
      </c>
      <c r="P632" s="47" t="str">
        <f>IFERROR(VLOOKUP(D632,'[1]Product Datasheet'!$A:$G,6,0),"")</f>
        <v/>
      </c>
      <c r="Q632" s="47" t="str">
        <f>IFERROR(VLOOKUP(D632,'[1]Product Datasheet'!$A:$G,7,0), "")</f>
        <v/>
      </c>
      <c r="R632" s="48"/>
      <c r="S632" s="49" t="str">
        <f t="shared" si="25"/>
        <v>Accept</v>
      </c>
      <c r="T632" s="50"/>
      <c r="U632" s="51"/>
    </row>
    <row r="633" spans="1:21" ht="24.75" customHeight="1" x14ac:dyDescent="0.3">
      <c r="A633" s="38" t="str">
        <f>IFERROR(VLOOKUP(D633,'[1]Product Datasheet'!$A:$G,2,0),"")</f>
        <v/>
      </c>
      <c r="B633" s="39" t="str">
        <f>IFERROR(VLOOKUP(D633,'[1]Product Datasheet'!$A:$G,3,0),"")</f>
        <v/>
      </c>
      <c r="C633" s="40"/>
      <c r="D633" s="41"/>
      <c r="E633" s="41"/>
      <c r="F633" s="41"/>
      <c r="G633" s="42"/>
      <c r="H633" s="43"/>
      <c r="I633" s="42"/>
      <c r="J633" s="44"/>
      <c r="K633" s="44"/>
      <c r="L633" s="44"/>
      <c r="M633" s="45" t="str">
        <f t="shared" si="24"/>
        <v>Pass</v>
      </c>
      <c r="N633" s="46" t="str">
        <f>IFERROR(VLOOKUP(D633,'[1]Product Datasheet'!$A:$G,4,0),"")</f>
        <v/>
      </c>
      <c r="O633" s="47" t="str">
        <f>IFERROR(VLOOKUP(D633,'[1]Product Datasheet'!$A:$G,5,0),"")</f>
        <v/>
      </c>
      <c r="P633" s="47" t="str">
        <f>IFERROR(VLOOKUP(D633,'[1]Product Datasheet'!$A:$G,6,0),"")</f>
        <v/>
      </c>
      <c r="Q633" s="47" t="str">
        <f>IFERROR(VLOOKUP(D633,'[1]Product Datasheet'!$A:$G,7,0), "")</f>
        <v/>
      </c>
      <c r="R633" s="48"/>
      <c r="S633" s="49" t="str">
        <f t="shared" si="25"/>
        <v>Accept</v>
      </c>
      <c r="T633" s="50"/>
      <c r="U633" s="51"/>
    </row>
    <row r="634" spans="1:21" ht="24.75" customHeight="1" x14ac:dyDescent="0.3">
      <c r="A634" s="38" t="str">
        <f>IFERROR(VLOOKUP(D634,'[1]Product Datasheet'!$A:$G,2,0),"")</f>
        <v/>
      </c>
      <c r="B634" s="39" t="str">
        <f>IFERROR(VLOOKUP(D634,'[1]Product Datasheet'!$A:$G,3,0),"")</f>
        <v/>
      </c>
      <c r="C634" s="40"/>
      <c r="D634" s="41"/>
      <c r="E634" s="41"/>
      <c r="F634" s="41"/>
      <c r="G634" s="42"/>
      <c r="H634" s="43"/>
      <c r="I634" s="42"/>
      <c r="J634" s="44"/>
      <c r="K634" s="44"/>
      <c r="L634" s="44"/>
      <c r="M634" s="45" t="str">
        <f t="shared" si="24"/>
        <v>Pass</v>
      </c>
      <c r="N634" s="46" t="str">
        <f>IFERROR(VLOOKUP(D634,'[1]Product Datasheet'!$A:$G,4,0),"")</f>
        <v/>
      </c>
      <c r="O634" s="47" t="str">
        <f>IFERROR(VLOOKUP(D634,'[1]Product Datasheet'!$A:$G,5,0),"")</f>
        <v/>
      </c>
      <c r="P634" s="47" t="str">
        <f>IFERROR(VLOOKUP(D634,'[1]Product Datasheet'!$A:$G,6,0),"")</f>
        <v/>
      </c>
      <c r="Q634" s="47" t="str">
        <f>IFERROR(VLOOKUP(D634,'[1]Product Datasheet'!$A:$G,7,0), "")</f>
        <v/>
      </c>
      <c r="R634" s="48"/>
      <c r="S634" s="49" t="str">
        <f t="shared" si="25"/>
        <v>Accept</v>
      </c>
      <c r="T634" s="50"/>
      <c r="U634" s="51"/>
    </row>
    <row r="635" spans="1:21" ht="24.75" customHeight="1" x14ac:dyDescent="0.3">
      <c r="A635" s="38" t="str">
        <f>IFERROR(VLOOKUP(D635,'[1]Product Datasheet'!$A:$G,2,0),"")</f>
        <v/>
      </c>
      <c r="B635" s="39" t="str">
        <f>IFERROR(VLOOKUP(D635,'[1]Product Datasheet'!$A:$G,3,0),"")</f>
        <v/>
      </c>
      <c r="C635" s="40"/>
      <c r="D635" s="41"/>
      <c r="E635" s="41"/>
      <c r="F635" s="41"/>
      <c r="G635" s="42"/>
      <c r="H635" s="43"/>
      <c r="I635" s="42"/>
      <c r="J635" s="44"/>
      <c r="K635" s="44"/>
      <c r="L635" s="44"/>
      <c r="M635" s="45" t="str">
        <f t="shared" si="24"/>
        <v>Pass</v>
      </c>
      <c r="N635" s="46" t="str">
        <f>IFERROR(VLOOKUP(D635,'[1]Product Datasheet'!$A:$G,4,0),"")</f>
        <v/>
      </c>
      <c r="O635" s="47" t="str">
        <f>IFERROR(VLOOKUP(D635,'[1]Product Datasheet'!$A:$G,5,0),"")</f>
        <v/>
      </c>
      <c r="P635" s="47" t="str">
        <f>IFERROR(VLOOKUP(D635,'[1]Product Datasheet'!$A:$G,6,0),"")</f>
        <v/>
      </c>
      <c r="Q635" s="47" t="str">
        <f>IFERROR(VLOOKUP(D635,'[1]Product Datasheet'!$A:$G,7,0), "")</f>
        <v/>
      </c>
      <c r="R635" s="48"/>
      <c r="S635" s="49" t="str">
        <f t="shared" si="25"/>
        <v>Accept</v>
      </c>
      <c r="T635" s="50"/>
      <c r="U635" s="51"/>
    </row>
    <row r="636" spans="1:21" ht="24.75" customHeight="1" x14ac:dyDescent="0.3">
      <c r="A636" s="38" t="str">
        <f>IFERROR(VLOOKUP(D636,'[1]Product Datasheet'!$A:$G,2,0),"")</f>
        <v/>
      </c>
      <c r="B636" s="39" t="str">
        <f>IFERROR(VLOOKUP(D636,'[1]Product Datasheet'!$A:$G,3,0),"")</f>
        <v/>
      </c>
      <c r="C636" s="40"/>
      <c r="D636" s="41"/>
      <c r="E636" s="41"/>
      <c r="F636" s="41"/>
      <c r="G636" s="42"/>
      <c r="H636" s="43"/>
      <c r="I636" s="42"/>
      <c r="J636" s="44"/>
      <c r="K636" s="44"/>
      <c r="L636" s="44"/>
      <c r="M636" s="45" t="str">
        <f t="shared" si="24"/>
        <v>Pass</v>
      </c>
      <c r="N636" s="46" t="str">
        <f>IFERROR(VLOOKUP(D636,'[1]Product Datasheet'!$A:$G,4,0),"")</f>
        <v/>
      </c>
      <c r="O636" s="47" t="str">
        <f>IFERROR(VLOOKUP(D636,'[1]Product Datasheet'!$A:$G,5,0),"")</f>
        <v/>
      </c>
      <c r="P636" s="47" t="str">
        <f>IFERROR(VLOOKUP(D636,'[1]Product Datasheet'!$A:$G,6,0),"")</f>
        <v/>
      </c>
      <c r="Q636" s="47" t="str">
        <f>IFERROR(VLOOKUP(D636,'[1]Product Datasheet'!$A:$G,7,0), "")</f>
        <v/>
      </c>
      <c r="R636" s="48"/>
      <c r="S636" s="49" t="str">
        <f t="shared" si="25"/>
        <v>Accept</v>
      </c>
      <c r="T636" s="50"/>
      <c r="U636" s="51"/>
    </row>
    <row r="637" spans="1:21" ht="24.75" customHeight="1" x14ac:dyDescent="0.3">
      <c r="A637" s="38" t="str">
        <f>IFERROR(VLOOKUP(D637,'[1]Product Datasheet'!$A:$G,2,0),"")</f>
        <v/>
      </c>
      <c r="B637" s="39" t="str">
        <f>IFERROR(VLOOKUP(D637,'[1]Product Datasheet'!$A:$G,3,0),"")</f>
        <v/>
      </c>
      <c r="C637" s="40"/>
      <c r="D637" s="41"/>
      <c r="E637" s="41"/>
      <c r="F637" s="41"/>
      <c r="G637" s="42"/>
      <c r="H637" s="43"/>
      <c r="I637" s="42"/>
      <c r="J637" s="44"/>
      <c r="K637" s="44"/>
      <c r="L637" s="44"/>
      <c r="M637" s="45" t="str">
        <f t="shared" si="24"/>
        <v>Pass</v>
      </c>
      <c r="N637" s="46" t="str">
        <f>IFERROR(VLOOKUP(D637,'[1]Product Datasheet'!$A:$G,4,0),"")</f>
        <v/>
      </c>
      <c r="O637" s="47" t="str">
        <f>IFERROR(VLOOKUP(D637,'[1]Product Datasheet'!$A:$G,5,0),"")</f>
        <v/>
      </c>
      <c r="P637" s="47" t="str">
        <f>IFERROR(VLOOKUP(D637,'[1]Product Datasheet'!$A:$G,6,0),"")</f>
        <v/>
      </c>
      <c r="Q637" s="47" t="str">
        <f>IFERROR(VLOOKUP(D637,'[1]Product Datasheet'!$A:$G,7,0), "")</f>
        <v/>
      </c>
      <c r="R637" s="48"/>
      <c r="S637" s="49" t="str">
        <f t="shared" si="25"/>
        <v>Accept</v>
      </c>
      <c r="T637" s="50"/>
      <c r="U637" s="51"/>
    </row>
    <row r="638" spans="1:21" ht="24.75" customHeight="1" x14ac:dyDescent="0.3">
      <c r="A638" s="38" t="str">
        <f>IFERROR(VLOOKUP(D638,'[1]Product Datasheet'!$A:$G,2,0),"")</f>
        <v/>
      </c>
      <c r="B638" s="39" t="str">
        <f>IFERROR(VLOOKUP(D638,'[1]Product Datasheet'!$A:$G,3,0),"")</f>
        <v/>
      </c>
      <c r="C638" s="40"/>
      <c r="D638" s="41"/>
      <c r="E638" s="41"/>
      <c r="F638" s="41"/>
      <c r="G638" s="42"/>
      <c r="H638" s="43"/>
      <c r="I638" s="42"/>
      <c r="J638" s="44"/>
      <c r="K638" s="44"/>
      <c r="L638" s="44"/>
      <c r="M638" s="45" t="str">
        <f t="shared" si="24"/>
        <v>Pass</v>
      </c>
      <c r="N638" s="46" t="str">
        <f>IFERROR(VLOOKUP(D638,'[1]Product Datasheet'!$A:$G,4,0),"")</f>
        <v/>
      </c>
      <c r="O638" s="47" t="str">
        <f>IFERROR(VLOOKUP(D638,'[1]Product Datasheet'!$A:$G,5,0),"")</f>
        <v/>
      </c>
      <c r="P638" s="47" t="str">
        <f>IFERROR(VLOOKUP(D638,'[1]Product Datasheet'!$A:$G,6,0),"")</f>
        <v/>
      </c>
      <c r="Q638" s="47" t="str">
        <f>IFERROR(VLOOKUP(D638,'[1]Product Datasheet'!$A:$G,7,0), "")</f>
        <v/>
      </c>
      <c r="R638" s="48"/>
      <c r="S638" s="49" t="str">
        <f t="shared" si="25"/>
        <v>Accept</v>
      </c>
      <c r="T638" s="50"/>
      <c r="U638" s="51"/>
    </row>
    <row r="639" spans="1:21" ht="24.75" customHeight="1" x14ac:dyDescent="0.3">
      <c r="A639" s="38" t="str">
        <f>IFERROR(VLOOKUP(D639,'[1]Product Datasheet'!$A:$G,2,0),"")</f>
        <v/>
      </c>
      <c r="B639" s="39" t="str">
        <f>IFERROR(VLOOKUP(D639,'[1]Product Datasheet'!$A:$G,3,0),"")</f>
        <v/>
      </c>
      <c r="C639" s="40"/>
      <c r="D639" s="41"/>
      <c r="E639" s="41"/>
      <c r="F639" s="41"/>
      <c r="G639" s="42"/>
      <c r="H639" s="43"/>
      <c r="I639" s="42"/>
      <c r="J639" s="44"/>
      <c r="K639" s="44"/>
      <c r="L639" s="44"/>
      <c r="M639" s="45" t="str">
        <f t="shared" si="24"/>
        <v>Pass</v>
      </c>
      <c r="N639" s="46" t="str">
        <f>IFERROR(VLOOKUP(D639,'[1]Product Datasheet'!$A:$G,4,0),"")</f>
        <v/>
      </c>
      <c r="O639" s="47" t="str">
        <f>IFERROR(VLOOKUP(D639,'[1]Product Datasheet'!$A:$G,5,0),"")</f>
        <v/>
      </c>
      <c r="P639" s="47" t="str">
        <f>IFERROR(VLOOKUP(D639,'[1]Product Datasheet'!$A:$G,6,0),"")</f>
        <v/>
      </c>
      <c r="Q639" s="47" t="str">
        <f>IFERROR(VLOOKUP(D639,'[1]Product Datasheet'!$A:$G,7,0), "")</f>
        <v/>
      </c>
      <c r="R639" s="48"/>
      <c r="S639" s="49" t="str">
        <f t="shared" si="25"/>
        <v>Accept</v>
      </c>
      <c r="T639" s="50"/>
      <c r="U639" s="51"/>
    </row>
    <row r="640" spans="1:21" ht="24.75" customHeight="1" x14ac:dyDescent="0.3">
      <c r="A640" s="38" t="str">
        <f>IFERROR(VLOOKUP(D640,'[1]Product Datasheet'!$A:$G,2,0),"")</f>
        <v/>
      </c>
      <c r="B640" s="39" t="str">
        <f>IFERROR(VLOOKUP(D640,'[1]Product Datasheet'!$A:$G,3,0),"")</f>
        <v/>
      </c>
      <c r="C640" s="40"/>
      <c r="D640" s="41"/>
      <c r="E640" s="41"/>
      <c r="F640" s="41"/>
      <c r="G640" s="42"/>
      <c r="H640" s="43"/>
      <c r="I640" s="42"/>
      <c r="J640" s="44"/>
      <c r="K640" s="44"/>
      <c r="L640" s="44"/>
      <c r="M640" s="45" t="str">
        <f t="shared" si="24"/>
        <v>Pass</v>
      </c>
      <c r="N640" s="46" t="str">
        <f>IFERROR(VLOOKUP(D640,'[1]Product Datasheet'!$A:$G,4,0),"")</f>
        <v/>
      </c>
      <c r="O640" s="47" t="str">
        <f>IFERROR(VLOOKUP(D640,'[1]Product Datasheet'!$A:$G,5,0),"")</f>
        <v/>
      </c>
      <c r="P640" s="47" t="str">
        <f>IFERROR(VLOOKUP(D640,'[1]Product Datasheet'!$A:$G,6,0),"")</f>
        <v/>
      </c>
      <c r="Q640" s="47" t="str">
        <f>IFERROR(VLOOKUP(D640,'[1]Product Datasheet'!$A:$G,7,0), "")</f>
        <v/>
      </c>
      <c r="R640" s="48"/>
      <c r="S640" s="49" t="str">
        <f t="shared" si="25"/>
        <v>Accept</v>
      </c>
      <c r="T640" s="50"/>
      <c r="U640" s="51"/>
    </row>
    <row r="641" spans="1:21" ht="24.75" customHeight="1" x14ac:dyDescent="0.3">
      <c r="A641" s="38" t="str">
        <f>IFERROR(VLOOKUP(D641,'[1]Product Datasheet'!$A:$G,2,0),"")</f>
        <v/>
      </c>
      <c r="B641" s="39" t="str">
        <f>IFERROR(VLOOKUP(D641,'[1]Product Datasheet'!$A:$G,3,0),"")</f>
        <v/>
      </c>
      <c r="C641" s="40"/>
      <c r="D641" s="41"/>
      <c r="E641" s="41"/>
      <c r="F641" s="41"/>
      <c r="G641" s="42"/>
      <c r="H641" s="43"/>
      <c r="I641" s="42"/>
      <c r="J641" s="44"/>
      <c r="K641" s="44"/>
      <c r="L641" s="44"/>
      <c r="M641" s="45" t="str">
        <f t="shared" si="24"/>
        <v>Pass</v>
      </c>
      <c r="N641" s="46" t="str">
        <f>IFERROR(VLOOKUP(D641,'[1]Product Datasheet'!$A:$G,4,0),"")</f>
        <v/>
      </c>
      <c r="O641" s="47" t="str">
        <f>IFERROR(VLOOKUP(D641,'[1]Product Datasheet'!$A:$G,5,0),"")</f>
        <v/>
      </c>
      <c r="P641" s="47" t="str">
        <f>IFERROR(VLOOKUP(D641,'[1]Product Datasheet'!$A:$G,6,0),"")</f>
        <v/>
      </c>
      <c r="Q641" s="47" t="str">
        <f>IFERROR(VLOOKUP(D641,'[1]Product Datasheet'!$A:$G,7,0), "")</f>
        <v/>
      </c>
      <c r="R641" s="48"/>
      <c r="S641" s="49" t="str">
        <f t="shared" si="25"/>
        <v>Accept</v>
      </c>
      <c r="T641" s="50"/>
      <c r="U641" s="51"/>
    </row>
    <row r="642" spans="1:21" ht="24.75" customHeight="1" x14ac:dyDescent="0.3">
      <c r="A642" s="38" t="str">
        <f>IFERROR(VLOOKUP(D642,'[1]Product Datasheet'!$A:$G,2,0),"")</f>
        <v/>
      </c>
      <c r="B642" s="39" t="str">
        <f>IFERROR(VLOOKUP(D642,'[1]Product Datasheet'!$A:$G,3,0),"")</f>
        <v/>
      </c>
      <c r="C642" s="40"/>
      <c r="D642" s="41"/>
      <c r="E642" s="41"/>
      <c r="F642" s="41"/>
      <c r="G642" s="42"/>
      <c r="H642" s="43"/>
      <c r="I642" s="42"/>
      <c r="J642" s="44"/>
      <c r="K642" s="44"/>
      <c r="L642" s="44"/>
      <c r="M642" s="45" t="str">
        <f t="shared" si="24"/>
        <v>Pass</v>
      </c>
      <c r="N642" s="46" t="str">
        <f>IFERROR(VLOOKUP(D642,'[1]Product Datasheet'!$A:$G,4,0),"")</f>
        <v/>
      </c>
      <c r="O642" s="47" t="str">
        <f>IFERROR(VLOOKUP(D642,'[1]Product Datasheet'!$A:$G,5,0),"")</f>
        <v/>
      </c>
      <c r="P642" s="47" t="str">
        <f>IFERROR(VLOOKUP(D642,'[1]Product Datasheet'!$A:$G,6,0),"")</f>
        <v/>
      </c>
      <c r="Q642" s="47" t="str">
        <f>IFERROR(VLOOKUP(D642,'[1]Product Datasheet'!$A:$G,7,0), "")</f>
        <v/>
      </c>
      <c r="R642" s="48"/>
      <c r="S642" s="49" t="str">
        <f t="shared" si="25"/>
        <v>Accept</v>
      </c>
      <c r="T642" s="50"/>
      <c r="U642" s="51"/>
    </row>
    <row r="643" spans="1:21" ht="24.75" customHeight="1" x14ac:dyDescent="0.3">
      <c r="A643" s="38" t="str">
        <f>IFERROR(VLOOKUP(D643,'[1]Product Datasheet'!$A:$G,2,0),"")</f>
        <v/>
      </c>
      <c r="B643" s="39" t="str">
        <f>IFERROR(VLOOKUP(D643,'[1]Product Datasheet'!$A:$G,3,0),"")</f>
        <v/>
      </c>
      <c r="C643" s="40"/>
      <c r="D643" s="41"/>
      <c r="E643" s="41"/>
      <c r="F643" s="41"/>
      <c r="G643" s="42"/>
      <c r="H643" s="43"/>
      <c r="I643" s="42"/>
      <c r="J643" s="44"/>
      <c r="K643" s="44"/>
      <c r="L643" s="44"/>
      <c r="M643" s="45" t="str">
        <f t="shared" si="24"/>
        <v>Pass</v>
      </c>
      <c r="N643" s="46" t="str">
        <f>IFERROR(VLOOKUP(D643,'[1]Product Datasheet'!$A:$G,4,0),"")</f>
        <v/>
      </c>
      <c r="O643" s="47" t="str">
        <f>IFERROR(VLOOKUP(D643,'[1]Product Datasheet'!$A:$G,5,0),"")</f>
        <v/>
      </c>
      <c r="P643" s="47" t="str">
        <f>IFERROR(VLOOKUP(D643,'[1]Product Datasheet'!$A:$G,6,0),"")</f>
        <v/>
      </c>
      <c r="Q643" s="47" t="str">
        <f>IFERROR(VLOOKUP(D643,'[1]Product Datasheet'!$A:$G,7,0), "")</f>
        <v/>
      </c>
      <c r="R643" s="48"/>
      <c r="S643" s="49" t="str">
        <f t="shared" si="25"/>
        <v>Accept</v>
      </c>
      <c r="T643" s="50"/>
      <c r="U643" s="51"/>
    </row>
    <row r="644" spans="1:21" ht="24.75" customHeight="1" x14ac:dyDescent="0.3">
      <c r="A644" s="38" t="str">
        <f>IFERROR(VLOOKUP(D644,'[1]Product Datasheet'!$A:$G,2,0),"")</f>
        <v/>
      </c>
      <c r="B644" s="39" t="str">
        <f>IFERROR(VLOOKUP(D644,'[1]Product Datasheet'!$A:$G,3,0),"")</f>
        <v/>
      </c>
      <c r="C644" s="40"/>
      <c r="D644" s="41"/>
      <c r="E644" s="41"/>
      <c r="F644" s="41"/>
      <c r="G644" s="42"/>
      <c r="H644" s="43"/>
      <c r="I644" s="42"/>
      <c r="J644" s="44"/>
      <c r="K644" s="44"/>
      <c r="L644" s="44"/>
      <c r="M644" s="45" t="str">
        <f t="shared" si="24"/>
        <v>Pass</v>
      </c>
      <c r="N644" s="46" t="str">
        <f>IFERROR(VLOOKUP(D644,'[1]Product Datasheet'!$A:$G,4,0),"")</f>
        <v/>
      </c>
      <c r="O644" s="47" t="str">
        <f>IFERROR(VLOOKUP(D644,'[1]Product Datasheet'!$A:$G,5,0),"")</f>
        <v/>
      </c>
      <c r="P644" s="47" t="str">
        <f>IFERROR(VLOOKUP(D644,'[1]Product Datasheet'!$A:$G,6,0),"")</f>
        <v/>
      </c>
      <c r="Q644" s="47" t="str">
        <f>IFERROR(VLOOKUP(D644,'[1]Product Datasheet'!$A:$G,7,0), "")</f>
        <v/>
      </c>
      <c r="R644" s="48"/>
      <c r="S644" s="49" t="str">
        <f t="shared" si="25"/>
        <v>Accept</v>
      </c>
      <c r="T644" s="50"/>
      <c r="U644" s="51"/>
    </row>
    <row r="645" spans="1:21" ht="24.75" customHeight="1" x14ac:dyDescent="0.3">
      <c r="A645" s="38" t="str">
        <f>IFERROR(VLOOKUP(D645,'[1]Product Datasheet'!$A:$G,2,0),"")</f>
        <v/>
      </c>
      <c r="B645" s="39" t="str">
        <f>IFERROR(VLOOKUP(D645,'[1]Product Datasheet'!$A:$G,3,0),"")</f>
        <v/>
      </c>
      <c r="C645" s="40"/>
      <c r="D645" s="41"/>
      <c r="E645" s="41"/>
      <c r="F645" s="41"/>
      <c r="G645" s="42"/>
      <c r="H645" s="43"/>
      <c r="I645" s="42"/>
      <c r="J645" s="44"/>
      <c r="K645" s="44"/>
      <c r="L645" s="44"/>
      <c r="M645" s="45" t="str">
        <f t="shared" si="24"/>
        <v>Pass</v>
      </c>
      <c r="N645" s="46" t="str">
        <f>IFERROR(VLOOKUP(D645,'[1]Product Datasheet'!$A:$G,4,0),"")</f>
        <v/>
      </c>
      <c r="O645" s="47" t="str">
        <f>IFERROR(VLOOKUP(D645,'[1]Product Datasheet'!$A:$G,5,0),"")</f>
        <v/>
      </c>
      <c r="P645" s="47" t="str">
        <f>IFERROR(VLOOKUP(D645,'[1]Product Datasheet'!$A:$G,6,0),"")</f>
        <v/>
      </c>
      <c r="Q645" s="47" t="str">
        <f>IFERROR(VLOOKUP(D645,'[1]Product Datasheet'!$A:$G,7,0), "")</f>
        <v/>
      </c>
      <c r="R645" s="48"/>
      <c r="S645" s="49" t="str">
        <f t="shared" si="25"/>
        <v>Accept</v>
      </c>
      <c r="T645" s="50"/>
      <c r="U645" s="51"/>
    </row>
    <row r="646" spans="1:21" ht="24.75" customHeight="1" x14ac:dyDescent="0.3">
      <c r="A646" s="38" t="str">
        <f>IFERROR(VLOOKUP(D646,'[1]Product Datasheet'!$A:$G,2,0),"")</f>
        <v/>
      </c>
      <c r="B646" s="39" t="str">
        <f>IFERROR(VLOOKUP(D646,'[1]Product Datasheet'!$A:$G,3,0),"")</f>
        <v/>
      </c>
      <c r="C646" s="40"/>
      <c r="D646" s="41"/>
      <c r="E646" s="41"/>
      <c r="F646" s="41"/>
      <c r="G646" s="42"/>
      <c r="H646" s="43"/>
      <c r="I646" s="42"/>
      <c r="J646" s="44"/>
      <c r="K646" s="44"/>
      <c r="L646" s="44"/>
      <c r="M646" s="45" t="str">
        <f t="shared" si="24"/>
        <v>Pass</v>
      </c>
      <c r="N646" s="46" t="str">
        <f>IFERROR(VLOOKUP(D646,'[1]Product Datasheet'!$A:$G,4,0),"")</f>
        <v/>
      </c>
      <c r="O646" s="47" t="str">
        <f>IFERROR(VLOOKUP(D646,'[1]Product Datasheet'!$A:$G,5,0),"")</f>
        <v/>
      </c>
      <c r="P646" s="47" t="str">
        <f>IFERROR(VLOOKUP(D646,'[1]Product Datasheet'!$A:$G,6,0),"")</f>
        <v/>
      </c>
      <c r="Q646" s="47" t="str">
        <f>IFERROR(VLOOKUP(D646,'[1]Product Datasheet'!$A:$G,7,0), "")</f>
        <v/>
      </c>
      <c r="R646" s="48"/>
      <c r="S646" s="49" t="str">
        <f t="shared" si="25"/>
        <v>Accept</v>
      </c>
      <c r="T646" s="50"/>
      <c r="U646" s="51"/>
    </row>
    <row r="647" spans="1:21" ht="24.75" customHeight="1" x14ac:dyDescent="0.3">
      <c r="A647" s="38" t="str">
        <f>IFERROR(VLOOKUP(D647,'[1]Product Datasheet'!$A:$G,2,0),"")</f>
        <v/>
      </c>
      <c r="B647" s="39" t="str">
        <f>IFERROR(VLOOKUP(D647,'[1]Product Datasheet'!$A:$G,3,0),"")</f>
        <v/>
      </c>
      <c r="C647" s="40"/>
      <c r="D647" s="41"/>
      <c r="E647" s="41"/>
      <c r="F647" s="41"/>
      <c r="G647" s="42"/>
      <c r="H647" s="43"/>
      <c r="I647" s="42"/>
      <c r="J647" s="44"/>
      <c r="K647" s="44"/>
      <c r="L647" s="44"/>
      <c r="M647" s="45" t="str">
        <f t="shared" si="24"/>
        <v>Pass</v>
      </c>
      <c r="N647" s="46" t="str">
        <f>IFERROR(VLOOKUP(D647,'[1]Product Datasheet'!$A:$G,4,0),"")</f>
        <v/>
      </c>
      <c r="O647" s="47" t="str">
        <f>IFERROR(VLOOKUP(D647,'[1]Product Datasheet'!$A:$G,5,0),"")</f>
        <v/>
      </c>
      <c r="P647" s="47" t="str">
        <f>IFERROR(VLOOKUP(D647,'[1]Product Datasheet'!$A:$G,6,0),"")</f>
        <v/>
      </c>
      <c r="Q647" s="47" t="str">
        <f>IFERROR(VLOOKUP(D647,'[1]Product Datasheet'!$A:$G,7,0), "")</f>
        <v/>
      </c>
      <c r="R647" s="48"/>
      <c r="S647" s="49" t="str">
        <f t="shared" si="25"/>
        <v>Accept</v>
      </c>
      <c r="T647" s="50"/>
      <c r="U647" s="51"/>
    </row>
    <row r="648" spans="1:21" ht="24.75" customHeight="1" x14ac:dyDescent="0.3">
      <c r="A648" s="38" t="str">
        <f>IFERROR(VLOOKUP(D648,'[1]Product Datasheet'!$A:$G,2,0),"")</f>
        <v/>
      </c>
      <c r="B648" s="39" t="str">
        <f>IFERROR(VLOOKUP(D648,'[1]Product Datasheet'!$A:$G,3,0),"")</f>
        <v/>
      </c>
      <c r="C648" s="40"/>
      <c r="D648" s="41"/>
      <c r="E648" s="41"/>
      <c r="F648" s="41"/>
      <c r="G648" s="42"/>
      <c r="H648" s="43"/>
      <c r="I648" s="42"/>
      <c r="J648" s="44"/>
      <c r="K648" s="44"/>
      <c r="L648" s="44"/>
      <c r="M648" s="45" t="str">
        <f t="shared" si="24"/>
        <v>Pass</v>
      </c>
      <c r="N648" s="46" t="str">
        <f>IFERROR(VLOOKUP(D648,'[1]Product Datasheet'!$A:$G,4,0),"")</f>
        <v/>
      </c>
      <c r="O648" s="47" t="str">
        <f>IFERROR(VLOOKUP(D648,'[1]Product Datasheet'!$A:$G,5,0),"")</f>
        <v/>
      </c>
      <c r="P648" s="47" t="str">
        <f>IFERROR(VLOOKUP(D648,'[1]Product Datasheet'!$A:$G,6,0),"")</f>
        <v/>
      </c>
      <c r="Q648" s="47" t="str">
        <f>IFERROR(VLOOKUP(D648,'[1]Product Datasheet'!$A:$G,7,0), "")</f>
        <v/>
      </c>
      <c r="R648" s="48"/>
      <c r="S648" s="49" t="str">
        <f t="shared" si="25"/>
        <v>Accept</v>
      </c>
      <c r="T648" s="50"/>
      <c r="U648" s="51"/>
    </row>
    <row r="649" spans="1:21" ht="24.75" customHeight="1" x14ac:dyDescent="0.3">
      <c r="A649" s="38" t="str">
        <f>IFERROR(VLOOKUP(D649,'[1]Product Datasheet'!$A:$G,2,0),"")</f>
        <v/>
      </c>
      <c r="B649" s="39" t="str">
        <f>IFERROR(VLOOKUP(D649,'[1]Product Datasheet'!$A:$G,3,0),"")</f>
        <v/>
      </c>
      <c r="C649" s="40"/>
      <c r="D649" s="41"/>
      <c r="E649" s="41"/>
      <c r="F649" s="41"/>
      <c r="G649" s="42"/>
      <c r="H649" s="43"/>
      <c r="I649" s="42"/>
      <c r="J649" s="44"/>
      <c r="K649" s="44"/>
      <c r="L649" s="44"/>
      <c r="M649" s="45" t="str">
        <f t="shared" ref="M649:M712" si="26">IF(AND(G649&lt;=O649,G649&gt;=N649,H649&lt;=Q649,H649&gt;=P649),"Pass","Fail")</f>
        <v>Pass</v>
      </c>
      <c r="N649" s="46" t="str">
        <f>IFERROR(VLOOKUP(D649,'[1]Product Datasheet'!$A:$G,4,0),"")</f>
        <v/>
      </c>
      <c r="O649" s="47" t="str">
        <f>IFERROR(VLOOKUP(D649,'[1]Product Datasheet'!$A:$G,5,0),"")</f>
        <v/>
      </c>
      <c r="P649" s="47" t="str">
        <f>IFERROR(VLOOKUP(D649,'[1]Product Datasheet'!$A:$G,6,0),"")</f>
        <v/>
      </c>
      <c r="Q649" s="47" t="str">
        <f>IFERROR(VLOOKUP(D649,'[1]Product Datasheet'!$A:$G,7,0), "")</f>
        <v/>
      </c>
      <c r="R649" s="48"/>
      <c r="S649" s="49" t="str">
        <f t="shared" ref="S649:S712" si="27">IFERROR(IF(AND(ROUND(H649, 2)&lt;=Q649, ROUND(G649,1)&lt;=O649), "Accept", "Reject"),"Reject")</f>
        <v>Accept</v>
      </c>
      <c r="T649" s="50"/>
      <c r="U649" s="51"/>
    </row>
    <row r="650" spans="1:21" ht="24.75" customHeight="1" x14ac:dyDescent="0.3">
      <c r="A650" s="38" t="str">
        <f>IFERROR(VLOOKUP(D650,'[1]Product Datasheet'!$A:$G,2,0),"")</f>
        <v/>
      </c>
      <c r="B650" s="39" t="str">
        <f>IFERROR(VLOOKUP(D650,'[1]Product Datasheet'!$A:$G,3,0),"")</f>
        <v/>
      </c>
      <c r="C650" s="40"/>
      <c r="D650" s="41"/>
      <c r="E650" s="41"/>
      <c r="F650" s="41"/>
      <c r="G650" s="42"/>
      <c r="H650" s="43"/>
      <c r="I650" s="42"/>
      <c r="J650" s="44"/>
      <c r="K650" s="44"/>
      <c r="L650" s="44"/>
      <c r="M650" s="45" t="str">
        <f t="shared" si="26"/>
        <v>Pass</v>
      </c>
      <c r="N650" s="46" t="str">
        <f>IFERROR(VLOOKUP(D650,'[1]Product Datasheet'!$A:$G,4,0),"")</f>
        <v/>
      </c>
      <c r="O650" s="47" t="str">
        <f>IFERROR(VLOOKUP(D650,'[1]Product Datasheet'!$A:$G,5,0),"")</f>
        <v/>
      </c>
      <c r="P650" s="47" t="str">
        <f>IFERROR(VLOOKUP(D650,'[1]Product Datasheet'!$A:$G,6,0),"")</f>
        <v/>
      </c>
      <c r="Q650" s="47" t="str">
        <f>IFERROR(VLOOKUP(D650,'[1]Product Datasheet'!$A:$G,7,0), "")</f>
        <v/>
      </c>
      <c r="R650" s="48"/>
      <c r="S650" s="49" t="str">
        <f t="shared" si="27"/>
        <v>Accept</v>
      </c>
      <c r="T650" s="50"/>
      <c r="U650" s="51"/>
    </row>
    <row r="651" spans="1:21" ht="24.75" customHeight="1" x14ac:dyDescent="0.3">
      <c r="A651" s="38" t="str">
        <f>IFERROR(VLOOKUP(D651,'[1]Product Datasheet'!$A:$G,2,0),"")</f>
        <v/>
      </c>
      <c r="B651" s="39" t="str">
        <f>IFERROR(VLOOKUP(D651,'[1]Product Datasheet'!$A:$G,3,0),"")</f>
        <v/>
      </c>
      <c r="C651" s="40"/>
      <c r="D651" s="41"/>
      <c r="E651" s="41"/>
      <c r="F651" s="41"/>
      <c r="G651" s="42"/>
      <c r="H651" s="43"/>
      <c r="I651" s="42"/>
      <c r="J651" s="44"/>
      <c r="K651" s="44"/>
      <c r="L651" s="44"/>
      <c r="M651" s="45" t="str">
        <f t="shared" si="26"/>
        <v>Pass</v>
      </c>
      <c r="N651" s="46" t="str">
        <f>IFERROR(VLOOKUP(D651,'[1]Product Datasheet'!$A:$G,4,0),"")</f>
        <v/>
      </c>
      <c r="O651" s="47" t="str">
        <f>IFERROR(VLOOKUP(D651,'[1]Product Datasheet'!$A:$G,5,0),"")</f>
        <v/>
      </c>
      <c r="P651" s="47" t="str">
        <f>IFERROR(VLOOKUP(D651,'[1]Product Datasheet'!$A:$G,6,0),"")</f>
        <v/>
      </c>
      <c r="Q651" s="47" t="str">
        <f>IFERROR(VLOOKUP(D651,'[1]Product Datasheet'!$A:$G,7,0), "")</f>
        <v/>
      </c>
      <c r="R651" s="48"/>
      <c r="S651" s="49" t="str">
        <f t="shared" si="27"/>
        <v>Accept</v>
      </c>
      <c r="T651" s="50"/>
      <c r="U651" s="51"/>
    </row>
    <row r="652" spans="1:21" ht="24.75" customHeight="1" x14ac:dyDescent="0.3">
      <c r="A652" s="38" t="str">
        <f>IFERROR(VLOOKUP(D652,'[1]Product Datasheet'!$A:$G,2,0),"")</f>
        <v/>
      </c>
      <c r="B652" s="39" t="str">
        <f>IFERROR(VLOOKUP(D652,'[1]Product Datasheet'!$A:$G,3,0),"")</f>
        <v/>
      </c>
      <c r="C652" s="40"/>
      <c r="D652" s="41"/>
      <c r="E652" s="41"/>
      <c r="F652" s="41"/>
      <c r="G652" s="42"/>
      <c r="H652" s="43"/>
      <c r="I652" s="42"/>
      <c r="J652" s="44"/>
      <c r="K652" s="44"/>
      <c r="L652" s="44"/>
      <c r="M652" s="45" t="str">
        <f t="shared" si="26"/>
        <v>Pass</v>
      </c>
      <c r="N652" s="46" t="str">
        <f>IFERROR(VLOOKUP(D652,'[1]Product Datasheet'!$A:$G,4,0),"")</f>
        <v/>
      </c>
      <c r="O652" s="47" t="str">
        <f>IFERROR(VLOOKUP(D652,'[1]Product Datasheet'!$A:$G,5,0),"")</f>
        <v/>
      </c>
      <c r="P652" s="47" t="str">
        <f>IFERROR(VLOOKUP(D652,'[1]Product Datasheet'!$A:$G,6,0),"")</f>
        <v/>
      </c>
      <c r="Q652" s="47" t="str">
        <f>IFERROR(VLOOKUP(D652,'[1]Product Datasheet'!$A:$G,7,0), "")</f>
        <v/>
      </c>
      <c r="R652" s="48"/>
      <c r="S652" s="49" t="str">
        <f t="shared" si="27"/>
        <v>Accept</v>
      </c>
      <c r="T652" s="50"/>
      <c r="U652" s="51"/>
    </row>
    <row r="653" spans="1:21" ht="24.75" customHeight="1" x14ac:dyDescent="0.3">
      <c r="A653" s="38" t="str">
        <f>IFERROR(VLOOKUP(D653,'[1]Product Datasheet'!$A:$G,2,0),"")</f>
        <v/>
      </c>
      <c r="B653" s="39" t="str">
        <f>IFERROR(VLOOKUP(D653,'[1]Product Datasheet'!$A:$G,3,0),"")</f>
        <v/>
      </c>
      <c r="C653" s="40"/>
      <c r="D653" s="41"/>
      <c r="E653" s="41"/>
      <c r="F653" s="41"/>
      <c r="G653" s="42"/>
      <c r="H653" s="43"/>
      <c r="I653" s="42"/>
      <c r="J653" s="44"/>
      <c r="K653" s="44"/>
      <c r="L653" s="44"/>
      <c r="M653" s="45" t="str">
        <f t="shared" si="26"/>
        <v>Pass</v>
      </c>
      <c r="N653" s="46" t="str">
        <f>IFERROR(VLOOKUP(D653,'[1]Product Datasheet'!$A:$G,4,0),"")</f>
        <v/>
      </c>
      <c r="O653" s="47" t="str">
        <f>IFERROR(VLOOKUP(D653,'[1]Product Datasheet'!$A:$G,5,0),"")</f>
        <v/>
      </c>
      <c r="P653" s="47" t="str">
        <f>IFERROR(VLOOKUP(D653,'[1]Product Datasheet'!$A:$G,6,0),"")</f>
        <v/>
      </c>
      <c r="Q653" s="47" t="str">
        <f>IFERROR(VLOOKUP(D653,'[1]Product Datasheet'!$A:$G,7,0), "")</f>
        <v/>
      </c>
      <c r="R653" s="48"/>
      <c r="S653" s="49" t="str">
        <f t="shared" si="27"/>
        <v>Accept</v>
      </c>
      <c r="T653" s="50"/>
      <c r="U653" s="51"/>
    </row>
    <row r="654" spans="1:21" ht="24.75" customHeight="1" x14ac:dyDescent="0.3">
      <c r="A654" s="38" t="str">
        <f>IFERROR(VLOOKUP(D654,'[1]Product Datasheet'!$A:$G,2,0),"")</f>
        <v/>
      </c>
      <c r="B654" s="39" t="str">
        <f>IFERROR(VLOOKUP(D654,'[1]Product Datasheet'!$A:$G,3,0),"")</f>
        <v/>
      </c>
      <c r="C654" s="40"/>
      <c r="D654" s="41"/>
      <c r="E654" s="41"/>
      <c r="F654" s="41"/>
      <c r="G654" s="42"/>
      <c r="H654" s="43"/>
      <c r="I654" s="42"/>
      <c r="J654" s="44"/>
      <c r="K654" s="44"/>
      <c r="L654" s="44"/>
      <c r="M654" s="45" t="str">
        <f t="shared" si="26"/>
        <v>Pass</v>
      </c>
      <c r="N654" s="46" t="str">
        <f>IFERROR(VLOOKUP(D654,'[1]Product Datasheet'!$A:$G,4,0),"")</f>
        <v/>
      </c>
      <c r="O654" s="47" t="str">
        <f>IFERROR(VLOOKUP(D654,'[1]Product Datasheet'!$A:$G,5,0),"")</f>
        <v/>
      </c>
      <c r="P654" s="47" t="str">
        <f>IFERROR(VLOOKUP(D654,'[1]Product Datasheet'!$A:$G,6,0),"")</f>
        <v/>
      </c>
      <c r="Q654" s="47" t="str">
        <f>IFERROR(VLOOKUP(D654,'[1]Product Datasheet'!$A:$G,7,0), "")</f>
        <v/>
      </c>
      <c r="R654" s="48"/>
      <c r="S654" s="49" t="str">
        <f t="shared" si="27"/>
        <v>Accept</v>
      </c>
      <c r="T654" s="50"/>
      <c r="U654" s="51"/>
    </row>
    <row r="655" spans="1:21" ht="24.75" customHeight="1" x14ac:dyDescent="0.3">
      <c r="A655" s="38" t="str">
        <f>IFERROR(VLOOKUP(D655,'[1]Product Datasheet'!$A:$G,2,0),"")</f>
        <v/>
      </c>
      <c r="B655" s="39" t="str">
        <f>IFERROR(VLOOKUP(D655,'[1]Product Datasheet'!$A:$G,3,0),"")</f>
        <v/>
      </c>
      <c r="C655" s="40"/>
      <c r="D655" s="41"/>
      <c r="E655" s="41"/>
      <c r="F655" s="41"/>
      <c r="G655" s="42"/>
      <c r="H655" s="43"/>
      <c r="I655" s="42"/>
      <c r="J655" s="44"/>
      <c r="K655" s="44"/>
      <c r="L655" s="44"/>
      <c r="M655" s="45" t="str">
        <f t="shared" si="26"/>
        <v>Pass</v>
      </c>
      <c r="N655" s="46" t="str">
        <f>IFERROR(VLOOKUP(D655,'[1]Product Datasheet'!$A:$G,4,0),"")</f>
        <v/>
      </c>
      <c r="O655" s="47" t="str">
        <f>IFERROR(VLOOKUP(D655,'[1]Product Datasheet'!$A:$G,5,0),"")</f>
        <v/>
      </c>
      <c r="P655" s="47" t="str">
        <f>IFERROR(VLOOKUP(D655,'[1]Product Datasheet'!$A:$G,6,0),"")</f>
        <v/>
      </c>
      <c r="Q655" s="47" t="str">
        <f>IFERROR(VLOOKUP(D655,'[1]Product Datasheet'!$A:$G,7,0), "")</f>
        <v/>
      </c>
      <c r="R655" s="48"/>
      <c r="S655" s="49" t="str">
        <f t="shared" si="27"/>
        <v>Accept</v>
      </c>
      <c r="T655" s="50"/>
      <c r="U655" s="51"/>
    </row>
    <row r="656" spans="1:21" ht="24.75" customHeight="1" x14ac:dyDescent="0.3">
      <c r="A656" s="38" t="str">
        <f>IFERROR(VLOOKUP(D656,'[1]Product Datasheet'!$A:$G,2,0),"")</f>
        <v/>
      </c>
      <c r="B656" s="39" t="str">
        <f>IFERROR(VLOOKUP(D656,'[1]Product Datasheet'!$A:$G,3,0),"")</f>
        <v/>
      </c>
      <c r="C656" s="40"/>
      <c r="D656" s="41"/>
      <c r="E656" s="41"/>
      <c r="F656" s="41"/>
      <c r="G656" s="42"/>
      <c r="H656" s="43"/>
      <c r="I656" s="42"/>
      <c r="J656" s="44"/>
      <c r="K656" s="44"/>
      <c r="L656" s="44"/>
      <c r="M656" s="45" t="str">
        <f t="shared" si="26"/>
        <v>Pass</v>
      </c>
      <c r="N656" s="46" t="str">
        <f>IFERROR(VLOOKUP(D656,'[1]Product Datasheet'!$A:$G,4,0),"")</f>
        <v/>
      </c>
      <c r="O656" s="47" t="str">
        <f>IFERROR(VLOOKUP(D656,'[1]Product Datasheet'!$A:$G,5,0),"")</f>
        <v/>
      </c>
      <c r="P656" s="47" t="str">
        <f>IFERROR(VLOOKUP(D656,'[1]Product Datasheet'!$A:$G,6,0),"")</f>
        <v/>
      </c>
      <c r="Q656" s="47" t="str">
        <f>IFERROR(VLOOKUP(D656,'[1]Product Datasheet'!$A:$G,7,0), "")</f>
        <v/>
      </c>
      <c r="R656" s="48"/>
      <c r="S656" s="49" t="str">
        <f t="shared" si="27"/>
        <v>Accept</v>
      </c>
      <c r="T656" s="50"/>
      <c r="U656" s="51"/>
    </row>
    <row r="657" spans="1:21" ht="24.75" customHeight="1" x14ac:dyDescent="0.3">
      <c r="A657" s="38" t="str">
        <f>IFERROR(VLOOKUP(D657,'[1]Product Datasheet'!$A:$G,2,0),"")</f>
        <v/>
      </c>
      <c r="B657" s="39" t="str">
        <f>IFERROR(VLOOKUP(D657,'[1]Product Datasheet'!$A:$G,3,0),"")</f>
        <v/>
      </c>
      <c r="C657" s="40"/>
      <c r="D657" s="41"/>
      <c r="E657" s="41"/>
      <c r="F657" s="41"/>
      <c r="G657" s="42"/>
      <c r="H657" s="43"/>
      <c r="I657" s="42"/>
      <c r="J657" s="44"/>
      <c r="K657" s="44"/>
      <c r="L657" s="44"/>
      <c r="M657" s="45" t="str">
        <f t="shared" si="26"/>
        <v>Pass</v>
      </c>
      <c r="N657" s="46" t="str">
        <f>IFERROR(VLOOKUP(D657,'[1]Product Datasheet'!$A:$G,4,0),"")</f>
        <v/>
      </c>
      <c r="O657" s="47" t="str">
        <f>IFERROR(VLOOKUP(D657,'[1]Product Datasheet'!$A:$G,5,0),"")</f>
        <v/>
      </c>
      <c r="P657" s="47" t="str">
        <f>IFERROR(VLOOKUP(D657,'[1]Product Datasheet'!$A:$G,6,0),"")</f>
        <v/>
      </c>
      <c r="Q657" s="47" t="str">
        <f>IFERROR(VLOOKUP(D657,'[1]Product Datasheet'!$A:$G,7,0), "")</f>
        <v/>
      </c>
      <c r="R657" s="48"/>
      <c r="S657" s="49" t="str">
        <f t="shared" si="27"/>
        <v>Accept</v>
      </c>
      <c r="T657" s="50"/>
      <c r="U657" s="51"/>
    </row>
    <row r="658" spans="1:21" ht="24.75" customHeight="1" x14ac:dyDescent="0.3">
      <c r="A658" s="38" t="str">
        <f>IFERROR(VLOOKUP(D658,'[1]Product Datasheet'!$A:$G,2,0),"")</f>
        <v/>
      </c>
      <c r="B658" s="39" t="str">
        <f>IFERROR(VLOOKUP(D658,'[1]Product Datasheet'!$A:$G,3,0),"")</f>
        <v/>
      </c>
      <c r="C658" s="40"/>
      <c r="D658" s="41"/>
      <c r="E658" s="41"/>
      <c r="F658" s="41"/>
      <c r="G658" s="42"/>
      <c r="H658" s="43"/>
      <c r="I658" s="42"/>
      <c r="J658" s="44"/>
      <c r="K658" s="44"/>
      <c r="L658" s="44"/>
      <c r="M658" s="45" t="str">
        <f t="shared" si="26"/>
        <v>Pass</v>
      </c>
      <c r="N658" s="46" t="str">
        <f>IFERROR(VLOOKUP(D658,'[1]Product Datasheet'!$A:$G,4,0),"")</f>
        <v/>
      </c>
      <c r="O658" s="47" t="str">
        <f>IFERROR(VLOOKUP(D658,'[1]Product Datasheet'!$A:$G,5,0),"")</f>
        <v/>
      </c>
      <c r="P658" s="47" t="str">
        <f>IFERROR(VLOOKUP(D658,'[1]Product Datasheet'!$A:$G,6,0),"")</f>
        <v/>
      </c>
      <c r="Q658" s="47" t="str">
        <f>IFERROR(VLOOKUP(D658,'[1]Product Datasheet'!$A:$G,7,0), "")</f>
        <v/>
      </c>
      <c r="R658" s="48"/>
      <c r="S658" s="49" t="str">
        <f t="shared" si="27"/>
        <v>Accept</v>
      </c>
      <c r="T658" s="50"/>
      <c r="U658" s="51"/>
    </row>
    <row r="659" spans="1:21" ht="24.75" customHeight="1" x14ac:dyDescent="0.3">
      <c r="A659" s="38" t="str">
        <f>IFERROR(VLOOKUP(D659,'[1]Product Datasheet'!$A:$G,2,0),"")</f>
        <v/>
      </c>
      <c r="B659" s="39" t="str">
        <f>IFERROR(VLOOKUP(D659,'[1]Product Datasheet'!$A:$G,3,0),"")</f>
        <v/>
      </c>
      <c r="C659" s="40"/>
      <c r="D659" s="41"/>
      <c r="E659" s="41"/>
      <c r="F659" s="41"/>
      <c r="G659" s="42"/>
      <c r="H659" s="43"/>
      <c r="I659" s="42"/>
      <c r="J659" s="44"/>
      <c r="K659" s="44"/>
      <c r="L659" s="44"/>
      <c r="M659" s="45" t="str">
        <f t="shared" si="26"/>
        <v>Pass</v>
      </c>
      <c r="N659" s="46" t="str">
        <f>IFERROR(VLOOKUP(D659,'[1]Product Datasheet'!$A:$G,4,0),"")</f>
        <v/>
      </c>
      <c r="O659" s="47" t="str">
        <f>IFERROR(VLOOKUP(D659,'[1]Product Datasheet'!$A:$G,5,0),"")</f>
        <v/>
      </c>
      <c r="P659" s="47" t="str">
        <f>IFERROR(VLOOKUP(D659,'[1]Product Datasheet'!$A:$G,6,0),"")</f>
        <v/>
      </c>
      <c r="Q659" s="47" t="str">
        <f>IFERROR(VLOOKUP(D659,'[1]Product Datasheet'!$A:$G,7,0), "")</f>
        <v/>
      </c>
      <c r="R659" s="48"/>
      <c r="S659" s="49" t="str">
        <f t="shared" si="27"/>
        <v>Accept</v>
      </c>
      <c r="T659" s="50"/>
      <c r="U659" s="51"/>
    </row>
    <row r="660" spans="1:21" ht="24.75" customHeight="1" x14ac:dyDescent="0.3">
      <c r="A660" s="38" t="str">
        <f>IFERROR(VLOOKUP(D660,'[1]Product Datasheet'!$A:$G,2,0),"")</f>
        <v/>
      </c>
      <c r="B660" s="39" t="str">
        <f>IFERROR(VLOOKUP(D660,'[1]Product Datasheet'!$A:$G,3,0),"")</f>
        <v/>
      </c>
      <c r="C660" s="40"/>
      <c r="D660" s="41"/>
      <c r="E660" s="41"/>
      <c r="F660" s="41"/>
      <c r="G660" s="42"/>
      <c r="H660" s="43"/>
      <c r="I660" s="42"/>
      <c r="J660" s="44"/>
      <c r="K660" s="44"/>
      <c r="L660" s="44"/>
      <c r="M660" s="45" t="str">
        <f t="shared" si="26"/>
        <v>Pass</v>
      </c>
      <c r="N660" s="46" t="str">
        <f>IFERROR(VLOOKUP(D660,'[1]Product Datasheet'!$A:$G,4,0),"")</f>
        <v/>
      </c>
      <c r="O660" s="47" t="str">
        <f>IFERROR(VLOOKUP(D660,'[1]Product Datasheet'!$A:$G,5,0),"")</f>
        <v/>
      </c>
      <c r="P660" s="47" t="str">
        <f>IFERROR(VLOOKUP(D660,'[1]Product Datasheet'!$A:$G,6,0),"")</f>
        <v/>
      </c>
      <c r="Q660" s="47" t="str">
        <f>IFERROR(VLOOKUP(D660,'[1]Product Datasheet'!$A:$G,7,0), "")</f>
        <v/>
      </c>
      <c r="R660" s="48"/>
      <c r="S660" s="49" t="str">
        <f t="shared" si="27"/>
        <v>Accept</v>
      </c>
      <c r="T660" s="50"/>
      <c r="U660" s="51"/>
    </row>
    <row r="661" spans="1:21" ht="24.75" customHeight="1" x14ac:dyDescent="0.3">
      <c r="A661" s="38" t="str">
        <f>IFERROR(VLOOKUP(D661,'[1]Product Datasheet'!$A:$G,2,0),"")</f>
        <v/>
      </c>
      <c r="B661" s="39" t="str">
        <f>IFERROR(VLOOKUP(D661,'[1]Product Datasheet'!$A:$G,3,0),"")</f>
        <v/>
      </c>
      <c r="C661" s="40"/>
      <c r="D661" s="41"/>
      <c r="E661" s="41"/>
      <c r="F661" s="41"/>
      <c r="G661" s="42"/>
      <c r="H661" s="43"/>
      <c r="I661" s="42"/>
      <c r="J661" s="44"/>
      <c r="K661" s="44"/>
      <c r="L661" s="44"/>
      <c r="M661" s="45" t="str">
        <f t="shared" si="26"/>
        <v>Pass</v>
      </c>
      <c r="N661" s="46" t="str">
        <f>IFERROR(VLOOKUP(D661,'[1]Product Datasheet'!$A:$G,4,0),"")</f>
        <v/>
      </c>
      <c r="O661" s="47" t="str">
        <f>IFERROR(VLOOKUP(D661,'[1]Product Datasheet'!$A:$G,5,0),"")</f>
        <v/>
      </c>
      <c r="P661" s="47" t="str">
        <f>IFERROR(VLOOKUP(D661,'[1]Product Datasheet'!$A:$G,6,0),"")</f>
        <v/>
      </c>
      <c r="Q661" s="47" t="str">
        <f>IFERROR(VLOOKUP(D661,'[1]Product Datasheet'!$A:$G,7,0), "")</f>
        <v/>
      </c>
      <c r="R661" s="48"/>
      <c r="S661" s="49" t="str">
        <f t="shared" si="27"/>
        <v>Accept</v>
      </c>
      <c r="T661" s="50"/>
      <c r="U661" s="51"/>
    </row>
    <row r="662" spans="1:21" ht="24.75" customHeight="1" x14ac:dyDescent="0.3">
      <c r="A662" s="38" t="str">
        <f>IFERROR(VLOOKUP(D662,'[1]Product Datasheet'!$A:$G,2,0),"")</f>
        <v/>
      </c>
      <c r="B662" s="39" t="str">
        <f>IFERROR(VLOOKUP(D662,'[1]Product Datasheet'!$A:$G,3,0),"")</f>
        <v/>
      </c>
      <c r="C662" s="40"/>
      <c r="D662" s="41"/>
      <c r="E662" s="41"/>
      <c r="F662" s="41"/>
      <c r="G662" s="42"/>
      <c r="H662" s="43"/>
      <c r="I662" s="42"/>
      <c r="J662" s="44"/>
      <c r="K662" s="44"/>
      <c r="L662" s="44"/>
      <c r="M662" s="45" t="str">
        <f t="shared" si="26"/>
        <v>Pass</v>
      </c>
      <c r="N662" s="46" t="str">
        <f>IFERROR(VLOOKUP(D662,'[1]Product Datasheet'!$A:$G,4,0),"")</f>
        <v/>
      </c>
      <c r="O662" s="47" t="str">
        <f>IFERROR(VLOOKUP(D662,'[1]Product Datasheet'!$A:$G,5,0),"")</f>
        <v/>
      </c>
      <c r="P662" s="47" t="str">
        <f>IFERROR(VLOOKUP(D662,'[1]Product Datasheet'!$A:$G,6,0),"")</f>
        <v/>
      </c>
      <c r="Q662" s="47" t="str">
        <f>IFERROR(VLOOKUP(D662,'[1]Product Datasheet'!$A:$G,7,0), "")</f>
        <v/>
      </c>
      <c r="R662" s="48"/>
      <c r="S662" s="49" t="str">
        <f t="shared" si="27"/>
        <v>Accept</v>
      </c>
      <c r="T662" s="50"/>
      <c r="U662" s="51"/>
    </row>
    <row r="663" spans="1:21" ht="24.75" customHeight="1" x14ac:dyDescent="0.3">
      <c r="A663" s="38" t="str">
        <f>IFERROR(VLOOKUP(D663,'[1]Product Datasheet'!$A:$G,2,0),"")</f>
        <v/>
      </c>
      <c r="B663" s="39" t="str">
        <f>IFERROR(VLOOKUP(D663,'[1]Product Datasheet'!$A:$G,3,0),"")</f>
        <v/>
      </c>
      <c r="C663" s="40"/>
      <c r="D663" s="41"/>
      <c r="E663" s="41"/>
      <c r="F663" s="41"/>
      <c r="G663" s="42"/>
      <c r="H663" s="43"/>
      <c r="I663" s="42"/>
      <c r="J663" s="44"/>
      <c r="K663" s="44"/>
      <c r="L663" s="44"/>
      <c r="M663" s="45" t="str">
        <f t="shared" si="26"/>
        <v>Pass</v>
      </c>
      <c r="N663" s="46" t="str">
        <f>IFERROR(VLOOKUP(D663,'[1]Product Datasheet'!$A:$G,4,0),"")</f>
        <v/>
      </c>
      <c r="O663" s="47" t="str">
        <f>IFERROR(VLOOKUP(D663,'[1]Product Datasheet'!$A:$G,5,0),"")</f>
        <v/>
      </c>
      <c r="P663" s="47" t="str">
        <f>IFERROR(VLOOKUP(D663,'[1]Product Datasheet'!$A:$G,6,0),"")</f>
        <v/>
      </c>
      <c r="Q663" s="47" t="str">
        <f>IFERROR(VLOOKUP(D663,'[1]Product Datasheet'!$A:$G,7,0), "")</f>
        <v/>
      </c>
      <c r="R663" s="48"/>
      <c r="S663" s="49" t="str">
        <f t="shared" si="27"/>
        <v>Accept</v>
      </c>
      <c r="T663" s="50"/>
      <c r="U663" s="51"/>
    </row>
    <row r="664" spans="1:21" ht="24.75" customHeight="1" x14ac:dyDescent="0.3">
      <c r="A664" s="38" t="str">
        <f>IFERROR(VLOOKUP(D664,'[1]Product Datasheet'!$A:$G,2,0),"")</f>
        <v/>
      </c>
      <c r="B664" s="39" t="str">
        <f>IFERROR(VLOOKUP(D664,'[1]Product Datasheet'!$A:$G,3,0),"")</f>
        <v/>
      </c>
      <c r="C664" s="40"/>
      <c r="D664" s="41"/>
      <c r="E664" s="41"/>
      <c r="F664" s="41"/>
      <c r="G664" s="42"/>
      <c r="H664" s="43"/>
      <c r="I664" s="42"/>
      <c r="J664" s="44"/>
      <c r="K664" s="44"/>
      <c r="L664" s="44"/>
      <c r="M664" s="45" t="str">
        <f t="shared" si="26"/>
        <v>Pass</v>
      </c>
      <c r="N664" s="46" t="str">
        <f>IFERROR(VLOOKUP(D664,'[1]Product Datasheet'!$A:$G,4,0),"")</f>
        <v/>
      </c>
      <c r="O664" s="47" t="str">
        <f>IFERROR(VLOOKUP(D664,'[1]Product Datasheet'!$A:$G,5,0),"")</f>
        <v/>
      </c>
      <c r="P664" s="47" t="str">
        <f>IFERROR(VLOOKUP(D664,'[1]Product Datasheet'!$A:$G,6,0),"")</f>
        <v/>
      </c>
      <c r="Q664" s="47" t="str">
        <f>IFERROR(VLOOKUP(D664,'[1]Product Datasheet'!$A:$G,7,0), "")</f>
        <v/>
      </c>
      <c r="R664" s="48"/>
      <c r="S664" s="49" t="str">
        <f t="shared" si="27"/>
        <v>Accept</v>
      </c>
      <c r="T664" s="50"/>
      <c r="U664" s="51"/>
    </row>
    <row r="665" spans="1:21" ht="24.75" customHeight="1" x14ac:dyDescent="0.3">
      <c r="A665" s="38" t="str">
        <f>IFERROR(VLOOKUP(D665,'[1]Product Datasheet'!$A:$G,2,0),"")</f>
        <v/>
      </c>
      <c r="B665" s="39" t="str">
        <f>IFERROR(VLOOKUP(D665,'[1]Product Datasheet'!$A:$G,3,0),"")</f>
        <v/>
      </c>
      <c r="C665" s="40"/>
      <c r="D665" s="41"/>
      <c r="E665" s="41"/>
      <c r="F665" s="41"/>
      <c r="G665" s="42"/>
      <c r="H665" s="43"/>
      <c r="I665" s="42"/>
      <c r="J665" s="44"/>
      <c r="K665" s="44"/>
      <c r="L665" s="44"/>
      <c r="M665" s="45" t="str">
        <f t="shared" si="26"/>
        <v>Pass</v>
      </c>
      <c r="N665" s="46" t="str">
        <f>IFERROR(VLOOKUP(D665,'[1]Product Datasheet'!$A:$G,4,0),"")</f>
        <v/>
      </c>
      <c r="O665" s="47" t="str">
        <f>IFERROR(VLOOKUP(D665,'[1]Product Datasheet'!$A:$G,5,0),"")</f>
        <v/>
      </c>
      <c r="P665" s="47" t="str">
        <f>IFERROR(VLOOKUP(D665,'[1]Product Datasheet'!$A:$G,6,0),"")</f>
        <v/>
      </c>
      <c r="Q665" s="47" t="str">
        <f>IFERROR(VLOOKUP(D665,'[1]Product Datasheet'!$A:$G,7,0), "")</f>
        <v/>
      </c>
      <c r="R665" s="48"/>
      <c r="S665" s="49" t="str">
        <f t="shared" si="27"/>
        <v>Accept</v>
      </c>
      <c r="T665" s="50"/>
      <c r="U665" s="51"/>
    </row>
    <row r="666" spans="1:21" ht="24.75" customHeight="1" x14ac:dyDescent="0.3">
      <c r="A666" s="38" t="str">
        <f>IFERROR(VLOOKUP(D666,'[1]Product Datasheet'!$A:$G,2,0),"")</f>
        <v/>
      </c>
      <c r="B666" s="39" t="str">
        <f>IFERROR(VLOOKUP(D666,'[1]Product Datasheet'!$A:$G,3,0),"")</f>
        <v/>
      </c>
      <c r="C666" s="40"/>
      <c r="D666" s="41"/>
      <c r="E666" s="41"/>
      <c r="F666" s="41"/>
      <c r="G666" s="42"/>
      <c r="H666" s="43"/>
      <c r="I666" s="42"/>
      <c r="J666" s="44"/>
      <c r="K666" s="44"/>
      <c r="L666" s="44"/>
      <c r="M666" s="45" t="str">
        <f t="shared" si="26"/>
        <v>Pass</v>
      </c>
      <c r="N666" s="46" t="str">
        <f>IFERROR(VLOOKUP(D666,'[1]Product Datasheet'!$A:$G,4,0),"")</f>
        <v/>
      </c>
      <c r="O666" s="47" t="str">
        <f>IFERROR(VLOOKUP(D666,'[1]Product Datasheet'!$A:$G,5,0),"")</f>
        <v/>
      </c>
      <c r="P666" s="47" t="str">
        <f>IFERROR(VLOOKUP(D666,'[1]Product Datasheet'!$A:$G,6,0),"")</f>
        <v/>
      </c>
      <c r="Q666" s="47" t="str">
        <f>IFERROR(VLOOKUP(D666,'[1]Product Datasheet'!$A:$G,7,0), "")</f>
        <v/>
      </c>
      <c r="R666" s="48"/>
      <c r="S666" s="49" t="str">
        <f t="shared" si="27"/>
        <v>Accept</v>
      </c>
      <c r="T666" s="50"/>
      <c r="U666" s="51"/>
    </row>
    <row r="667" spans="1:21" ht="24.75" customHeight="1" x14ac:dyDescent="0.3">
      <c r="A667" s="38" t="str">
        <f>IFERROR(VLOOKUP(D667,'[1]Product Datasheet'!$A:$G,2,0),"")</f>
        <v/>
      </c>
      <c r="B667" s="39" t="str">
        <f>IFERROR(VLOOKUP(D667,'[1]Product Datasheet'!$A:$G,3,0),"")</f>
        <v/>
      </c>
      <c r="C667" s="40"/>
      <c r="D667" s="41"/>
      <c r="E667" s="41"/>
      <c r="F667" s="41"/>
      <c r="G667" s="42"/>
      <c r="H667" s="43"/>
      <c r="I667" s="42"/>
      <c r="J667" s="44"/>
      <c r="K667" s="44"/>
      <c r="L667" s="44"/>
      <c r="M667" s="45" t="str">
        <f t="shared" si="26"/>
        <v>Pass</v>
      </c>
      <c r="N667" s="46" t="str">
        <f>IFERROR(VLOOKUP(D667,'[1]Product Datasheet'!$A:$G,4,0),"")</f>
        <v/>
      </c>
      <c r="O667" s="47" t="str">
        <f>IFERROR(VLOOKUP(D667,'[1]Product Datasheet'!$A:$G,5,0),"")</f>
        <v/>
      </c>
      <c r="P667" s="47" t="str">
        <f>IFERROR(VLOOKUP(D667,'[1]Product Datasheet'!$A:$G,6,0),"")</f>
        <v/>
      </c>
      <c r="Q667" s="47" t="str">
        <f>IFERROR(VLOOKUP(D667,'[1]Product Datasheet'!$A:$G,7,0), "")</f>
        <v/>
      </c>
      <c r="R667" s="48"/>
      <c r="S667" s="49" t="str">
        <f t="shared" si="27"/>
        <v>Accept</v>
      </c>
      <c r="T667" s="50"/>
      <c r="U667" s="51"/>
    </row>
    <row r="668" spans="1:21" ht="24.75" customHeight="1" x14ac:dyDescent="0.3">
      <c r="A668" s="38" t="str">
        <f>IFERROR(VLOOKUP(D668,'[1]Product Datasheet'!$A:$G,2,0),"")</f>
        <v/>
      </c>
      <c r="B668" s="39" t="str">
        <f>IFERROR(VLOOKUP(D668,'[1]Product Datasheet'!$A:$G,3,0),"")</f>
        <v/>
      </c>
      <c r="C668" s="40"/>
      <c r="D668" s="41"/>
      <c r="E668" s="41"/>
      <c r="F668" s="41"/>
      <c r="G668" s="42"/>
      <c r="H668" s="43"/>
      <c r="I668" s="42"/>
      <c r="J668" s="44"/>
      <c r="K668" s="44"/>
      <c r="L668" s="44"/>
      <c r="M668" s="45" t="str">
        <f t="shared" si="26"/>
        <v>Pass</v>
      </c>
      <c r="N668" s="46" t="str">
        <f>IFERROR(VLOOKUP(D668,'[1]Product Datasheet'!$A:$G,4,0),"")</f>
        <v/>
      </c>
      <c r="O668" s="47" t="str">
        <f>IFERROR(VLOOKUP(D668,'[1]Product Datasheet'!$A:$G,5,0),"")</f>
        <v/>
      </c>
      <c r="P668" s="47" t="str">
        <f>IFERROR(VLOOKUP(D668,'[1]Product Datasheet'!$A:$G,6,0),"")</f>
        <v/>
      </c>
      <c r="Q668" s="47" t="str">
        <f>IFERROR(VLOOKUP(D668,'[1]Product Datasheet'!$A:$G,7,0), "")</f>
        <v/>
      </c>
      <c r="R668" s="48"/>
      <c r="S668" s="49" t="str">
        <f t="shared" si="27"/>
        <v>Accept</v>
      </c>
      <c r="T668" s="50"/>
      <c r="U668" s="51"/>
    </row>
    <row r="669" spans="1:21" ht="24.75" customHeight="1" x14ac:dyDescent="0.3">
      <c r="A669" s="38" t="str">
        <f>IFERROR(VLOOKUP(D669,'[1]Product Datasheet'!$A:$G,2,0),"")</f>
        <v/>
      </c>
      <c r="B669" s="39" t="str">
        <f>IFERROR(VLOOKUP(D669,'[1]Product Datasheet'!$A:$G,3,0),"")</f>
        <v/>
      </c>
      <c r="C669" s="40"/>
      <c r="D669" s="41"/>
      <c r="E669" s="41"/>
      <c r="F669" s="41"/>
      <c r="G669" s="42"/>
      <c r="H669" s="43"/>
      <c r="I669" s="42"/>
      <c r="J669" s="44"/>
      <c r="K669" s="44"/>
      <c r="L669" s="44"/>
      <c r="M669" s="45" t="str">
        <f t="shared" si="26"/>
        <v>Pass</v>
      </c>
      <c r="N669" s="46" t="str">
        <f>IFERROR(VLOOKUP(D669,'[1]Product Datasheet'!$A:$G,4,0),"")</f>
        <v/>
      </c>
      <c r="O669" s="47" t="str">
        <f>IFERROR(VLOOKUP(D669,'[1]Product Datasheet'!$A:$G,5,0),"")</f>
        <v/>
      </c>
      <c r="P669" s="47" t="str">
        <f>IFERROR(VLOOKUP(D669,'[1]Product Datasheet'!$A:$G,6,0),"")</f>
        <v/>
      </c>
      <c r="Q669" s="47" t="str">
        <f>IFERROR(VLOOKUP(D669,'[1]Product Datasheet'!$A:$G,7,0), "")</f>
        <v/>
      </c>
      <c r="R669" s="48"/>
      <c r="S669" s="49" t="str">
        <f t="shared" si="27"/>
        <v>Accept</v>
      </c>
      <c r="T669" s="50"/>
      <c r="U669" s="51"/>
    </row>
    <row r="670" spans="1:21" ht="24.75" customHeight="1" x14ac:dyDescent="0.3">
      <c r="A670" s="38" t="str">
        <f>IFERROR(VLOOKUP(D670,'[1]Product Datasheet'!$A:$G,2,0),"")</f>
        <v/>
      </c>
      <c r="B670" s="39" t="str">
        <f>IFERROR(VLOOKUP(D670,'[1]Product Datasheet'!$A:$G,3,0),"")</f>
        <v/>
      </c>
      <c r="C670" s="40"/>
      <c r="D670" s="41"/>
      <c r="E670" s="41"/>
      <c r="F670" s="41"/>
      <c r="G670" s="42"/>
      <c r="H670" s="43"/>
      <c r="I670" s="42"/>
      <c r="J670" s="44"/>
      <c r="K670" s="44"/>
      <c r="L670" s="44"/>
      <c r="M670" s="45" t="str">
        <f t="shared" si="26"/>
        <v>Pass</v>
      </c>
      <c r="N670" s="46" t="str">
        <f>IFERROR(VLOOKUP(D670,'[1]Product Datasheet'!$A:$G,4,0),"")</f>
        <v/>
      </c>
      <c r="O670" s="47" t="str">
        <f>IFERROR(VLOOKUP(D670,'[1]Product Datasheet'!$A:$G,5,0),"")</f>
        <v/>
      </c>
      <c r="P670" s="47" t="str">
        <f>IFERROR(VLOOKUP(D670,'[1]Product Datasheet'!$A:$G,6,0),"")</f>
        <v/>
      </c>
      <c r="Q670" s="47" t="str">
        <f>IFERROR(VLOOKUP(D670,'[1]Product Datasheet'!$A:$G,7,0), "")</f>
        <v/>
      </c>
      <c r="R670" s="48"/>
      <c r="S670" s="49" t="str">
        <f t="shared" si="27"/>
        <v>Accept</v>
      </c>
      <c r="T670" s="50"/>
      <c r="U670" s="51"/>
    </row>
    <row r="671" spans="1:21" ht="24.75" customHeight="1" x14ac:dyDescent="0.3">
      <c r="A671" s="38" t="str">
        <f>IFERROR(VLOOKUP(D671,'[1]Product Datasheet'!$A:$G,2,0),"")</f>
        <v/>
      </c>
      <c r="B671" s="39" t="str">
        <f>IFERROR(VLOOKUP(D671,'[1]Product Datasheet'!$A:$G,3,0),"")</f>
        <v/>
      </c>
      <c r="C671" s="40"/>
      <c r="D671" s="41"/>
      <c r="E671" s="41"/>
      <c r="F671" s="41"/>
      <c r="G671" s="42"/>
      <c r="H671" s="43"/>
      <c r="I671" s="42"/>
      <c r="J671" s="44"/>
      <c r="K671" s="44"/>
      <c r="L671" s="44"/>
      <c r="M671" s="45" t="str">
        <f t="shared" si="26"/>
        <v>Pass</v>
      </c>
      <c r="N671" s="46" t="str">
        <f>IFERROR(VLOOKUP(D671,'[1]Product Datasheet'!$A:$G,4,0),"")</f>
        <v/>
      </c>
      <c r="O671" s="47" t="str">
        <f>IFERROR(VLOOKUP(D671,'[1]Product Datasheet'!$A:$G,5,0),"")</f>
        <v/>
      </c>
      <c r="P671" s="47" t="str">
        <f>IFERROR(VLOOKUP(D671,'[1]Product Datasheet'!$A:$G,6,0),"")</f>
        <v/>
      </c>
      <c r="Q671" s="47" t="str">
        <f>IFERROR(VLOOKUP(D671,'[1]Product Datasheet'!$A:$G,7,0), "")</f>
        <v/>
      </c>
      <c r="R671" s="48"/>
      <c r="S671" s="49" t="str">
        <f t="shared" si="27"/>
        <v>Accept</v>
      </c>
      <c r="T671" s="50"/>
      <c r="U671" s="51"/>
    </row>
    <row r="672" spans="1:21" ht="24.75" customHeight="1" x14ac:dyDescent="0.3">
      <c r="A672" s="38" t="str">
        <f>IFERROR(VLOOKUP(D672,'[1]Product Datasheet'!$A:$G,2,0),"")</f>
        <v/>
      </c>
      <c r="B672" s="39" t="str">
        <f>IFERROR(VLOOKUP(D672,'[1]Product Datasheet'!$A:$G,3,0),"")</f>
        <v/>
      </c>
      <c r="C672" s="40"/>
      <c r="D672" s="41"/>
      <c r="E672" s="41"/>
      <c r="F672" s="41"/>
      <c r="G672" s="42"/>
      <c r="H672" s="43"/>
      <c r="I672" s="42"/>
      <c r="J672" s="44"/>
      <c r="K672" s="44"/>
      <c r="L672" s="44"/>
      <c r="M672" s="45" t="str">
        <f t="shared" si="26"/>
        <v>Pass</v>
      </c>
      <c r="N672" s="46" t="str">
        <f>IFERROR(VLOOKUP(D672,'[1]Product Datasheet'!$A:$G,4,0),"")</f>
        <v/>
      </c>
      <c r="O672" s="47" t="str">
        <f>IFERROR(VLOOKUP(D672,'[1]Product Datasheet'!$A:$G,5,0),"")</f>
        <v/>
      </c>
      <c r="P672" s="47" t="str">
        <f>IFERROR(VLOOKUP(D672,'[1]Product Datasheet'!$A:$G,6,0),"")</f>
        <v/>
      </c>
      <c r="Q672" s="47" t="str">
        <f>IFERROR(VLOOKUP(D672,'[1]Product Datasheet'!$A:$G,7,0), "")</f>
        <v/>
      </c>
      <c r="R672" s="48"/>
      <c r="S672" s="49" t="str">
        <f t="shared" si="27"/>
        <v>Accept</v>
      </c>
      <c r="T672" s="50"/>
      <c r="U672" s="51"/>
    </row>
    <row r="673" spans="1:21" ht="24.75" customHeight="1" x14ac:dyDescent="0.3">
      <c r="A673" s="38" t="str">
        <f>IFERROR(VLOOKUP(D673,'[1]Product Datasheet'!$A:$G,2,0),"")</f>
        <v/>
      </c>
      <c r="B673" s="39" t="str">
        <f>IFERROR(VLOOKUP(D673,'[1]Product Datasheet'!$A:$G,3,0),"")</f>
        <v/>
      </c>
      <c r="C673" s="40"/>
      <c r="D673" s="41"/>
      <c r="E673" s="41"/>
      <c r="F673" s="41"/>
      <c r="G673" s="42"/>
      <c r="H673" s="43"/>
      <c r="I673" s="42"/>
      <c r="J673" s="44"/>
      <c r="K673" s="44"/>
      <c r="L673" s="44"/>
      <c r="M673" s="45" t="str">
        <f t="shared" si="26"/>
        <v>Pass</v>
      </c>
      <c r="N673" s="46" t="str">
        <f>IFERROR(VLOOKUP(D673,'[1]Product Datasheet'!$A:$G,4,0),"")</f>
        <v/>
      </c>
      <c r="O673" s="47" t="str">
        <f>IFERROR(VLOOKUP(D673,'[1]Product Datasheet'!$A:$G,5,0),"")</f>
        <v/>
      </c>
      <c r="P673" s="47" t="str">
        <f>IFERROR(VLOOKUP(D673,'[1]Product Datasheet'!$A:$G,6,0),"")</f>
        <v/>
      </c>
      <c r="Q673" s="47" t="str">
        <f>IFERROR(VLOOKUP(D673,'[1]Product Datasheet'!$A:$G,7,0), "")</f>
        <v/>
      </c>
      <c r="R673" s="48"/>
      <c r="S673" s="49" t="str">
        <f t="shared" si="27"/>
        <v>Accept</v>
      </c>
      <c r="T673" s="50"/>
      <c r="U673" s="51"/>
    </row>
    <row r="674" spans="1:21" ht="24.75" customHeight="1" x14ac:dyDescent="0.3">
      <c r="A674" s="38" t="str">
        <f>IFERROR(VLOOKUP(D674,'[1]Product Datasheet'!$A:$G,2,0),"")</f>
        <v/>
      </c>
      <c r="B674" s="39" t="str">
        <f>IFERROR(VLOOKUP(D674,'[1]Product Datasheet'!$A:$G,3,0),"")</f>
        <v/>
      </c>
      <c r="C674" s="40"/>
      <c r="D674" s="41"/>
      <c r="E674" s="41"/>
      <c r="F674" s="41"/>
      <c r="G674" s="42"/>
      <c r="H674" s="43"/>
      <c r="I674" s="42"/>
      <c r="J674" s="44"/>
      <c r="K674" s="44"/>
      <c r="L674" s="44"/>
      <c r="M674" s="45" t="str">
        <f t="shared" si="26"/>
        <v>Pass</v>
      </c>
      <c r="N674" s="46" t="str">
        <f>IFERROR(VLOOKUP(D674,'[1]Product Datasheet'!$A:$G,4,0),"")</f>
        <v/>
      </c>
      <c r="O674" s="47" t="str">
        <f>IFERROR(VLOOKUP(D674,'[1]Product Datasheet'!$A:$G,5,0),"")</f>
        <v/>
      </c>
      <c r="P674" s="47" t="str">
        <f>IFERROR(VLOOKUP(D674,'[1]Product Datasheet'!$A:$G,6,0),"")</f>
        <v/>
      </c>
      <c r="Q674" s="47" t="str">
        <f>IFERROR(VLOOKUP(D674,'[1]Product Datasheet'!$A:$G,7,0), "")</f>
        <v/>
      </c>
      <c r="R674" s="48"/>
      <c r="S674" s="49" t="str">
        <f t="shared" si="27"/>
        <v>Accept</v>
      </c>
      <c r="T674" s="50"/>
      <c r="U674" s="51"/>
    </row>
    <row r="675" spans="1:21" ht="24.75" customHeight="1" x14ac:dyDescent="0.3">
      <c r="A675" s="38" t="str">
        <f>IFERROR(VLOOKUP(D675,'[1]Product Datasheet'!$A:$G,2,0),"")</f>
        <v/>
      </c>
      <c r="B675" s="39" t="str">
        <f>IFERROR(VLOOKUP(D675,'[1]Product Datasheet'!$A:$G,3,0),"")</f>
        <v/>
      </c>
      <c r="C675" s="40"/>
      <c r="D675" s="41"/>
      <c r="E675" s="41"/>
      <c r="F675" s="41"/>
      <c r="G675" s="42"/>
      <c r="H675" s="43"/>
      <c r="I675" s="42"/>
      <c r="J675" s="44"/>
      <c r="K675" s="44"/>
      <c r="L675" s="44"/>
      <c r="M675" s="45" t="str">
        <f t="shared" si="26"/>
        <v>Pass</v>
      </c>
      <c r="N675" s="46" t="str">
        <f>IFERROR(VLOOKUP(D675,'[1]Product Datasheet'!$A:$G,4,0),"")</f>
        <v/>
      </c>
      <c r="O675" s="47" t="str">
        <f>IFERROR(VLOOKUP(D675,'[1]Product Datasheet'!$A:$G,5,0),"")</f>
        <v/>
      </c>
      <c r="P675" s="47" t="str">
        <f>IFERROR(VLOOKUP(D675,'[1]Product Datasheet'!$A:$G,6,0),"")</f>
        <v/>
      </c>
      <c r="Q675" s="47" t="str">
        <f>IFERROR(VLOOKUP(D675,'[1]Product Datasheet'!$A:$G,7,0), "")</f>
        <v/>
      </c>
      <c r="R675" s="48"/>
      <c r="S675" s="49" t="str">
        <f t="shared" si="27"/>
        <v>Accept</v>
      </c>
      <c r="T675" s="50"/>
      <c r="U675" s="51"/>
    </row>
    <row r="676" spans="1:21" ht="24.75" customHeight="1" x14ac:dyDescent="0.3">
      <c r="A676" s="38" t="str">
        <f>IFERROR(VLOOKUP(D676,'[1]Product Datasheet'!$A:$G,2,0),"")</f>
        <v/>
      </c>
      <c r="B676" s="39" t="str">
        <f>IFERROR(VLOOKUP(D676,'[1]Product Datasheet'!$A:$G,3,0),"")</f>
        <v/>
      </c>
      <c r="C676" s="40"/>
      <c r="D676" s="41"/>
      <c r="E676" s="41"/>
      <c r="F676" s="41"/>
      <c r="G676" s="42"/>
      <c r="H676" s="43"/>
      <c r="I676" s="42"/>
      <c r="J676" s="44"/>
      <c r="K676" s="44"/>
      <c r="L676" s="44"/>
      <c r="M676" s="45" t="str">
        <f t="shared" si="26"/>
        <v>Pass</v>
      </c>
      <c r="N676" s="46" t="str">
        <f>IFERROR(VLOOKUP(D676,'[1]Product Datasheet'!$A:$G,4,0),"")</f>
        <v/>
      </c>
      <c r="O676" s="47" t="str">
        <f>IFERROR(VLOOKUP(D676,'[1]Product Datasheet'!$A:$G,5,0),"")</f>
        <v/>
      </c>
      <c r="P676" s="47" t="str">
        <f>IFERROR(VLOOKUP(D676,'[1]Product Datasheet'!$A:$G,6,0),"")</f>
        <v/>
      </c>
      <c r="Q676" s="47" t="str">
        <f>IFERROR(VLOOKUP(D676,'[1]Product Datasheet'!$A:$G,7,0), "")</f>
        <v/>
      </c>
      <c r="R676" s="48"/>
      <c r="S676" s="49" t="str">
        <f t="shared" si="27"/>
        <v>Accept</v>
      </c>
      <c r="T676" s="50"/>
      <c r="U676" s="51"/>
    </row>
    <row r="677" spans="1:21" ht="24.75" customHeight="1" x14ac:dyDescent="0.3">
      <c r="A677" s="38" t="str">
        <f>IFERROR(VLOOKUP(D677,'[1]Product Datasheet'!$A:$G,2,0),"")</f>
        <v/>
      </c>
      <c r="B677" s="39" t="str">
        <f>IFERROR(VLOOKUP(D677,'[1]Product Datasheet'!$A:$G,3,0),"")</f>
        <v/>
      </c>
      <c r="C677" s="40"/>
      <c r="D677" s="41"/>
      <c r="E677" s="41"/>
      <c r="F677" s="41"/>
      <c r="G677" s="42"/>
      <c r="H677" s="43"/>
      <c r="I677" s="42"/>
      <c r="J677" s="44"/>
      <c r="K677" s="44"/>
      <c r="L677" s="44"/>
      <c r="M677" s="45" t="str">
        <f t="shared" si="26"/>
        <v>Pass</v>
      </c>
      <c r="N677" s="46" t="str">
        <f>IFERROR(VLOOKUP(D677,'[1]Product Datasheet'!$A:$G,4,0),"")</f>
        <v/>
      </c>
      <c r="O677" s="47" t="str">
        <f>IFERROR(VLOOKUP(D677,'[1]Product Datasheet'!$A:$G,5,0),"")</f>
        <v/>
      </c>
      <c r="P677" s="47" t="str">
        <f>IFERROR(VLOOKUP(D677,'[1]Product Datasheet'!$A:$G,6,0),"")</f>
        <v/>
      </c>
      <c r="Q677" s="47" t="str">
        <f>IFERROR(VLOOKUP(D677,'[1]Product Datasheet'!$A:$G,7,0), "")</f>
        <v/>
      </c>
      <c r="R677" s="48"/>
      <c r="S677" s="49" t="str">
        <f t="shared" si="27"/>
        <v>Accept</v>
      </c>
      <c r="T677" s="50"/>
      <c r="U677" s="51"/>
    </row>
    <row r="678" spans="1:21" ht="24.75" customHeight="1" x14ac:dyDescent="0.3">
      <c r="A678" s="38" t="str">
        <f>IFERROR(VLOOKUP(D678,'[1]Product Datasheet'!$A:$G,2,0),"")</f>
        <v/>
      </c>
      <c r="B678" s="39" t="str">
        <f>IFERROR(VLOOKUP(D678,'[1]Product Datasheet'!$A:$G,3,0),"")</f>
        <v/>
      </c>
      <c r="C678" s="40"/>
      <c r="D678" s="41"/>
      <c r="E678" s="41"/>
      <c r="F678" s="41"/>
      <c r="G678" s="42"/>
      <c r="H678" s="43"/>
      <c r="I678" s="42"/>
      <c r="J678" s="44"/>
      <c r="K678" s="44"/>
      <c r="L678" s="44"/>
      <c r="M678" s="45" t="str">
        <f t="shared" si="26"/>
        <v>Pass</v>
      </c>
      <c r="N678" s="46" t="str">
        <f>IFERROR(VLOOKUP(D678,'[1]Product Datasheet'!$A:$G,4,0),"")</f>
        <v/>
      </c>
      <c r="O678" s="47" t="str">
        <f>IFERROR(VLOOKUP(D678,'[1]Product Datasheet'!$A:$G,5,0),"")</f>
        <v/>
      </c>
      <c r="P678" s="47" t="str">
        <f>IFERROR(VLOOKUP(D678,'[1]Product Datasheet'!$A:$G,6,0),"")</f>
        <v/>
      </c>
      <c r="Q678" s="47" t="str">
        <f>IFERROR(VLOOKUP(D678,'[1]Product Datasheet'!$A:$G,7,0), "")</f>
        <v/>
      </c>
      <c r="R678" s="48"/>
      <c r="S678" s="49" t="str">
        <f t="shared" si="27"/>
        <v>Accept</v>
      </c>
      <c r="T678" s="50"/>
      <c r="U678" s="51"/>
    </row>
    <row r="679" spans="1:21" ht="24.75" customHeight="1" x14ac:dyDescent="0.3">
      <c r="A679" s="38" t="str">
        <f>IFERROR(VLOOKUP(D679,'[1]Product Datasheet'!$A:$G,2,0),"")</f>
        <v/>
      </c>
      <c r="B679" s="39" t="str">
        <f>IFERROR(VLOOKUP(D679,'[1]Product Datasheet'!$A:$G,3,0),"")</f>
        <v/>
      </c>
      <c r="C679" s="40"/>
      <c r="D679" s="41"/>
      <c r="E679" s="41"/>
      <c r="F679" s="41"/>
      <c r="G679" s="42"/>
      <c r="H679" s="43"/>
      <c r="I679" s="42"/>
      <c r="J679" s="44"/>
      <c r="K679" s="44"/>
      <c r="L679" s="44"/>
      <c r="M679" s="45" t="str">
        <f t="shared" si="26"/>
        <v>Pass</v>
      </c>
      <c r="N679" s="46" t="str">
        <f>IFERROR(VLOOKUP(D679,'[1]Product Datasheet'!$A:$G,4,0),"")</f>
        <v/>
      </c>
      <c r="O679" s="47" t="str">
        <f>IFERROR(VLOOKUP(D679,'[1]Product Datasheet'!$A:$G,5,0),"")</f>
        <v/>
      </c>
      <c r="P679" s="47" t="str">
        <f>IFERROR(VLOOKUP(D679,'[1]Product Datasheet'!$A:$G,6,0),"")</f>
        <v/>
      </c>
      <c r="Q679" s="47" t="str">
        <f>IFERROR(VLOOKUP(D679,'[1]Product Datasheet'!$A:$G,7,0), "")</f>
        <v/>
      </c>
      <c r="R679" s="48"/>
      <c r="S679" s="49" t="str">
        <f t="shared" si="27"/>
        <v>Accept</v>
      </c>
      <c r="T679" s="50"/>
      <c r="U679" s="51"/>
    </row>
    <row r="680" spans="1:21" ht="24.75" customHeight="1" x14ac:dyDescent="0.3">
      <c r="A680" s="38" t="str">
        <f>IFERROR(VLOOKUP(D680,'[1]Product Datasheet'!$A:$G,2,0),"")</f>
        <v/>
      </c>
      <c r="B680" s="39" t="str">
        <f>IFERROR(VLOOKUP(D680,'[1]Product Datasheet'!$A:$G,3,0),"")</f>
        <v/>
      </c>
      <c r="C680" s="40"/>
      <c r="D680" s="41"/>
      <c r="E680" s="41"/>
      <c r="F680" s="41"/>
      <c r="G680" s="42"/>
      <c r="H680" s="43"/>
      <c r="I680" s="42"/>
      <c r="J680" s="44"/>
      <c r="K680" s="44"/>
      <c r="L680" s="44"/>
      <c r="M680" s="45" t="str">
        <f t="shared" si="26"/>
        <v>Pass</v>
      </c>
      <c r="N680" s="46" t="str">
        <f>IFERROR(VLOOKUP(D680,'[1]Product Datasheet'!$A:$G,4,0),"")</f>
        <v/>
      </c>
      <c r="O680" s="47" t="str">
        <f>IFERROR(VLOOKUP(D680,'[1]Product Datasheet'!$A:$G,5,0),"")</f>
        <v/>
      </c>
      <c r="P680" s="47" t="str">
        <f>IFERROR(VLOOKUP(D680,'[1]Product Datasheet'!$A:$G,6,0),"")</f>
        <v/>
      </c>
      <c r="Q680" s="47" t="str">
        <f>IFERROR(VLOOKUP(D680,'[1]Product Datasheet'!$A:$G,7,0), "")</f>
        <v/>
      </c>
      <c r="R680" s="48"/>
      <c r="S680" s="49" t="str">
        <f t="shared" si="27"/>
        <v>Accept</v>
      </c>
      <c r="T680" s="50"/>
      <c r="U680" s="51"/>
    </row>
    <row r="681" spans="1:21" ht="24.75" customHeight="1" x14ac:dyDescent="0.3">
      <c r="A681" s="38" t="str">
        <f>IFERROR(VLOOKUP(D681,'[1]Product Datasheet'!$A:$G,2,0),"")</f>
        <v/>
      </c>
      <c r="B681" s="39" t="str">
        <f>IFERROR(VLOOKUP(D681,'[1]Product Datasheet'!$A:$G,3,0),"")</f>
        <v/>
      </c>
      <c r="C681" s="40"/>
      <c r="D681" s="41"/>
      <c r="E681" s="41"/>
      <c r="F681" s="41"/>
      <c r="G681" s="42"/>
      <c r="H681" s="43"/>
      <c r="I681" s="42"/>
      <c r="J681" s="44"/>
      <c r="K681" s="44"/>
      <c r="L681" s="44"/>
      <c r="M681" s="45" t="str">
        <f t="shared" si="26"/>
        <v>Pass</v>
      </c>
      <c r="N681" s="46" t="str">
        <f>IFERROR(VLOOKUP(D681,'[1]Product Datasheet'!$A:$G,4,0),"")</f>
        <v/>
      </c>
      <c r="O681" s="47" t="str">
        <f>IFERROR(VLOOKUP(D681,'[1]Product Datasheet'!$A:$G,5,0),"")</f>
        <v/>
      </c>
      <c r="P681" s="47" t="str">
        <f>IFERROR(VLOOKUP(D681,'[1]Product Datasheet'!$A:$G,6,0),"")</f>
        <v/>
      </c>
      <c r="Q681" s="47" t="str">
        <f>IFERROR(VLOOKUP(D681,'[1]Product Datasheet'!$A:$G,7,0), "")</f>
        <v/>
      </c>
      <c r="R681" s="48"/>
      <c r="S681" s="49" t="str">
        <f t="shared" si="27"/>
        <v>Accept</v>
      </c>
      <c r="T681" s="50"/>
      <c r="U681" s="51"/>
    </row>
    <row r="682" spans="1:21" ht="24.75" customHeight="1" x14ac:dyDescent="0.3">
      <c r="A682" s="38" t="str">
        <f>IFERROR(VLOOKUP(D682,'[1]Product Datasheet'!$A:$G,2,0),"")</f>
        <v/>
      </c>
      <c r="B682" s="39" t="str">
        <f>IFERROR(VLOOKUP(D682,'[1]Product Datasheet'!$A:$G,3,0),"")</f>
        <v/>
      </c>
      <c r="C682" s="40"/>
      <c r="D682" s="41"/>
      <c r="E682" s="41"/>
      <c r="F682" s="41"/>
      <c r="G682" s="42"/>
      <c r="H682" s="43"/>
      <c r="I682" s="42"/>
      <c r="J682" s="44"/>
      <c r="K682" s="44"/>
      <c r="L682" s="44"/>
      <c r="M682" s="45" t="str">
        <f t="shared" si="26"/>
        <v>Pass</v>
      </c>
      <c r="N682" s="46" t="str">
        <f>IFERROR(VLOOKUP(D682,'[1]Product Datasheet'!$A:$G,4,0),"")</f>
        <v/>
      </c>
      <c r="O682" s="47" t="str">
        <f>IFERROR(VLOOKUP(D682,'[1]Product Datasheet'!$A:$G,5,0),"")</f>
        <v/>
      </c>
      <c r="P682" s="47" t="str">
        <f>IFERROR(VLOOKUP(D682,'[1]Product Datasheet'!$A:$G,6,0),"")</f>
        <v/>
      </c>
      <c r="Q682" s="47" t="str">
        <f>IFERROR(VLOOKUP(D682,'[1]Product Datasheet'!$A:$G,7,0), "")</f>
        <v/>
      </c>
      <c r="R682" s="48"/>
      <c r="S682" s="49" t="str">
        <f t="shared" si="27"/>
        <v>Accept</v>
      </c>
      <c r="T682" s="50"/>
      <c r="U682" s="51"/>
    </row>
    <row r="683" spans="1:21" ht="24.75" customHeight="1" x14ac:dyDescent="0.3">
      <c r="A683" s="38" t="str">
        <f>IFERROR(VLOOKUP(D683,'[1]Product Datasheet'!$A:$G,2,0),"")</f>
        <v/>
      </c>
      <c r="B683" s="39" t="str">
        <f>IFERROR(VLOOKUP(D683,'[1]Product Datasheet'!$A:$G,3,0),"")</f>
        <v/>
      </c>
      <c r="C683" s="40"/>
      <c r="D683" s="41"/>
      <c r="E683" s="41"/>
      <c r="F683" s="41"/>
      <c r="G683" s="42"/>
      <c r="H683" s="43"/>
      <c r="I683" s="42"/>
      <c r="J683" s="44"/>
      <c r="K683" s="44"/>
      <c r="L683" s="44"/>
      <c r="M683" s="45" t="str">
        <f t="shared" si="26"/>
        <v>Pass</v>
      </c>
      <c r="N683" s="46" t="str">
        <f>IFERROR(VLOOKUP(D683,'[1]Product Datasheet'!$A:$G,4,0),"")</f>
        <v/>
      </c>
      <c r="O683" s="47" t="str">
        <f>IFERROR(VLOOKUP(D683,'[1]Product Datasheet'!$A:$G,5,0),"")</f>
        <v/>
      </c>
      <c r="P683" s="47" t="str">
        <f>IFERROR(VLOOKUP(D683,'[1]Product Datasheet'!$A:$G,6,0),"")</f>
        <v/>
      </c>
      <c r="Q683" s="47" t="str">
        <f>IFERROR(VLOOKUP(D683,'[1]Product Datasheet'!$A:$G,7,0), "")</f>
        <v/>
      </c>
      <c r="R683" s="48"/>
      <c r="S683" s="49" t="str">
        <f t="shared" si="27"/>
        <v>Accept</v>
      </c>
      <c r="T683" s="50"/>
      <c r="U683" s="51"/>
    </row>
    <row r="684" spans="1:21" ht="24.75" customHeight="1" x14ac:dyDescent="0.3">
      <c r="A684" s="38" t="str">
        <f>IFERROR(VLOOKUP(D684,'[1]Product Datasheet'!$A:$G,2,0),"")</f>
        <v/>
      </c>
      <c r="B684" s="39" t="str">
        <f>IFERROR(VLOOKUP(D684,'[1]Product Datasheet'!$A:$G,3,0),"")</f>
        <v/>
      </c>
      <c r="C684" s="40"/>
      <c r="D684" s="41"/>
      <c r="E684" s="41"/>
      <c r="F684" s="41"/>
      <c r="G684" s="42"/>
      <c r="H684" s="43"/>
      <c r="I684" s="42"/>
      <c r="J684" s="44"/>
      <c r="K684" s="44"/>
      <c r="L684" s="44"/>
      <c r="M684" s="45" t="str">
        <f t="shared" si="26"/>
        <v>Pass</v>
      </c>
      <c r="N684" s="46" t="str">
        <f>IFERROR(VLOOKUP(D684,'[1]Product Datasheet'!$A:$G,4,0),"")</f>
        <v/>
      </c>
      <c r="O684" s="47" t="str">
        <f>IFERROR(VLOOKUP(D684,'[1]Product Datasheet'!$A:$G,5,0),"")</f>
        <v/>
      </c>
      <c r="P684" s="47" t="str">
        <f>IFERROR(VLOOKUP(D684,'[1]Product Datasheet'!$A:$G,6,0),"")</f>
        <v/>
      </c>
      <c r="Q684" s="47" t="str">
        <f>IFERROR(VLOOKUP(D684,'[1]Product Datasheet'!$A:$G,7,0), "")</f>
        <v/>
      </c>
      <c r="R684" s="48"/>
      <c r="S684" s="49" t="str">
        <f t="shared" si="27"/>
        <v>Accept</v>
      </c>
      <c r="T684" s="50"/>
      <c r="U684" s="51"/>
    </row>
    <row r="685" spans="1:21" ht="24.75" customHeight="1" x14ac:dyDescent="0.3">
      <c r="A685" s="38" t="str">
        <f>IFERROR(VLOOKUP(D685,'[1]Product Datasheet'!$A:$G,2,0),"")</f>
        <v/>
      </c>
      <c r="B685" s="39" t="str">
        <f>IFERROR(VLOOKUP(D685,'[1]Product Datasheet'!$A:$G,3,0),"")</f>
        <v/>
      </c>
      <c r="C685" s="40"/>
      <c r="D685" s="41"/>
      <c r="E685" s="41"/>
      <c r="F685" s="41"/>
      <c r="G685" s="42"/>
      <c r="H685" s="43"/>
      <c r="I685" s="42"/>
      <c r="J685" s="44"/>
      <c r="K685" s="44"/>
      <c r="L685" s="44"/>
      <c r="M685" s="45" t="str">
        <f t="shared" si="26"/>
        <v>Pass</v>
      </c>
      <c r="N685" s="46" t="str">
        <f>IFERROR(VLOOKUP(D685,'[1]Product Datasheet'!$A:$G,4,0),"")</f>
        <v/>
      </c>
      <c r="O685" s="47" t="str">
        <f>IFERROR(VLOOKUP(D685,'[1]Product Datasheet'!$A:$G,5,0),"")</f>
        <v/>
      </c>
      <c r="P685" s="47" t="str">
        <f>IFERROR(VLOOKUP(D685,'[1]Product Datasheet'!$A:$G,6,0),"")</f>
        <v/>
      </c>
      <c r="Q685" s="47" t="str">
        <f>IFERROR(VLOOKUP(D685,'[1]Product Datasheet'!$A:$G,7,0), "")</f>
        <v/>
      </c>
      <c r="R685" s="48"/>
      <c r="S685" s="49" t="str">
        <f t="shared" si="27"/>
        <v>Accept</v>
      </c>
      <c r="T685" s="50"/>
      <c r="U685" s="51"/>
    </row>
    <row r="686" spans="1:21" ht="24.75" customHeight="1" x14ac:dyDescent="0.3">
      <c r="A686" s="38" t="str">
        <f>IFERROR(VLOOKUP(D686,'[1]Product Datasheet'!$A:$G,2,0),"")</f>
        <v/>
      </c>
      <c r="B686" s="39" t="str">
        <f>IFERROR(VLOOKUP(D686,'[1]Product Datasheet'!$A:$G,3,0),"")</f>
        <v/>
      </c>
      <c r="C686" s="40"/>
      <c r="D686" s="41"/>
      <c r="E686" s="41"/>
      <c r="F686" s="41"/>
      <c r="G686" s="42"/>
      <c r="H686" s="43"/>
      <c r="I686" s="42"/>
      <c r="J686" s="44"/>
      <c r="K686" s="44"/>
      <c r="L686" s="44"/>
      <c r="M686" s="45" t="str">
        <f t="shared" si="26"/>
        <v>Pass</v>
      </c>
      <c r="N686" s="46" t="str">
        <f>IFERROR(VLOOKUP(D686,'[1]Product Datasheet'!$A:$G,4,0),"")</f>
        <v/>
      </c>
      <c r="O686" s="47" t="str">
        <f>IFERROR(VLOOKUP(D686,'[1]Product Datasheet'!$A:$G,5,0),"")</f>
        <v/>
      </c>
      <c r="P686" s="47" t="str">
        <f>IFERROR(VLOOKUP(D686,'[1]Product Datasheet'!$A:$G,6,0),"")</f>
        <v/>
      </c>
      <c r="Q686" s="47" t="str">
        <f>IFERROR(VLOOKUP(D686,'[1]Product Datasheet'!$A:$G,7,0), "")</f>
        <v/>
      </c>
      <c r="R686" s="48"/>
      <c r="S686" s="49" t="str">
        <f t="shared" si="27"/>
        <v>Accept</v>
      </c>
      <c r="T686" s="50"/>
      <c r="U686" s="51"/>
    </row>
    <row r="687" spans="1:21" ht="24.75" customHeight="1" x14ac:dyDescent="0.3">
      <c r="A687" s="38" t="str">
        <f>IFERROR(VLOOKUP(D687,'[1]Product Datasheet'!$A:$G,2,0),"")</f>
        <v/>
      </c>
      <c r="B687" s="39" t="str">
        <f>IFERROR(VLOOKUP(D687,'[1]Product Datasheet'!$A:$G,3,0),"")</f>
        <v/>
      </c>
      <c r="C687" s="40"/>
      <c r="D687" s="41"/>
      <c r="E687" s="41"/>
      <c r="F687" s="41"/>
      <c r="G687" s="42"/>
      <c r="H687" s="43"/>
      <c r="I687" s="42"/>
      <c r="J687" s="44"/>
      <c r="K687" s="44"/>
      <c r="L687" s="44"/>
      <c r="M687" s="45" t="str">
        <f t="shared" si="26"/>
        <v>Pass</v>
      </c>
      <c r="N687" s="46" t="str">
        <f>IFERROR(VLOOKUP(D687,'[1]Product Datasheet'!$A:$G,4,0),"")</f>
        <v/>
      </c>
      <c r="O687" s="47" t="str">
        <f>IFERROR(VLOOKUP(D687,'[1]Product Datasheet'!$A:$G,5,0),"")</f>
        <v/>
      </c>
      <c r="P687" s="47" t="str">
        <f>IFERROR(VLOOKUP(D687,'[1]Product Datasheet'!$A:$G,6,0),"")</f>
        <v/>
      </c>
      <c r="Q687" s="47" t="str">
        <f>IFERROR(VLOOKUP(D687,'[1]Product Datasheet'!$A:$G,7,0), "")</f>
        <v/>
      </c>
      <c r="R687" s="48"/>
      <c r="S687" s="49" t="str">
        <f t="shared" si="27"/>
        <v>Accept</v>
      </c>
      <c r="T687" s="50"/>
      <c r="U687" s="51"/>
    </row>
    <row r="688" spans="1:21" ht="24.75" customHeight="1" x14ac:dyDescent="0.3">
      <c r="A688" s="38" t="str">
        <f>IFERROR(VLOOKUP(D688,'[1]Product Datasheet'!$A:$G,2,0),"")</f>
        <v/>
      </c>
      <c r="B688" s="39" t="str">
        <f>IFERROR(VLOOKUP(D688,'[1]Product Datasheet'!$A:$G,3,0),"")</f>
        <v/>
      </c>
      <c r="C688" s="40"/>
      <c r="D688" s="41"/>
      <c r="E688" s="41"/>
      <c r="F688" s="41"/>
      <c r="G688" s="42"/>
      <c r="H688" s="43"/>
      <c r="I688" s="42"/>
      <c r="J688" s="44"/>
      <c r="K688" s="44"/>
      <c r="L688" s="44"/>
      <c r="M688" s="45" t="str">
        <f t="shared" si="26"/>
        <v>Pass</v>
      </c>
      <c r="N688" s="46" t="str">
        <f>IFERROR(VLOOKUP(D688,'[1]Product Datasheet'!$A:$G,4,0),"")</f>
        <v/>
      </c>
      <c r="O688" s="47" t="str">
        <f>IFERROR(VLOOKUP(D688,'[1]Product Datasheet'!$A:$G,5,0),"")</f>
        <v/>
      </c>
      <c r="P688" s="47" t="str">
        <f>IFERROR(VLOOKUP(D688,'[1]Product Datasheet'!$A:$G,6,0),"")</f>
        <v/>
      </c>
      <c r="Q688" s="47" t="str">
        <f>IFERROR(VLOOKUP(D688,'[1]Product Datasheet'!$A:$G,7,0), "")</f>
        <v/>
      </c>
      <c r="R688" s="48"/>
      <c r="S688" s="49" t="str">
        <f t="shared" si="27"/>
        <v>Accept</v>
      </c>
      <c r="T688" s="50"/>
      <c r="U688" s="51"/>
    </row>
    <row r="689" spans="1:21" ht="24.75" customHeight="1" x14ac:dyDescent="0.3">
      <c r="A689" s="38" t="str">
        <f>IFERROR(VLOOKUP(D689,'[1]Product Datasheet'!$A:$G,2,0),"")</f>
        <v/>
      </c>
      <c r="B689" s="39" t="str">
        <f>IFERROR(VLOOKUP(D689,'[1]Product Datasheet'!$A:$G,3,0),"")</f>
        <v/>
      </c>
      <c r="C689" s="40"/>
      <c r="D689" s="41"/>
      <c r="E689" s="41"/>
      <c r="F689" s="41"/>
      <c r="G689" s="42"/>
      <c r="H689" s="43"/>
      <c r="I689" s="42"/>
      <c r="J689" s="44"/>
      <c r="K689" s="44"/>
      <c r="L689" s="44"/>
      <c r="M689" s="45" t="str">
        <f t="shared" si="26"/>
        <v>Pass</v>
      </c>
      <c r="N689" s="46" t="str">
        <f>IFERROR(VLOOKUP(D689,'[1]Product Datasheet'!$A:$G,4,0),"")</f>
        <v/>
      </c>
      <c r="O689" s="47" t="str">
        <f>IFERROR(VLOOKUP(D689,'[1]Product Datasheet'!$A:$G,5,0),"")</f>
        <v/>
      </c>
      <c r="P689" s="47" t="str">
        <f>IFERROR(VLOOKUP(D689,'[1]Product Datasheet'!$A:$G,6,0),"")</f>
        <v/>
      </c>
      <c r="Q689" s="47" t="str">
        <f>IFERROR(VLOOKUP(D689,'[1]Product Datasheet'!$A:$G,7,0), "")</f>
        <v/>
      </c>
      <c r="R689" s="48"/>
      <c r="S689" s="49" t="str">
        <f t="shared" si="27"/>
        <v>Accept</v>
      </c>
      <c r="T689" s="50"/>
      <c r="U689" s="51"/>
    </row>
    <row r="690" spans="1:21" ht="24.75" customHeight="1" x14ac:dyDescent="0.3">
      <c r="A690" s="38" t="str">
        <f>IFERROR(VLOOKUP(D690,'[1]Product Datasheet'!$A:$G,2,0),"")</f>
        <v/>
      </c>
      <c r="B690" s="39" t="str">
        <f>IFERROR(VLOOKUP(D690,'[1]Product Datasheet'!$A:$G,3,0),"")</f>
        <v/>
      </c>
      <c r="C690" s="40"/>
      <c r="D690" s="41"/>
      <c r="E690" s="41"/>
      <c r="F690" s="41"/>
      <c r="G690" s="42"/>
      <c r="H690" s="43"/>
      <c r="I690" s="42"/>
      <c r="J690" s="44"/>
      <c r="K690" s="44"/>
      <c r="L690" s="44"/>
      <c r="M690" s="45" t="str">
        <f t="shared" si="26"/>
        <v>Pass</v>
      </c>
      <c r="N690" s="46" t="str">
        <f>IFERROR(VLOOKUP(D690,'[1]Product Datasheet'!$A:$G,4,0),"")</f>
        <v/>
      </c>
      <c r="O690" s="47" t="str">
        <f>IFERROR(VLOOKUP(D690,'[1]Product Datasheet'!$A:$G,5,0),"")</f>
        <v/>
      </c>
      <c r="P690" s="47" t="str">
        <f>IFERROR(VLOOKUP(D690,'[1]Product Datasheet'!$A:$G,6,0),"")</f>
        <v/>
      </c>
      <c r="Q690" s="47" t="str">
        <f>IFERROR(VLOOKUP(D690,'[1]Product Datasheet'!$A:$G,7,0), "")</f>
        <v/>
      </c>
      <c r="R690" s="48"/>
      <c r="S690" s="49" t="str">
        <f t="shared" si="27"/>
        <v>Accept</v>
      </c>
      <c r="T690" s="50"/>
      <c r="U690" s="51"/>
    </row>
    <row r="691" spans="1:21" ht="24.75" customHeight="1" x14ac:dyDescent="0.3">
      <c r="A691" s="38" t="str">
        <f>IFERROR(VLOOKUP(D691,'[1]Product Datasheet'!$A:$G,2,0),"")</f>
        <v/>
      </c>
      <c r="B691" s="39" t="str">
        <f>IFERROR(VLOOKUP(D691,'[1]Product Datasheet'!$A:$G,3,0),"")</f>
        <v/>
      </c>
      <c r="C691" s="40"/>
      <c r="D691" s="41"/>
      <c r="E691" s="41"/>
      <c r="F691" s="41"/>
      <c r="G691" s="42"/>
      <c r="H691" s="43"/>
      <c r="I691" s="42"/>
      <c r="J691" s="44"/>
      <c r="K691" s="44"/>
      <c r="L691" s="44"/>
      <c r="M691" s="45" t="str">
        <f t="shared" si="26"/>
        <v>Pass</v>
      </c>
      <c r="N691" s="46" t="str">
        <f>IFERROR(VLOOKUP(D691,'[1]Product Datasheet'!$A:$G,4,0),"")</f>
        <v/>
      </c>
      <c r="O691" s="47" t="str">
        <f>IFERROR(VLOOKUP(D691,'[1]Product Datasheet'!$A:$G,5,0),"")</f>
        <v/>
      </c>
      <c r="P691" s="47" t="str">
        <f>IFERROR(VLOOKUP(D691,'[1]Product Datasheet'!$A:$G,6,0),"")</f>
        <v/>
      </c>
      <c r="Q691" s="47" t="str">
        <f>IFERROR(VLOOKUP(D691,'[1]Product Datasheet'!$A:$G,7,0), "")</f>
        <v/>
      </c>
      <c r="R691" s="48"/>
      <c r="S691" s="49" t="str">
        <f t="shared" si="27"/>
        <v>Accept</v>
      </c>
      <c r="T691" s="50"/>
      <c r="U691" s="51"/>
    </row>
    <row r="692" spans="1:21" ht="24.75" customHeight="1" x14ac:dyDescent="0.3">
      <c r="A692" s="38" t="str">
        <f>IFERROR(VLOOKUP(D692,'[1]Product Datasheet'!$A:$G,2,0),"")</f>
        <v/>
      </c>
      <c r="B692" s="39" t="str">
        <f>IFERROR(VLOOKUP(D692,'[1]Product Datasheet'!$A:$G,3,0),"")</f>
        <v/>
      </c>
      <c r="C692" s="40"/>
      <c r="D692" s="41"/>
      <c r="E692" s="41"/>
      <c r="F692" s="41"/>
      <c r="G692" s="42"/>
      <c r="H692" s="43"/>
      <c r="I692" s="42"/>
      <c r="J692" s="44"/>
      <c r="K692" s="44"/>
      <c r="L692" s="44"/>
      <c r="M692" s="45" t="str">
        <f t="shared" si="26"/>
        <v>Pass</v>
      </c>
      <c r="N692" s="46" t="str">
        <f>IFERROR(VLOOKUP(D692,'[1]Product Datasheet'!$A:$G,4,0),"")</f>
        <v/>
      </c>
      <c r="O692" s="47" t="str">
        <f>IFERROR(VLOOKUP(D692,'[1]Product Datasheet'!$A:$G,5,0),"")</f>
        <v/>
      </c>
      <c r="P692" s="47" t="str">
        <f>IFERROR(VLOOKUP(D692,'[1]Product Datasheet'!$A:$G,6,0),"")</f>
        <v/>
      </c>
      <c r="Q692" s="47" t="str">
        <f>IFERROR(VLOOKUP(D692,'[1]Product Datasheet'!$A:$G,7,0), "")</f>
        <v/>
      </c>
      <c r="R692" s="48"/>
      <c r="S692" s="49" t="str">
        <f t="shared" si="27"/>
        <v>Accept</v>
      </c>
      <c r="T692" s="50"/>
      <c r="U692" s="51"/>
    </row>
    <row r="693" spans="1:21" ht="24.75" customHeight="1" x14ac:dyDescent="0.3">
      <c r="A693" s="38" t="str">
        <f>IFERROR(VLOOKUP(D693,'[1]Product Datasheet'!$A:$G,2,0),"")</f>
        <v/>
      </c>
      <c r="B693" s="39" t="str">
        <f>IFERROR(VLOOKUP(D693,'[1]Product Datasheet'!$A:$G,3,0),"")</f>
        <v/>
      </c>
      <c r="C693" s="40"/>
      <c r="D693" s="41"/>
      <c r="E693" s="41"/>
      <c r="F693" s="41"/>
      <c r="G693" s="42"/>
      <c r="H693" s="43"/>
      <c r="I693" s="42"/>
      <c r="J693" s="44"/>
      <c r="K693" s="44"/>
      <c r="L693" s="44"/>
      <c r="M693" s="45" t="str">
        <f t="shared" si="26"/>
        <v>Pass</v>
      </c>
      <c r="N693" s="46" t="str">
        <f>IFERROR(VLOOKUP(D693,'[1]Product Datasheet'!$A:$G,4,0),"")</f>
        <v/>
      </c>
      <c r="O693" s="47" t="str">
        <f>IFERROR(VLOOKUP(D693,'[1]Product Datasheet'!$A:$G,5,0),"")</f>
        <v/>
      </c>
      <c r="P693" s="47" t="str">
        <f>IFERROR(VLOOKUP(D693,'[1]Product Datasheet'!$A:$G,6,0),"")</f>
        <v/>
      </c>
      <c r="Q693" s="47" t="str">
        <f>IFERROR(VLOOKUP(D693,'[1]Product Datasheet'!$A:$G,7,0), "")</f>
        <v/>
      </c>
      <c r="R693" s="48"/>
      <c r="S693" s="49" t="str">
        <f t="shared" si="27"/>
        <v>Accept</v>
      </c>
      <c r="T693" s="50"/>
      <c r="U693" s="51"/>
    </row>
    <row r="694" spans="1:21" ht="24.75" customHeight="1" x14ac:dyDescent="0.3">
      <c r="A694" s="38" t="str">
        <f>IFERROR(VLOOKUP(D694,'[1]Product Datasheet'!$A:$G,2,0),"")</f>
        <v/>
      </c>
      <c r="B694" s="39" t="str">
        <f>IFERROR(VLOOKUP(D694,'[1]Product Datasheet'!$A:$G,3,0),"")</f>
        <v/>
      </c>
      <c r="C694" s="40"/>
      <c r="D694" s="41"/>
      <c r="E694" s="41"/>
      <c r="F694" s="41"/>
      <c r="G694" s="42"/>
      <c r="H694" s="43"/>
      <c r="I694" s="42"/>
      <c r="J694" s="44"/>
      <c r="K694" s="44"/>
      <c r="L694" s="44"/>
      <c r="M694" s="45" t="str">
        <f t="shared" si="26"/>
        <v>Pass</v>
      </c>
      <c r="N694" s="46" t="str">
        <f>IFERROR(VLOOKUP(D694,'[1]Product Datasheet'!$A:$G,4,0),"")</f>
        <v/>
      </c>
      <c r="O694" s="47" t="str">
        <f>IFERROR(VLOOKUP(D694,'[1]Product Datasheet'!$A:$G,5,0),"")</f>
        <v/>
      </c>
      <c r="P694" s="47" t="str">
        <f>IFERROR(VLOOKUP(D694,'[1]Product Datasheet'!$A:$G,6,0),"")</f>
        <v/>
      </c>
      <c r="Q694" s="47" t="str">
        <f>IFERROR(VLOOKUP(D694,'[1]Product Datasheet'!$A:$G,7,0), "")</f>
        <v/>
      </c>
      <c r="R694" s="48"/>
      <c r="S694" s="49" t="str">
        <f t="shared" si="27"/>
        <v>Accept</v>
      </c>
      <c r="T694" s="50"/>
      <c r="U694" s="51"/>
    </row>
    <row r="695" spans="1:21" ht="24.75" customHeight="1" x14ac:dyDescent="0.3">
      <c r="A695" s="38" t="str">
        <f>IFERROR(VLOOKUP(D695,'[1]Product Datasheet'!$A:$G,2,0),"")</f>
        <v/>
      </c>
      <c r="B695" s="39" t="str">
        <f>IFERROR(VLOOKUP(D695,'[1]Product Datasheet'!$A:$G,3,0),"")</f>
        <v/>
      </c>
      <c r="C695" s="40"/>
      <c r="D695" s="41"/>
      <c r="E695" s="41"/>
      <c r="F695" s="41"/>
      <c r="G695" s="42"/>
      <c r="H695" s="43"/>
      <c r="I695" s="42"/>
      <c r="J695" s="44"/>
      <c r="K695" s="44"/>
      <c r="L695" s="44"/>
      <c r="M695" s="45" t="str">
        <f t="shared" si="26"/>
        <v>Pass</v>
      </c>
      <c r="N695" s="46" t="str">
        <f>IFERROR(VLOOKUP(D695,'[1]Product Datasheet'!$A:$G,4,0),"")</f>
        <v/>
      </c>
      <c r="O695" s="47" t="str">
        <f>IFERROR(VLOOKUP(D695,'[1]Product Datasheet'!$A:$G,5,0),"")</f>
        <v/>
      </c>
      <c r="P695" s="47" t="str">
        <f>IFERROR(VLOOKUP(D695,'[1]Product Datasheet'!$A:$G,6,0),"")</f>
        <v/>
      </c>
      <c r="Q695" s="47" t="str">
        <f>IFERROR(VLOOKUP(D695,'[1]Product Datasheet'!$A:$G,7,0), "")</f>
        <v/>
      </c>
      <c r="R695" s="48"/>
      <c r="S695" s="49" t="str">
        <f t="shared" si="27"/>
        <v>Accept</v>
      </c>
      <c r="T695" s="50"/>
      <c r="U695" s="51"/>
    </row>
    <row r="696" spans="1:21" ht="24.75" customHeight="1" x14ac:dyDescent="0.3">
      <c r="A696" s="38" t="str">
        <f>IFERROR(VLOOKUP(D696,'[1]Product Datasheet'!$A:$G,2,0),"")</f>
        <v/>
      </c>
      <c r="B696" s="39" t="str">
        <f>IFERROR(VLOOKUP(D696,'[1]Product Datasheet'!$A:$G,3,0),"")</f>
        <v/>
      </c>
      <c r="C696" s="40"/>
      <c r="D696" s="41"/>
      <c r="E696" s="41"/>
      <c r="F696" s="41"/>
      <c r="G696" s="42"/>
      <c r="H696" s="43"/>
      <c r="I696" s="42"/>
      <c r="J696" s="44"/>
      <c r="K696" s="44"/>
      <c r="L696" s="44"/>
      <c r="M696" s="45" t="str">
        <f t="shared" si="26"/>
        <v>Pass</v>
      </c>
      <c r="N696" s="46" t="str">
        <f>IFERROR(VLOOKUP(D696,'[1]Product Datasheet'!$A:$G,4,0),"")</f>
        <v/>
      </c>
      <c r="O696" s="47" t="str">
        <f>IFERROR(VLOOKUP(D696,'[1]Product Datasheet'!$A:$G,5,0),"")</f>
        <v/>
      </c>
      <c r="P696" s="47" t="str">
        <f>IFERROR(VLOOKUP(D696,'[1]Product Datasheet'!$A:$G,6,0),"")</f>
        <v/>
      </c>
      <c r="Q696" s="47" t="str">
        <f>IFERROR(VLOOKUP(D696,'[1]Product Datasheet'!$A:$G,7,0), "")</f>
        <v/>
      </c>
      <c r="R696" s="48"/>
      <c r="S696" s="49" t="str">
        <f t="shared" si="27"/>
        <v>Accept</v>
      </c>
      <c r="T696" s="50"/>
      <c r="U696" s="51"/>
    </row>
    <row r="697" spans="1:21" ht="24.75" customHeight="1" x14ac:dyDescent="0.3">
      <c r="A697" s="38" t="str">
        <f>IFERROR(VLOOKUP(D697,'[1]Product Datasheet'!$A:$G,2,0),"")</f>
        <v/>
      </c>
      <c r="B697" s="39" t="str">
        <f>IFERROR(VLOOKUP(D697,'[1]Product Datasheet'!$A:$G,3,0),"")</f>
        <v/>
      </c>
      <c r="C697" s="40"/>
      <c r="D697" s="41"/>
      <c r="E697" s="41"/>
      <c r="F697" s="41"/>
      <c r="G697" s="42"/>
      <c r="H697" s="43"/>
      <c r="I697" s="42"/>
      <c r="J697" s="44"/>
      <c r="K697" s="44"/>
      <c r="L697" s="44"/>
      <c r="M697" s="45" t="str">
        <f t="shared" si="26"/>
        <v>Pass</v>
      </c>
      <c r="N697" s="46" t="str">
        <f>IFERROR(VLOOKUP(D697,'[1]Product Datasheet'!$A:$G,4,0),"")</f>
        <v/>
      </c>
      <c r="O697" s="47" t="str">
        <f>IFERROR(VLOOKUP(D697,'[1]Product Datasheet'!$A:$G,5,0),"")</f>
        <v/>
      </c>
      <c r="P697" s="47" t="str">
        <f>IFERROR(VLOOKUP(D697,'[1]Product Datasheet'!$A:$G,6,0),"")</f>
        <v/>
      </c>
      <c r="Q697" s="47" t="str">
        <f>IFERROR(VLOOKUP(D697,'[1]Product Datasheet'!$A:$G,7,0), "")</f>
        <v/>
      </c>
      <c r="R697" s="48"/>
      <c r="S697" s="49" t="str">
        <f t="shared" si="27"/>
        <v>Accept</v>
      </c>
      <c r="T697" s="50"/>
      <c r="U697" s="51"/>
    </row>
    <row r="698" spans="1:21" ht="24.75" customHeight="1" x14ac:dyDescent="0.3">
      <c r="A698" s="38" t="str">
        <f>IFERROR(VLOOKUP(D698,'[1]Product Datasheet'!$A:$G,2,0),"")</f>
        <v/>
      </c>
      <c r="B698" s="39" t="str">
        <f>IFERROR(VLOOKUP(D698,'[1]Product Datasheet'!$A:$G,3,0),"")</f>
        <v/>
      </c>
      <c r="C698" s="40"/>
      <c r="D698" s="41"/>
      <c r="E698" s="41"/>
      <c r="F698" s="41"/>
      <c r="G698" s="42"/>
      <c r="H698" s="43"/>
      <c r="I698" s="42"/>
      <c r="J698" s="44"/>
      <c r="K698" s="44"/>
      <c r="L698" s="44"/>
      <c r="M698" s="45" t="str">
        <f t="shared" si="26"/>
        <v>Pass</v>
      </c>
      <c r="N698" s="46" t="str">
        <f>IFERROR(VLOOKUP(D698,'[1]Product Datasheet'!$A:$G,4,0),"")</f>
        <v/>
      </c>
      <c r="O698" s="47" t="str">
        <f>IFERROR(VLOOKUP(D698,'[1]Product Datasheet'!$A:$G,5,0),"")</f>
        <v/>
      </c>
      <c r="P698" s="47" t="str">
        <f>IFERROR(VLOOKUP(D698,'[1]Product Datasheet'!$A:$G,6,0),"")</f>
        <v/>
      </c>
      <c r="Q698" s="47" t="str">
        <f>IFERROR(VLOOKUP(D698,'[1]Product Datasheet'!$A:$G,7,0), "")</f>
        <v/>
      </c>
      <c r="R698" s="48"/>
      <c r="S698" s="49" t="str">
        <f t="shared" si="27"/>
        <v>Accept</v>
      </c>
      <c r="T698" s="50"/>
      <c r="U698" s="51"/>
    </row>
    <row r="699" spans="1:21" ht="24.75" customHeight="1" x14ac:dyDescent="0.3">
      <c r="A699" s="38" t="str">
        <f>IFERROR(VLOOKUP(D699,'[1]Product Datasheet'!$A:$G,2,0),"")</f>
        <v/>
      </c>
      <c r="B699" s="39" t="str">
        <f>IFERROR(VLOOKUP(D699,'[1]Product Datasheet'!$A:$G,3,0),"")</f>
        <v/>
      </c>
      <c r="C699" s="40"/>
      <c r="D699" s="41"/>
      <c r="E699" s="41"/>
      <c r="F699" s="41"/>
      <c r="G699" s="42"/>
      <c r="H699" s="43"/>
      <c r="I699" s="42"/>
      <c r="J699" s="44"/>
      <c r="K699" s="44"/>
      <c r="L699" s="44"/>
      <c r="M699" s="45" t="str">
        <f t="shared" si="26"/>
        <v>Pass</v>
      </c>
      <c r="N699" s="46" t="str">
        <f>IFERROR(VLOOKUP(D699,'[1]Product Datasheet'!$A:$G,4,0),"")</f>
        <v/>
      </c>
      <c r="O699" s="47" t="str">
        <f>IFERROR(VLOOKUP(D699,'[1]Product Datasheet'!$A:$G,5,0),"")</f>
        <v/>
      </c>
      <c r="P699" s="47" t="str">
        <f>IFERROR(VLOOKUP(D699,'[1]Product Datasheet'!$A:$G,6,0),"")</f>
        <v/>
      </c>
      <c r="Q699" s="47" t="str">
        <f>IFERROR(VLOOKUP(D699,'[1]Product Datasheet'!$A:$G,7,0), "")</f>
        <v/>
      </c>
      <c r="R699" s="48"/>
      <c r="S699" s="49" t="str">
        <f t="shared" si="27"/>
        <v>Accept</v>
      </c>
      <c r="T699" s="50"/>
      <c r="U699" s="51"/>
    </row>
    <row r="700" spans="1:21" ht="24.75" customHeight="1" x14ac:dyDescent="0.3">
      <c r="A700" s="38" t="str">
        <f>IFERROR(VLOOKUP(D700,'[1]Product Datasheet'!$A:$G,2,0),"")</f>
        <v/>
      </c>
      <c r="B700" s="39" t="str">
        <f>IFERROR(VLOOKUP(D700,'[1]Product Datasheet'!$A:$G,3,0),"")</f>
        <v/>
      </c>
      <c r="C700" s="40"/>
      <c r="D700" s="41"/>
      <c r="E700" s="41"/>
      <c r="F700" s="41"/>
      <c r="G700" s="42"/>
      <c r="H700" s="43"/>
      <c r="I700" s="42"/>
      <c r="J700" s="44"/>
      <c r="K700" s="44"/>
      <c r="L700" s="44"/>
      <c r="M700" s="45" t="str">
        <f t="shared" si="26"/>
        <v>Pass</v>
      </c>
      <c r="N700" s="46" t="str">
        <f>IFERROR(VLOOKUP(D700,'[1]Product Datasheet'!$A:$G,4,0),"")</f>
        <v/>
      </c>
      <c r="O700" s="47" t="str">
        <f>IFERROR(VLOOKUP(D700,'[1]Product Datasheet'!$A:$G,5,0),"")</f>
        <v/>
      </c>
      <c r="P700" s="47" t="str">
        <f>IFERROR(VLOOKUP(D700,'[1]Product Datasheet'!$A:$G,6,0),"")</f>
        <v/>
      </c>
      <c r="Q700" s="47" t="str">
        <f>IFERROR(VLOOKUP(D700,'[1]Product Datasheet'!$A:$G,7,0), "")</f>
        <v/>
      </c>
      <c r="R700" s="48"/>
      <c r="S700" s="49" t="str">
        <f t="shared" si="27"/>
        <v>Accept</v>
      </c>
      <c r="T700" s="50"/>
      <c r="U700" s="51"/>
    </row>
    <row r="701" spans="1:21" ht="24.75" customHeight="1" x14ac:dyDescent="0.3">
      <c r="A701" s="38" t="str">
        <f>IFERROR(VLOOKUP(D701,'[1]Product Datasheet'!$A:$G,2,0),"")</f>
        <v/>
      </c>
      <c r="B701" s="39" t="str">
        <f>IFERROR(VLOOKUP(D701,'[1]Product Datasheet'!$A:$G,3,0),"")</f>
        <v/>
      </c>
      <c r="C701" s="40"/>
      <c r="D701" s="41"/>
      <c r="E701" s="41"/>
      <c r="F701" s="41"/>
      <c r="G701" s="42"/>
      <c r="H701" s="43"/>
      <c r="I701" s="42"/>
      <c r="J701" s="44"/>
      <c r="K701" s="44"/>
      <c r="L701" s="44"/>
      <c r="M701" s="45" t="str">
        <f t="shared" si="26"/>
        <v>Pass</v>
      </c>
      <c r="N701" s="46" t="str">
        <f>IFERROR(VLOOKUP(D701,'[1]Product Datasheet'!$A:$G,4,0),"")</f>
        <v/>
      </c>
      <c r="O701" s="47" t="str">
        <f>IFERROR(VLOOKUP(D701,'[1]Product Datasheet'!$A:$G,5,0),"")</f>
        <v/>
      </c>
      <c r="P701" s="47" t="str">
        <f>IFERROR(VLOOKUP(D701,'[1]Product Datasheet'!$A:$G,6,0),"")</f>
        <v/>
      </c>
      <c r="Q701" s="47" t="str">
        <f>IFERROR(VLOOKUP(D701,'[1]Product Datasheet'!$A:$G,7,0), "")</f>
        <v/>
      </c>
      <c r="R701" s="48"/>
      <c r="S701" s="49" t="str">
        <f t="shared" si="27"/>
        <v>Accept</v>
      </c>
      <c r="T701" s="50"/>
      <c r="U701" s="51"/>
    </row>
    <row r="702" spans="1:21" ht="24.75" customHeight="1" x14ac:dyDescent="0.3">
      <c r="A702" s="38" t="str">
        <f>IFERROR(VLOOKUP(D702,'[1]Product Datasheet'!$A:$G,2,0),"")</f>
        <v/>
      </c>
      <c r="B702" s="39" t="str">
        <f>IFERROR(VLOOKUP(D702,'[1]Product Datasheet'!$A:$G,3,0),"")</f>
        <v/>
      </c>
      <c r="C702" s="40"/>
      <c r="D702" s="41"/>
      <c r="E702" s="41"/>
      <c r="F702" s="41"/>
      <c r="G702" s="42"/>
      <c r="H702" s="43"/>
      <c r="I702" s="42"/>
      <c r="J702" s="44"/>
      <c r="K702" s="44"/>
      <c r="L702" s="44"/>
      <c r="M702" s="45" t="str">
        <f t="shared" si="26"/>
        <v>Pass</v>
      </c>
      <c r="N702" s="46" t="str">
        <f>IFERROR(VLOOKUP(D702,'[1]Product Datasheet'!$A:$G,4,0),"")</f>
        <v/>
      </c>
      <c r="O702" s="47" t="str">
        <f>IFERROR(VLOOKUP(D702,'[1]Product Datasheet'!$A:$G,5,0),"")</f>
        <v/>
      </c>
      <c r="P702" s="47" t="str">
        <f>IFERROR(VLOOKUP(D702,'[1]Product Datasheet'!$A:$G,6,0),"")</f>
        <v/>
      </c>
      <c r="Q702" s="47" t="str">
        <f>IFERROR(VLOOKUP(D702,'[1]Product Datasheet'!$A:$G,7,0), "")</f>
        <v/>
      </c>
      <c r="R702" s="48"/>
      <c r="S702" s="49" t="str">
        <f t="shared" si="27"/>
        <v>Accept</v>
      </c>
      <c r="T702" s="50"/>
      <c r="U702" s="51"/>
    </row>
    <row r="703" spans="1:21" ht="24.75" customHeight="1" x14ac:dyDescent="0.3">
      <c r="A703" s="38" t="str">
        <f>IFERROR(VLOOKUP(D703,'[1]Product Datasheet'!$A:$G,2,0),"")</f>
        <v/>
      </c>
      <c r="B703" s="39" t="str">
        <f>IFERROR(VLOOKUP(D703,'[1]Product Datasheet'!$A:$G,3,0),"")</f>
        <v/>
      </c>
      <c r="C703" s="40"/>
      <c r="D703" s="41"/>
      <c r="E703" s="41"/>
      <c r="F703" s="41"/>
      <c r="G703" s="42"/>
      <c r="H703" s="43"/>
      <c r="I703" s="42"/>
      <c r="J703" s="44"/>
      <c r="K703" s="44"/>
      <c r="L703" s="44"/>
      <c r="M703" s="45" t="str">
        <f t="shared" si="26"/>
        <v>Pass</v>
      </c>
      <c r="N703" s="46" t="str">
        <f>IFERROR(VLOOKUP(D703,'[1]Product Datasheet'!$A:$G,4,0),"")</f>
        <v/>
      </c>
      <c r="O703" s="47" t="str">
        <f>IFERROR(VLOOKUP(D703,'[1]Product Datasheet'!$A:$G,5,0),"")</f>
        <v/>
      </c>
      <c r="P703" s="47" t="str">
        <f>IFERROR(VLOOKUP(D703,'[1]Product Datasheet'!$A:$G,6,0),"")</f>
        <v/>
      </c>
      <c r="Q703" s="47" t="str">
        <f>IFERROR(VLOOKUP(D703,'[1]Product Datasheet'!$A:$G,7,0), "")</f>
        <v/>
      </c>
      <c r="R703" s="48"/>
      <c r="S703" s="49" t="str">
        <f t="shared" si="27"/>
        <v>Accept</v>
      </c>
      <c r="T703" s="50"/>
      <c r="U703" s="51"/>
    </row>
    <row r="704" spans="1:21" ht="24.75" customHeight="1" x14ac:dyDescent="0.3">
      <c r="A704" s="38" t="str">
        <f>IFERROR(VLOOKUP(D704,'[1]Product Datasheet'!$A:$G,2,0),"")</f>
        <v/>
      </c>
      <c r="B704" s="39" t="str">
        <f>IFERROR(VLOOKUP(D704,'[1]Product Datasheet'!$A:$G,3,0),"")</f>
        <v/>
      </c>
      <c r="C704" s="40"/>
      <c r="D704" s="41"/>
      <c r="E704" s="41"/>
      <c r="F704" s="41"/>
      <c r="G704" s="42"/>
      <c r="H704" s="43"/>
      <c r="I704" s="42"/>
      <c r="J704" s="44"/>
      <c r="K704" s="44"/>
      <c r="L704" s="44"/>
      <c r="M704" s="45" t="str">
        <f t="shared" si="26"/>
        <v>Pass</v>
      </c>
      <c r="N704" s="46" t="str">
        <f>IFERROR(VLOOKUP(D704,'[1]Product Datasheet'!$A:$G,4,0),"")</f>
        <v/>
      </c>
      <c r="O704" s="47" t="str">
        <f>IFERROR(VLOOKUP(D704,'[1]Product Datasheet'!$A:$G,5,0),"")</f>
        <v/>
      </c>
      <c r="P704" s="47" t="str">
        <f>IFERROR(VLOOKUP(D704,'[1]Product Datasheet'!$A:$G,6,0),"")</f>
        <v/>
      </c>
      <c r="Q704" s="47" t="str">
        <f>IFERROR(VLOOKUP(D704,'[1]Product Datasheet'!$A:$G,7,0), "")</f>
        <v/>
      </c>
      <c r="R704" s="48"/>
      <c r="S704" s="49" t="str">
        <f t="shared" si="27"/>
        <v>Accept</v>
      </c>
      <c r="T704" s="50"/>
      <c r="U704" s="51"/>
    </row>
    <row r="705" spans="1:21" ht="24.75" customHeight="1" x14ac:dyDescent="0.3">
      <c r="A705" s="38" t="str">
        <f>IFERROR(VLOOKUP(D705,'[1]Product Datasheet'!$A:$G,2,0),"")</f>
        <v/>
      </c>
      <c r="B705" s="39" t="str">
        <f>IFERROR(VLOOKUP(D705,'[1]Product Datasheet'!$A:$G,3,0),"")</f>
        <v/>
      </c>
      <c r="C705" s="40"/>
      <c r="D705" s="41"/>
      <c r="E705" s="41"/>
      <c r="F705" s="41"/>
      <c r="G705" s="42"/>
      <c r="H705" s="43"/>
      <c r="I705" s="42"/>
      <c r="J705" s="44"/>
      <c r="K705" s="44"/>
      <c r="L705" s="44"/>
      <c r="M705" s="45" t="str">
        <f t="shared" si="26"/>
        <v>Pass</v>
      </c>
      <c r="N705" s="46" t="str">
        <f>IFERROR(VLOOKUP(D705,'[1]Product Datasheet'!$A:$G,4,0),"")</f>
        <v/>
      </c>
      <c r="O705" s="47" t="str">
        <f>IFERROR(VLOOKUP(D705,'[1]Product Datasheet'!$A:$G,5,0),"")</f>
        <v/>
      </c>
      <c r="P705" s="47" t="str">
        <f>IFERROR(VLOOKUP(D705,'[1]Product Datasheet'!$A:$G,6,0),"")</f>
        <v/>
      </c>
      <c r="Q705" s="47" t="str">
        <f>IFERROR(VLOOKUP(D705,'[1]Product Datasheet'!$A:$G,7,0), "")</f>
        <v/>
      </c>
      <c r="R705" s="48"/>
      <c r="S705" s="49" t="str">
        <f t="shared" si="27"/>
        <v>Accept</v>
      </c>
      <c r="T705" s="50"/>
      <c r="U705" s="51"/>
    </row>
    <row r="706" spans="1:21" ht="24.75" customHeight="1" x14ac:dyDescent="0.3">
      <c r="A706" s="38" t="str">
        <f>IFERROR(VLOOKUP(D706,'[1]Product Datasheet'!$A:$G,2,0),"")</f>
        <v/>
      </c>
      <c r="B706" s="39" t="str">
        <f>IFERROR(VLOOKUP(D706,'[1]Product Datasheet'!$A:$G,3,0),"")</f>
        <v/>
      </c>
      <c r="C706" s="40"/>
      <c r="D706" s="41"/>
      <c r="E706" s="41"/>
      <c r="F706" s="41"/>
      <c r="G706" s="42"/>
      <c r="H706" s="43"/>
      <c r="I706" s="42"/>
      <c r="J706" s="44"/>
      <c r="K706" s="44"/>
      <c r="L706" s="44"/>
      <c r="M706" s="45" t="str">
        <f t="shared" si="26"/>
        <v>Pass</v>
      </c>
      <c r="N706" s="46" t="str">
        <f>IFERROR(VLOOKUP(D706,'[1]Product Datasheet'!$A:$G,4,0),"")</f>
        <v/>
      </c>
      <c r="O706" s="47" t="str">
        <f>IFERROR(VLOOKUP(D706,'[1]Product Datasheet'!$A:$G,5,0),"")</f>
        <v/>
      </c>
      <c r="P706" s="47" t="str">
        <f>IFERROR(VLOOKUP(D706,'[1]Product Datasheet'!$A:$G,6,0),"")</f>
        <v/>
      </c>
      <c r="Q706" s="47" t="str">
        <f>IFERROR(VLOOKUP(D706,'[1]Product Datasheet'!$A:$G,7,0), "")</f>
        <v/>
      </c>
      <c r="R706" s="48"/>
      <c r="S706" s="49" t="str">
        <f t="shared" si="27"/>
        <v>Accept</v>
      </c>
      <c r="T706" s="50"/>
      <c r="U706" s="51"/>
    </row>
    <row r="707" spans="1:21" ht="24.75" customHeight="1" x14ac:dyDescent="0.3">
      <c r="A707" s="38" t="str">
        <f>IFERROR(VLOOKUP(D707,'[1]Product Datasheet'!$A:$G,2,0),"")</f>
        <v/>
      </c>
      <c r="B707" s="39" t="str">
        <f>IFERROR(VLOOKUP(D707,'[1]Product Datasheet'!$A:$G,3,0),"")</f>
        <v/>
      </c>
      <c r="C707" s="40"/>
      <c r="D707" s="41"/>
      <c r="E707" s="41"/>
      <c r="F707" s="41"/>
      <c r="G707" s="42"/>
      <c r="H707" s="43"/>
      <c r="I707" s="42"/>
      <c r="J707" s="44"/>
      <c r="K707" s="44"/>
      <c r="L707" s="44"/>
      <c r="M707" s="45" t="str">
        <f t="shared" si="26"/>
        <v>Pass</v>
      </c>
      <c r="N707" s="46" t="str">
        <f>IFERROR(VLOOKUP(D707,'[1]Product Datasheet'!$A:$G,4,0),"")</f>
        <v/>
      </c>
      <c r="O707" s="47" t="str">
        <f>IFERROR(VLOOKUP(D707,'[1]Product Datasheet'!$A:$G,5,0),"")</f>
        <v/>
      </c>
      <c r="P707" s="47" t="str">
        <f>IFERROR(VLOOKUP(D707,'[1]Product Datasheet'!$A:$G,6,0),"")</f>
        <v/>
      </c>
      <c r="Q707" s="47" t="str">
        <f>IFERROR(VLOOKUP(D707,'[1]Product Datasheet'!$A:$G,7,0), "")</f>
        <v/>
      </c>
      <c r="R707" s="48"/>
      <c r="S707" s="49" t="str">
        <f t="shared" si="27"/>
        <v>Accept</v>
      </c>
      <c r="T707" s="50"/>
      <c r="U707" s="51"/>
    </row>
    <row r="708" spans="1:21" ht="24.75" customHeight="1" x14ac:dyDescent="0.3">
      <c r="A708" s="38" t="str">
        <f>IFERROR(VLOOKUP(D708,'[1]Product Datasheet'!$A:$G,2,0),"")</f>
        <v/>
      </c>
      <c r="B708" s="39" t="str">
        <f>IFERROR(VLOOKUP(D708,'[1]Product Datasheet'!$A:$G,3,0),"")</f>
        <v/>
      </c>
      <c r="C708" s="40"/>
      <c r="D708" s="41"/>
      <c r="E708" s="41"/>
      <c r="F708" s="41"/>
      <c r="G708" s="42"/>
      <c r="H708" s="43"/>
      <c r="I708" s="42"/>
      <c r="J708" s="44"/>
      <c r="K708" s="44"/>
      <c r="L708" s="44"/>
      <c r="M708" s="45" t="str">
        <f t="shared" si="26"/>
        <v>Pass</v>
      </c>
      <c r="N708" s="46" t="str">
        <f>IFERROR(VLOOKUP(D708,'[1]Product Datasheet'!$A:$G,4,0),"")</f>
        <v/>
      </c>
      <c r="O708" s="47" t="str">
        <f>IFERROR(VLOOKUP(D708,'[1]Product Datasheet'!$A:$G,5,0),"")</f>
        <v/>
      </c>
      <c r="P708" s="47" t="str">
        <f>IFERROR(VLOOKUP(D708,'[1]Product Datasheet'!$A:$G,6,0),"")</f>
        <v/>
      </c>
      <c r="Q708" s="47" t="str">
        <f>IFERROR(VLOOKUP(D708,'[1]Product Datasheet'!$A:$G,7,0), "")</f>
        <v/>
      </c>
      <c r="R708" s="48"/>
      <c r="S708" s="49" t="str">
        <f t="shared" si="27"/>
        <v>Accept</v>
      </c>
      <c r="T708" s="50"/>
      <c r="U708" s="51"/>
    </row>
    <row r="709" spans="1:21" ht="24.75" customHeight="1" x14ac:dyDescent="0.3">
      <c r="A709" s="38" t="str">
        <f>IFERROR(VLOOKUP(D709,'[1]Product Datasheet'!$A:$G,2,0),"")</f>
        <v/>
      </c>
      <c r="B709" s="39" t="str">
        <f>IFERROR(VLOOKUP(D709,'[1]Product Datasheet'!$A:$G,3,0),"")</f>
        <v/>
      </c>
      <c r="C709" s="40"/>
      <c r="D709" s="41"/>
      <c r="E709" s="41"/>
      <c r="F709" s="41"/>
      <c r="G709" s="42"/>
      <c r="H709" s="43"/>
      <c r="I709" s="42"/>
      <c r="J709" s="44"/>
      <c r="K709" s="44"/>
      <c r="L709" s="44"/>
      <c r="M709" s="45" t="str">
        <f t="shared" si="26"/>
        <v>Pass</v>
      </c>
      <c r="N709" s="46" t="str">
        <f>IFERROR(VLOOKUP(D709,'[1]Product Datasheet'!$A:$G,4,0),"")</f>
        <v/>
      </c>
      <c r="O709" s="47" t="str">
        <f>IFERROR(VLOOKUP(D709,'[1]Product Datasheet'!$A:$G,5,0),"")</f>
        <v/>
      </c>
      <c r="P709" s="47" t="str">
        <f>IFERROR(VLOOKUP(D709,'[1]Product Datasheet'!$A:$G,6,0),"")</f>
        <v/>
      </c>
      <c r="Q709" s="47" t="str">
        <f>IFERROR(VLOOKUP(D709,'[1]Product Datasheet'!$A:$G,7,0), "")</f>
        <v/>
      </c>
      <c r="R709" s="48"/>
      <c r="S709" s="49" t="str">
        <f t="shared" si="27"/>
        <v>Accept</v>
      </c>
      <c r="T709" s="50"/>
      <c r="U709" s="51"/>
    </row>
    <row r="710" spans="1:21" ht="24.75" customHeight="1" x14ac:dyDescent="0.3">
      <c r="A710" s="38" t="str">
        <f>IFERROR(VLOOKUP(D710,'[1]Product Datasheet'!$A:$G,2,0),"")</f>
        <v/>
      </c>
      <c r="B710" s="39" t="str">
        <f>IFERROR(VLOOKUP(D710,'[1]Product Datasheet'!$A:$G,3,0),"")</f>
        <v/>
      </c>
      <c r="C710" s="40"/>
      <c r="D710" s="41"/>
      <c r="E710" s="41"/>
      <c r="F710" s="41"/>
      <c r="G710" s="42"/>
      <c r="H710" s="43"/>
      <c r="I710" s="42"/>
      <c r="J710" s="44"/>
      <c r="K710" s="44"/>
      <c r="L710" s="44"/>
      <c r="M710" s="45" t="str">
        <f t="shared" si="26"/>
        <v>Pass</v>
      </c>
      <c r="N710" s="46" t="str">
        <f>IFERROR(VLOOKUP(D710,'[1]Product Datasheet'!$A:$G,4,0),"")</f>
        <v/>
      </c>
      <c r="O710" s="47" t="str">
        <f>IFERROR(VLOOKUP(D710,'[1]Product Datasheet'!$A:$G,5,0),"")</f>
        <v/>
      </c>
      <c r="P710" s="47" t="str">
        <f>IFERROR(VLOOKUP(D710,'[1]Product Datasheet'!$A:$G,6,0),"")</f>
        <v/>
      </c>
      <c r="Q710" s="47" t="str">
        <f>IFERROR(VLOOKUP(D710,'[1]Product Datasheet'!$A:$G,7,0), "")</f>
        <v/>
      </c>
      <c r="R710" s="48"/>
      <c r="S710" s="49" t="str">
        <f t="shared" si="27"/>
        <v>Accept</v>
      </c>
      <c r="T710" s="50"/>
      <c r="U710" s="51"/>
    </row>
    <row r="711" spans="1:21" ht="24.75" customHeight="1" x14ac:dyDescent="0.3">
      <c r="A711" s="38" t="str">
        <f>IFERROR(VLOOKUP(D711,'[1]Product Datasheet'!$A:$G,2,0),"")</f>
        <v/>
      </c>
      <c r="B711" s="39" t="str">
        <f>IFERROR(VLOOKUP(D711,'[1]Product Datasheet'!$A:$G,3,0),"")</f>
        <v/>
      </c>
      <c r="C711" s="40"/>
      <c r="D711" s="41"/>
      <c r="E711" s="41"/>
      <c r="F711" s="41"/>
      <c r="G711" s="42"/>
      <c r="H711" s="43"/>
      <c r="I711" s="42"/>
      <c r="J711" s="44"/>
      <c r="K711" s="44"/>
      <c r="L711" s="44"/>
      <c r="M711" s="45" t="str">
        <f t="shared" si="26"/>
        <v>Pass</v>
      </c>
      <c r="N711" s="46" t="str">
        <f>IFERROR(VLOOKUP(D711,'[1]Product Datasheet'!$A:$G,4,0),"")</f>
        <v/>
      </c>
      <c r="O711" s="47" t="str">
        <f>IFERROR(VLOOKUP(D711,'[1]Product Datasheet'!$A:$G,5,0),"")</f>
        <v/>
      </c>
      <c r="P711" s="47" t="str">
        <f>IFERROR(VLOOKUP(D711,'[1]Product Datasheet'!$A:$G,6,0),"")</f>
        <v/>
      </c>
      <c r="Q711" s="47" t="str">
        <f>IFERROR(VLOOKUP(D711,'[1]Product Datasheet'!$A:$G,7,0), "")</f>
        <v/>
      </c>
      <c r="R711" s="48"/>
      <c r="S711" s="49" t="str">
        <f t="shared" si="27"/>
        <v>Accept</v>
      </c>
      <c r="T711" s="50"/>
      <c r="U711" s="51"/>
    </row>
    <row r="712" spans="1:21" ht="24.75" customHeight="1" x14ac:dyDescent="0.3">
      <c r="A712" s="38" t="str">
        <f>IFERROR(VLOOKUP(D712,'[1]Product Datasheet'!$A:$G,2,0),"")</f>
        <v/>
      </c>
      <c r="B712" s="39" t="str">
        <f>IFERROR(VLOOKUP(D712,'[1]Product Datasheet'!$A:$G,3,0),"")</f>
        <v/>
      </c>
      <c r="C712" s="40"/>
      <c r="D712" s="41"/>
      <c r="E712" s="41"/>
      <c r="F712" s="41"/>
      <c r="G712" s="42"/>
      <c r="H712" s="43"/>
      <c r="I712" s="42"/>
      <c r="J712" s="44"/>
      <c r="K712" s="44"/>
      <c r="L712" s="44"/>
      <c r="M712" s="45" t="str">
        <f t="shared" si="26"/>
        <v>Pass</v>
      </c>
      <c r="N712" s="46" t="str">
        <f>IFERROR(VLOOKUP(D712,'[1]Product Datasheet'!$A:$G,4,0),"")</f>
        <v/>
      </c>
      <c r="O712" s="47" t="str">
        <f>IFERROR(VLOOKUP(D712,'[1]Product Datasheet'!$A:$G,5,0),"")</f>
        <v/>
      </c>
      <c r="P712" s="47" t="str">
        <f>IFERROR(VLOOKUP(D712,'[1]Product Datasheet'!$A:$G,6,0),"")</f>
        <v/>
      </c>
      <c r="Q712" s="47" t="str">
        <f>IFERROR(VLOOKUP(D712,'[1]Product Datasheet'!$A:$G,7,0), "")</f>
        <v/>
      </c>
      <c r="R712" s="48"/>
      <c r="S712" s="49" t="str">
        <f t="shared" si="27"/>
        <v>Accept</v>
      </c>
      <c r="T712" s="50"/>
      <c r="U712" s="51"/>
    </row>
    <row r="713" spans="1:21" ht="24.75" customHeight="1" x14ac:dyDescent="0.3">
      <c r="A713" s="38" t="str">
        <f>IFERROR(VLOOKUP(D713,'[1]Product Datasheet'!$A:$G,2,0),"")</f>
        <v/>
      </c>
      <c r="B713" s="39" t="str">
        <f>IFERROR(VLOOKUP(D713,'[1]Product Datasheet'!$A:$G,3,0),"")</f>
        <v/>
      </c>
      <c r="C713" s="40"/>
      <c r="D713" s="41"/>
      <c r="E713" s="41"/>
      <c r="F713" s="41"/>
      <c r="G713" s="42"/>
      <c r="H713" s="43"/>
      <c r="I713" s="42"/>
      <c r="J713" s="44"/>
      <c r="K713" s="44"/>
      <c r="L713" s="44"/>
      <c r="M713" s="45" t="str">
        <f t="shared" ref="M713:M776" si="28">IF(AND(G713&lt;=O713,G713&gt;=N713,H713&lt;=Q713,H713&gt;=P713),"Pass","Fail")</f>
        <v>Pass</v>
      </c>
      <c r="N713" s="46" t="str">
        <f>IFERROR(VLOOKUP(D713,'[1]Product Datasheet'!$A:$G,4,0),"")</f>
        <v/>
      </c>
      <c r="O713" s="47" t="str">
        <f>IFERROR(VLOOKUP(D713,'[1]Product Datasheet'!$A:$G,5,0),"")</f>
        <v/>
      </c>
      <c r="P713" s="47" t="str">
        <f>IFERROR(VLOOKUP(D713,'[1]Product Datasheet'!$A:$G,6,0),"")</f>
        <v/>
      </c>
      <c r="Q713" s="47" t="str">
        <f>IFERROR(VLOOKUP(D713,'[1]Product Datasheet'!$A:$G,7,0), "")</f>
        <v/>
      </c>
      <c r="R713" s="48"/>
      <c r="S713" s="49" t="str">
        <f t="shared" ref="S713:S776" si="29">IFERROR(IF(AND(ROUND(H713, 2)&lt;=Q713, ROUND(G713,1)&lt;=O713), "Accept", "Reject"),"Reject")</f>
        <v>Accept</v>
      </c>
      <c r="T713" s="50"/>
      <c r="U713" s="51"/>
    </row>
    <row r="714" spans="1:21" ht="24.75" customHeight="1" x14ac:dyDescent="0.3">
      <c r="A714" s="38" t="str">
        <f>IFERROR(VLOOKUP(D714,'[1]Product Datasheet'!$A:$G,2,0),"")</f>
        <v/>
      </c>
      <c r="B714" s="39" t="str">
        <f>IFERROR(VLOOKUP(D714,'[1]Product Datasheet'!$A:$G,3,0),"")</f>
        <v/>
      </c>
      <c r="C714" s="40"/>
      <c r="D714" s="41"/>
      <c r="E714" s="41"/>
      <c r="F714" s="41"/>
      <c r="G714" s="42"/>
      <c r="H714" s="43"/>
      <c r="I714" s="42"/>
      <c r="J714" s="44"/>
      <c r="K714" s="44"/>
      <c r="L714" s="44"/>
      <c r="M714" s="45" t="str">
        <f t="shared" si="28"/>
        <v>Pass</v>
      </c>
      <c r="N714" s="46" t="str">
        <f>IFERROR(VLOOKUP(D714,'[1]Product Datasheet'!$A:$G,4,0),"")</f>
        <v/>
      </c>
      <c r="O714" s="47" t="str">
        <f>IFERROR(VLOOKUP(D714,'[1]Product Datasheet'!$A:$G,5,0),"")</f>
        <v/>
      </c>
      <c r="P714" s="47" t="str">
        <f>IFERROR(VLOOKUP(D714,'[1]Product Datasheet'!$A:$G,6,0),"")</f>
        <v/>
      </c>
      <c r="Q714" s="47" t="str">
        <f>IFERROR(VLOOKUP(D714,'[1]Product Datasheet'!$A:$G,7,0), "")</f>
        <v/>
      </c>
      <c r="R714" s="48"/>
      <c r="S714" s="49" t="str">
        <f t="shared" si="29"/>
        <v>Accept</v>
      </c>
      <c r="T714" s="50"/>
      <c r="U714" s="51"/>
    </row>
    <row r="715" spans="1:21" ht="24.75" customHeight="1" x14ac:dyDescent="0.3">
      <c r="A715" s="38" t="str">
        <f>IFERROR(VLOOKUP(D715,'[1]Product Datasheet'!$A:$G,2,0),"")</f>
        <v/>
      </c>
      <c r="B715" s="39" t="str">
        <f>IFERROR(VLOOKUP(D715,'[1]Product Datasheet'!$A:$G,3,0),"")</f>
        <v/>
      </c>
      <c r="C715" s="40"/>
      <c r="D715" s="41"/>
      <c r="E715" s="41"/>
      <c r="F715" s="41"/>
      <c r="G715" s="42"/>
      <c r="H715" s="43"/>
      <c r="I715" s="42"/>
      <c r="J715" s="44"/>
      <c r="K715" s="44"/>
      <c r="L715" s="44"/>
      <c r="M715" s="45" t="str">
        <f t="shared" si="28"/>
        <v>Pass</v>
      </c>
      <c r="N715" s="46" t="str">
        <f>IFERROR(VLOOKUP(D715,'[1]Product Datasheet'!$A:$G,4,0),"")</f>
        <v/>
      </c>
      <c r="O715" s="47" t="str">
        <f>IFERROR(VLOOKUP(D715,'[1]Product Datasheet'!$A:$G,5,0),"")</f>
        <v/>
      </c>
      <c r="P715" s="47" t="str">
        <f>IFERROR(VLOOKUP(D715,'[1]Product Datasheet'!$A:$G,6,0),"")</f>
        <v/>
      </c>
      <c r="Q715" s="47" t="str">
        <f>IFERROR(VLOOKUP(D715,'[1]Product Datasheet'!$A:$G,7,0), "")</f>
        <v/>
      </c>
      <c r="R715" s="48"/>
      <c r="S715" s="49" t="str">
        <f t="shared" si="29"/>
        <v>Accept</v>
      </c>
      <c r="T715" s="50"/>
      <c r="U715" s="51"/>
    </row>
    <row r="716" spans="1:21" ht="24.75" customHeight="1" x14ac:dyDescent="0.3">
      <c r="A716" s="38" t="str">
        <f>IFERROR(VLOOKUP(D716,'[1]Product Datasheet'!$A:$G,2,0),"")</f>
        <v/>
      </c>
      <c r="B716" s="39" t="str">
        <f>IFERROR(VLOOKUP(D716,'[1]Product Datasheet'!$A:$G,3,0),"")</f>
        <v/>
      </c>
      <c r="C716" s="40"/>
      <c r="D716" s="41"/>
      <c r="E716" s="41"/>
      <c r="F716" s="41"/>
      <c r="G716" s="42"/>
      <c r="H716" s="43"/>
      <c r="I716" s="42"/>
      <c r="J716" s="44"/>
      <c r="K716" s="44"/>
      <c r="L716" s="44"/>
      <c r="M716" s="45" t="str">
        <f t="shared" si="28"/>
        <v>Pass</v>
      </c>
      <c r="N716" s="46" t="str">
        <f>IFERROR(VLOOKUP(D716,'[1]Product Datasheet'!$A:$G,4,0),"")</f>
        <v/>
      </c>
      <c r="O716" s="47" t="str">
        <f>IFERROR(VLOOKUP(D716,'[1]Product Datasheet'!$A:$G,5,0),"")</f>
        <v/>
      </c>
      <c r="P716" s="47" t="str">
        <f>IFERROR(VLOOKUP(D716,'[1]Product Datasheet'!$A:$G,6,0),"")</f>
        <v/>
      </c>
      <c r="Q716" s="47" t="str">
        <f>IFERROR(VLOOKUP(D716,'[1]Product Datasheet'!$A:$G,7,0), "")</f>
        <v/>
      </c>
      <c r="R716" s="48"/>
      <c r="S716" s="49" t="str">
        <f t="shared" si="29"/>
        <v>Accept</v>
      </c>
      <c r="T716" s="50"/>
      <c r="U716" s="51"/>
    </row>
    <row r="717" spans="1:21" ht="24.75" customHeight="1" x14ac:dyDescent="0.3">
      <c r="A717" s="38" t="str">
        <f>IFERROR(VLOOKUP(D717,'[1]Product Datasheet'!$A:$G,2,0),"")</f>
        <v/>
      </c>
      <c r="B717" s="39" t="str">
        <f>IFERROR(VLOOKUP(D717,'[1]Product Datasheet'!$A:$G,3,0),"")</f>
        <v/>
      </c>
      <c r="C717" s="40"/>
      <c r="D717" s="41"/>
      <c r="E717" s="41"/>
      <c r="F717" s="41"/>
      <c r="G717" s="42"/>
      <c r="H717" s="43"/>
      <c r="I717" s="42"/>
      <c r="J717" s="44"/>
      <c r="K717" s="44"/>
      <c r="L717" s="44"/>
      <c r="M717" s="45" t="str">
        <f t="shared" si="28"/>
        <v>Pass</v>
      </c>
      <c r="N717" s="46" t="str">
        <f>IFERROR(VLOOKUP(D717,'[1]Product Datasheet'!$A:$G,4,0),"")</f>
        <v/>
      </c>
      <c r="O717" s="47" t="str">
        <f>IFERROR(VLOOKUP(D717,'[1]Product Datasheet'!$A:$G,5,0),"")</f>
        <v/>
      </c>
      <c r="P717" s="47" t="str">
        <f>IFERROR(VLOOKUP(D717,'[1]Product Datasheet'!$A:$G,6,0),"")</f>
        <v/>
      </c>
      <c r="Q717" s="47" t="str">
        <f>IFERROR(VLOOKUP(D717,'[1]Product Datasheet'!$A:$G,7,0), "")</f>
        <v/>
      </c>
      <c r="R717" s="48"/>
      <c r="S717" s="49" t="str">
        <f t="shared" si="29"/>
        <v>Accept</v>
      </c>
      <c r="T717" s="50"/>
      <c r="U717" s="51"/>
    </row>
    <row r="718" spans="1:21" ht="24.75" customHeight="1" x14ac:dyDescent="0.3">
      <c r="A718" s="38" t="str">
        <f>IFERROR(VLOOKUP(D718,'[1]Product Datasheet'!$A:$G,2,0),"")</f>
        <v/>
      </c>
      <c r="B718" s="39" t="str">
        <f>IFERROR(VLOOKUP(D718,'[1]Product Datasheet'!$A:$G,3,0),"")</f>
        <v/>
      </c>
      <c r="C718" s="40"/>
      <c r="D718" s="41"/>
      <c r="E718" s="41"/>
      <c r="F718" s="41"/>
      <c r="G718" s="42"/>
      <c r="H718" s="43"/>
      <c r="I718" s="42"/>
      <c r="J718" s="44"/>
      <c r="K718" s="44"/>
      <c r="L718" s="44"/>
      <c r="M718" s="45" t="str">
        <f t="shared" si="28"/>
        <v>Pass</v>
      </c>
      <c r="N718" s="46" t="str">
        <f>IFERROR(VLOOKUP(D718,'[1]Product Datasheet'!$A:$G,4,0),"")</f>
        <v/>
      </c>
      <c r="O718" s="47" t="str">
        <f>IFERROR(VLOOKUP(D718,'[1]Product Datasheet'!$A:$G,5,0),"")</f>
        <v/>
      </c>
      <c r="P718" s="47" t="str">
        <f>IFERROR(VLOOKUP(D718,'[1]Product Datasheet'!$A:$G,6,0),"")</f>
        <v/>
      </c>
      <c r="Q718" s="47" t="str">
        <f>IFERROR(VLOOKUP(D718,'[1]Product Datasheet'!$A:$G,7,0), "")</f>
        <v/>
      </c>
      <c r="R718" s="48"/>
      <c r="S718" s="49" t="str">
        <f t="shared" si="29"/>
        <v>Accept</v>
      </c>
      <c r="T718" s="50"/>
      <c r="U718" s="51"/>
    </row>
    <row r="719" spans="1:21" ht="24.75" customHeight="1" x14ac:dyDescent="0.3">
      <c r="A719" s="38" t="str">
        <f>IFERROR(VLOOKUP(D719,'[1]Product Datasheet'!$A:$G,2,0),"")</f>
        <v/>
      </c>
      <c r="B719" s="39" t="str">
        <f>IFERROR(VLOOKUP(D719,'[1]Product Datasheet'!$A:$G,3,0),"")</f>
        <v/>
      </c>
      <c r="C719" s="40"/>
      <c r="D719" s="41"/>
      <c r="E719" s="41"/>
      <c r="F719" s="41"/>
      <c r="G719" s="42"/>
      <c r="H719" s="43"/>
      <c r="I719" s="42"/>
      <c r="J719" s="44"/>
      <c r="K719" s="44"/>
      <c r="L719" s="44"/>
      <c r="M719" s="45" t="str">
        <f t="shared" si="28"/>
        <v>Pass</v>
      </c>
      <c r="N719" s="46" t="str">
        <f>IFERROR(VLOOKUP(D719,'[1]Product Datasheet'!$A:$G,4,0),"")</f>
        <v/>
      </c>
      <c r="O719" s="47" t="str">
        <f>IFERROR(VLOOKUP(D719,'[1]Product Datasheet'!$A:$G,5,0),"")</f>
        <v/>
      </c>
      <c r="P719" s="47" t="str">
        <f>IFERROR(VLOOKUP(D719,'[1]Product Datasheet'!$A:$G,6,0),"")</f>
        <v/>
      </c>
      <c r="Q719" s="47" t="str">
        <f>IFERROR(VLOOKUP(D719,'[1]Product Datasheet'!$A:$G,7,0), "")</f>
        <v/>
      </c>
      <c r="R719" s="48"/>
      <c r="S719" s="49" t="str">
        <f t="shared" si="29"/>
        <v>Accept</v>
      </c>
      <c r="T719" s="50"/>
      <c r="U719" s="51"/>
    </row>
    <row r="720" spans="1:21" ht="24.75" customHeight="1" x14ac:dyDescent="0.3">
      <c r="A720" s="38" t="str">
        <f>IFERROR(VLOOKUP(D720,'[1]Product Datasheet'!$A:$G,2,0),"")</f>
        <v/>
      </c>
      <c r="B720" s="39" t="str">
        <f>IFERROR(VLOOKUP(D720,'[1]Product Datasheet'!$A:$G,3,0),"")</f>
        <v/>
      </c>
      <c r="C720" s="40"/>
      <c r="D720" s="41"/>
      <c r="E720" s="41"/>
      <c r="F720" s="41"/>
      <c r="G720" s="42"/>
      <c r="H720" s="43"/>
      <c r="I720" s="42"/>
      <c r="J720" s="44"/>
      <c r="K720" s="44"/>
      <c r="L720" s="44"/>
      <c r="M720" s="45" t="str">
        <f t="shared" si="28"/>
        <v>Pass</v>
      </c>
      <c r="N720" s="46" t="str">
        <f>IFERROR(VLOOKUP(D720,'[1]Product Datasheet'!$A:$G,4,0),"")</f>
        <v/>
      </c>
      <c r="O720" s="47" t="str">
        <f>IFERROR(VLOOKUP(D720,'[1]Product Datasheet'!$A:$G,5,0),"")</f>
        <v/>
      </c>
      <c r="P720" s="47" t="str">
        <f>IFERROR(VLOOKUP(D720,'[1]Product Datasheet'!$A:$G,6,0),"")</f>
        <v/>
      </c>
      <c r="Q720" s="47" t="str">
        <f>IFERROR(VLOOKUP(D720,'[1]Product Datasheet'!$A:$G,7,0), "")</f>
        <v/>
      </c>
      <c r="R720" s="48"/>
      <c r="S720" s="49" t="str">
        <f t="shared" si="29"/>
        <v>Accept</v>
      </c>
      <c r="T720" s="50"/>
      <c r="U720" s="51"/>
    </row>
    <row r="721" spans="1:21" ht="24.75" customHeight="1" x14ac:dyDescent="0.3">
      <c r="A721" s="38" t="str">
        <f>IFERROR(VLOOKUP(D721,'[1]Product Datasheet'!$A:$G,2,0),"")</f>
        <v/>
      </c>
      <c r="B721" s="39" t="str">
        <f>IFERROR(VLOOKUP(D721,'[1]Product Datasheet'!$A:$G,3,0),"")</f>
        <v/>
      </c>
      <c r="C721" s="40"/>
      <c r="D721" s="41"/>
      <c r="E721" s="41"/>
      <c r="F721" s="41"/>
      <c r="G721" s="42"/>
      <c r="H721" s="43"/>
      <c r="I721" s="42"/>
      <c r="J721" s="44"/>
      <c r="K721" s="44"/>
      <c r="L721" s="44"/>
      <c r="M721" s="45" t="str">
        <f t="shared" si="28"/>
        <v>Pass</v>
      </c>
      <c r="N721" s="46" t="str">
        <f>IFERROR(VLOOKUP(D721,'[1]Product Datasheet'!$A:$G,4,0),"")</f>
        <v/>
      </c>
      <c r="O721" s="47" t="str">
        <f>IFERROR(VLOOKUP(D721,'[1]Product Datasheet'!$A:$G,5,0),"")</f>
        <v/>
      </c>
      <c r="P721" s="47" t="str">
        <f>IFERROR(VLOOKUP(D721,'[1]Product Datasheet'!$A:$G,6,0),"")</f>
        <v/>
      </c>
      <c r="Q721" s="47" t="str">
        <f>IFERROR(VLOOKUP(D721,'[1]Product Datasheet'!$A:$G,7,0), "")</f>
        <v/>
      </c>
      <c r="R721" s="48"/>
      <c r="S721" s="49" t="str">
        <f t="shared" si="29"/>
        <v>Accept</v>
      </c>
      <c r="T721" s="50"/>
      <c r="U721" s="51"/>
    </row>
    <row r="722" spans="1:21" ht="24.75" customHeight="1" x14ac:dyDescent="0.3">
      <c r="A722" s="38" t="str">
        <f>IFERROR(VLOOKUP(D722,'[1]Product Datasheet'!$A:$G,2,0),"")</f>
        <v/>
      </c>
      <c r="B722" s="39" t="str">
        <f>IFERROR(VLOOKUP(D722,'[1]Product Datasheet'!$A:$G,3,0),"")</f>
        <v/>
      </c>
      <c r="C722" s="40"/>
      <c r="D722" s="41"/>
      <c r="E722" s="41"/>
      <c r="F722" s="41"/>
      <c r="G722" s="42"/>
      <c r="H722" s="43"/>
      <c r="I722" s="42"/>
      <c r="J722" s="44"/>
      <c r="K722" s="44"/>
      <c r="L722" s="44"/>
      <c r="M722" s="45" t="str">
        <f t="shared" si="28"/>
        <v>Pass</v>
      </c>
      <c r="N722" s="46" t="str">
        <f>IFERROR(VLOOKUP(D722,'[1]Product Datasheet'!$A:$G,4,0),"")</f>
        <v/>
      </c>
      <c r="O722" s="47" t="str">
        <f>IFERROR(VLOOKUP(D722,'[1]Product Datasheet'!$A:$G,5,0),"")</f>
        <v/>
      </c>
      <c r="P722" s="47" t="str">
        <f>IFERROR(VLOOKUP(D722,'[1]Product Datasheet'!$A:$G,6,0),"")</f>
        <v/>
      </c>
      <c r="Q722" s="47" t="str">
        <f>IFERROR(VLOOKUP(D722,'[1]Product Datasheet'!$A:$G,7,0), "")</f>
        <v/>
      </c>
      <c r="R722" s="48"/>
      <c r="S722" s="49" t="str">
        <f t="shared" si="29"/>
        <v>Accept</v>
      </c>
      <c r="T722" s="50"/>
      <c r="U722" s="51"/>
    </row>
    <row r="723" spans="1:21" ht="24.75" customHeight="1" x14ac:dyDescent="0.3">
      <c r="A723" s="38" t="str">
        <f>IFERROR(VLOOKUP(D723,'[1]Product Datasheet'!$A:$G,2,0),"")</f>
        <v/>
      </c>
      <c r="B723" s="39" t="str">
        <f>IFERROR(VLOOKUP(D723,'[1]Product Datasheet'!$A:$G,3,0),"")</f>
        <v/>
      </c>
      <c r="C723" s="40"/>
      <c r="D723" s="41"/>
      <c r="E723" s="41"/>
      <c r="F723" s="41"/>
      <c r="G723" s="42"/>
      <c r="H723" s="43"/>
      <c r="I723" s="42"/>
      <c r="J723" s="44"/>
      <c r="K723" s="44"/>
      <c r="L723" s="44"/>
      <c r="M723" s="45" t="str">
        <f t="shared" si="28"/>
        <v>Pass</v>
      </c>
      <c r="N723" s="46" t="str">
        <f>IFERROR(VLOOKUP(D723,'[1]Product Datasheet'!$A:$G,4,0),"")</f>
        <v/>
      </c>
      <c r="O723" s="47" t="str">
        <f>IFERROR(VLOOKUP(D723,'[1]Product Datasheet'!$A:$G,5,0),"")</f>
        <v/>
      </c>
      <c r="P723" s="47" t="str">
        <f>IFERROR(VLOOKUP(D723,'[1]Product Datasheet'!$A:$G,6,0),"")</f>
        <v/>
      </c>
      <c r="Q723" s="47" t="str">
        <f>IFERROR(VLOOKUP(D723,'[1]Product Datasheet'!$A:$G,7,0), "")</f>
        <v/>
      </c>
      <c r="R723" s="48"/>
      <c r="S723" s="49" t="str">
        <f t="shared" si="29"/>
        <v>Accept</v>
      </c>
      <c r="T723" s="50"/>
      <c r="U723" s="51"/>
    </row>
    <row r="724" spans="1:21" ht="24.75" customHeight="1" x14ac:dyDescent="0.3">
      <c r="A724" s="38" t="str">
        <f>IFERROR(VLOOKUP(D724,'[1]Product Datasheet'!$A:$G,2,0),"")</f>
        <v/>
      </c>
      <c r="B724" s="39" t="str">
        <f>IFERROR(VLOOKUP(D724,'[1]Product Datasheet'!$A:$G,3,0),"")</f>
        <v/>
      </c>
      <c r="C724" s="40"/>
      <c r="D724" s="41"/>
      <c r="E724" s="41"/>
      <c r="F724" s="41"/>
      <c r="G724" s="42"/>
      <c r="H724" s="43"/>
      <c r="I724" s="42"/>
      <c r="J724" s="44"/>
      <c r="K724" s="44"/>
      <c r="L724" s="44"/>
      <c r="M724" s="45" t="str">
        <f t="shared" si="28"/>
        <v>Pass</v>
      </c>
      <c r="N724" s="46" t="str">
        <f>IFERROR(VLOOKUP(D724,'[1]Product Datasheet'!$A:$G,4,0),"")</f>
        <v/>
      </c>
      <c r="O724" s="47" t="str">
        <f>IFERROR(VLOOKUP(D724,'[1]Product Datasheet'!$A:$G,5,0),"")</f>
        <v/>
      </c>
      <c r="P724" s="47" t="str">
        <f>IFERROR(VLOOKUP(D724,'[1]Product Datasheet'!$A:$G,6,0),"")</f>
        <v/>
      </c>
      <c r="Q724" s="47" t="str">
        <f>IFERROR(VLOOKUP(D724,'[1]Product Datasheet'!$A:$G,7,0), "")</f>
        <v/>
      </c>
      <c r="R724" s="48"/>
      <c r="S724" s="49" t="str">
        <f t="shared" si="29"/>
        <v>Accept</v>
      </c>
      <c r="T724" s="50"/>
      <c r="U724" s="51"/>
    </row>
    <row r="725" spans="1:21" ht="24.75" customHeight="1" x14ac:dyDescent="0.3">
      <c r="A725" s="38" t="str">
        <f>IFERROR(VLOOKUP(D725,'[1]Product Datasheet'!$A:$G,2,0),"")</f>
        <v/>
      </c>
      <c r="B725" s="39" t="str">
        <f>IFERROR(VLOOKUP(D725,'[1]Product Datasheet'!$A:$G,3,0),"")</f>
        <v/>
      </c>
      <c r="C725" s="40"/>
      <c r="D725" s="41"/>
      <c r="E725" s="41"/>
      <c r="F725" s="41"/>
      <c r="G725" s="42"/>
      <c r="H725" s="43"/>
      <c r="I725" s="42"/>
      <c r="J725" s="44"/>
      <c r="K725" s="44"/>
      <c r="L725" s="44"/>
      <c r="M725" s="45" t="str">
        <f t="shared" si="28"/>
        <v>Pass</v>
      </c>
      <c r="N725" s="46" t="str">
        <f>IFERROR(VLOOKUP(D725,'[1]Product Datasheet'!$A:$G,4,0),"")</f>
        <v/>
      </c>
      <c r="O725" s="47" t="str">
        <f>IFERROR(VLOOKUP(D725,'[1]Product Datasheet'!$A:$G,5,0),"")</f>
        <v/>
      </c>
      <c r="P725" s="47" t="str">
        <f>IFERROR(VLOOKUP(D725,'[1]Product Datasheet'!$A:$G,6,0),"")</f>
        <v/>
      </c>
      <c r="Q725" s="47" t="str">
        <f>IFERROR(VLOOKUP(D725,'[1]Product Datasheet'!$A:$G,7,0), "")</f>
        <v/>
      </c>
      <c r="R725" s="48"/>
      <c r="S725" s="49" t="str">
        <f t="shared" si="29"/>
        <v>Accept</v>
      </c>
      <c r="T725" s="50"/>
      <c r="U725" s="51"/>
    </row>
    <row r="726" spans="1:21" ht="24.75" customHeight="1" x14ac:dyDescent="0.3">
      <c r="A726" s="38" t="str">
        <f>IFERROR(VLOOKUP(D726,'[1]Product Datasheet'!$A:$G,2,0),"")</f>
        <v/>
      </c>
      <c r="B726" s="39" t="str">
        <f>IFERROR(VLOOKUP(D726,'[1]Product Datasheet'!$A:$G,3,0),"")</f>
        <v/>
      </c>
      <c r="C726" s="40"/>
      <c r="D726" s="41"/>
      <c r="E726" s="41"/>
      <c r="F726" s="41"/>
      <c r="G726" s="42"/>
      <c r="H726" s="43"/>
      <c r="I726" s="42"/>
      <c r="J726" s="44"/>
      <c r="K726" s="44"/>
      <c r="L726" s="44"/>
      <c r="M726" s="45" t="str">
        <f t="shared" si="28"/>
        <v>Pass</v>
      </c>
      <c r="N726" s="46" t="str">
        <f>IFERROR(VLOOKUP(D726,'[1]Product Datasheet'!$A:$G,4,0),"")</f>
        <v/>
      </c>
      <c r="O726" s="47" t="str">
        <f>IFERROR(VLOOKUP(D726,'[1]Product Datasheet'!$A:$G,5,0),"")</f>
        <v/>
      </c>
      <c r="P726" s="47" t="str">
        <f>IFERROR(VLOOKUP(D726,'[1]Product Datasheet'!$A:$G,6,0),"")</f>
        <v/>
      </c>
      <c r="Q726" s="47" t="str">
        <f>IFERROR(VLOOKUP(D726,'[1]Product Datasheet'!$A:$G,7,0), "")</f>
        <v/>
      </c>
      <c r="R726" s="48"/>
      <c r="S726" s="49" t="str">
        <f t="shared" si="29"/>
        <v>Accept</v>
      </c>
      <c r="T726" s="50"/>
      <c r="U726" s="51"/>
    </row>
    <row r="727" spans="1:21" ht="24.75" customHeight="1" x14ac:dyDescent="0.3">
      <c r="A727" s="38" t="str">
        <f>IFERROR(VLOOKUP(D727,'[1]Product Datasheet'!$A:$G,2,0),"")</f>
        <v/>
      </c>
      <c r="B727" s="39" t="str">
        <f>IFERROR(VLOOKUP(D727,'[1]Product Datasheet'!$A:$G,3,0),"")</f>
        <v/>
      </c>
      <c r="C727" s="40"/>
      <c r="D727" s="41"/>
      <c r="E727" s="41"/>
      <c r="F727" s="41"/>
      <c r="G727" s="42"/>
      <c r="H727" s="43"/>
      <c r="I727" s="42"/>
      <c r="J727" s="44"/>
      <c r="K727" s="44"/>
      <c r="L727" s="44"/>
      <c r="M727" s="45" t="str">
        <f t="shared" si="28"/>
        <v>Pass</v>
      </c>
      <c r="N727" s="46" t="str">
        <f>IFERROR(VLOOKUP(D727,'[1]Product Datasheet'!$A:$G,4,0),"")</f>
        <v/>
      </c>
      <c r="O727" s="47" t="str">
        <f>IFERROR(VLOOKUP(D727,'[1]Product Datasheet'!$A:$G,5,0),"")</f>
        <v/>
      </c>
      <c r="P727" s="47" t="str">
        <f>IFERROR(VLOOKUP(D727,'[1]Product Datasheet'!$A:$G,6,0),"")</f>
        <v/>
      </c>
      <c r="Q727" s="47" t="str">
        <f>IFERROR(VLOOKUP(D727,'[1]Product Datasheet'!$A:$G,7,0), "")</f>
        <v/>
      </c>
      <c r="R727" s="48"/>
      <c r="S727" s="49" t="str">
        <f t="shared" si="29"/>
        <v>Accept</v>
      </c>
      <c r="T727" s="50"/>
      <c r="U727" s="51"/>
    </row>
    <row r="728" spans="1:21" ht="24.75" customHeight="1" x14ac:dyDescent="0.3">
      <c r="A728" s="38" t="str">
        <f>IFERROR(VLOOKUP(D728,'[1]Product Datasheet'!$A:$G,2,0),"")</f>
        <v/>
      </c>
      <c r="B728" s="39" t="str">
        <f>IFERROR(VLOOKUP(D728,'[1]Product Datasheet'!$A:$G,3,0),"")</f>
        <v/>
      </c>
      <c r="C728" s="40"/>
      <c r="D728" s="41"/>
      <c r="E728" s="41"/>
      <c r="F728" s="41"/>
      <c r="G728" s="42"/>
      <c r="H728" s="43"/>
      <c r="I728" s="42"/>
      <c r="J728" s="44"/>
      <c r="K728" s="44"/>
      <c r="L728" s="44"/>
      <c r="M728" s="45" t="str">
        <f t="shared" si="28"/>
        <v>Pass</v>
      </c>
      <c r="N728" s="46" t="str">
        <f>IFERROR(VLOOKUP(D728,'[1]Product Datasheet'!$A:$G,4,0),"")</f>
        <v/>
      </c>
      <c r="O728" s="47" t="str">
        <f>IFERROR(VLOOKUP(D728,'[1]Product Datasheet'!$A:$G,5,0),"")</f>
        <v/>
      </c>
      <c r="P728" s="47" t="str">
        <f>IFERROR(VLOOKUP(D728,'[1]Product Datasheet'!$A:$G,6,0),"")</f>
        <v/>
      </c>
      <c r="Q728" s="47" t="str">
        <f>IFERROR(VLOOKUP(D728,'[1]Product Datasheet'!$A:$G,7,0), "")</f>
        <v/>
      </c>
      <c r="R728" s="48"/>
      <c r="S728" s="49" t="str">
        <f t="shared" si="29"/>
        <v>Accept</v>
      </c>
      <c r="T728" s="50"/>
      <c r="U728" s="51"/>
    </row>
    <row r="729" spans="1:21" ht="24.75" customHeight="1" x14ac:dyDescent="0.3">
      <c r="A729" s="38" t="str">
        <f>IFERROR(VLOOKUP(D729,'[1]Product Datasheet'!$A:$G,2,0),"")</f>
        <v/>
      </c>
      <c r="B729" s="39" t="str">
        <f>IFERROR(VLOOKUP(D729,'[1]Product Datasheet'!$A:$G,3,0),"")</f>
        <v/>
      </c>
      <c r="C729" s="40"/>
      <c r="D729" s="41"/>
      <c r="E729" s="41"/>
      <c r="F729" s="41"/>
      <c r="G729" s="42"/>
      <c r="H729" s="43"/>
      <c r="I729" s="42"/>
      <c r="J729" s="44"/>
      <c r="K729" s="44"/>
      <c r="L729" s="44"/>
      <c r="M729" s="45" t="str">
        <f t="shared" si="28"/>
        <v>Pass</v>
      </c>
      <c r="N729" s="46" t="str">
        <f>IFERROR(VLOOKUP(D729,'[1]Product Datasheet'!$A:$G,4,0),"")</f>
        <v/>
      </c>
      <c r="O729" s="47" t="str">
        <f>IFERROR(VLOOKUP(D729,'[1]Product Datasheet'!$A:$G,5,0),"")</f>
        <v/>
      </c>
      <c r="P729" s="47" t="str">
        <f>IFERROR(VLOOKUP(D729,'[1]Product Datasheet'!$A:$G,6,0),"")</f>
        <v/>
      </c>
      <c r="Q729" s="47" t="str">
        <f>IFERROR(VLOOKUP(D729,'[1]Product Datasheet'!$A:$G,7,0), "")</f>
        <v/>
      </c>
      <c r="R729" s="48"/>
      <c r="S729" s="49" t="str">
        <f t="shared" si="29"/>
        <v>Accept</v>
      </c>
      <c r="T729" s="50"/>
      <c r="U729" s="51"/>
    </row>
    <row r="730" spans="1:21" ht="24.75" customHeight="1" x14ac:dyDescent="0.3">
      <c r="A730" s="38" t="str">
        <f>IFERROR(VLOOKUP(D730,'[1]Product Datasheet'!$A:$G,2,0),"")</f>
        <v/>
      </c>
      <c r="B730" s="39" t="str">
        <f>IFERROR(VLOOKUP(D730,'[1]Product Datasheet'!$A:$G,3,0),"")</f>
        <v/>
      </c>
      <c r="C730" s="40"/>
      <c r="D730" s="41"/>
      <c r="E730" s="41"/>
      <c r="F730" s="41"/>
      <c r="G730" s="42"/>
      <c r="H730" s="43"/>
      <c r="I730" s="42"/>
      <c r="J730" s="44"/>
      <c r="K730" s="44"/>
      <c r="L730" s="44"/>
      <c r="M730" s="45" t="str">
        <f t="shared" si="28"/>
        <v>Pass</v>
      </c>
      <c r="N730" s="46" t="str">
        <f>IFERROR(VLOOKUP(D730,'[1]Product Datasheet'!$A:$G,4,0),"")</f>
        <v/>
      </c>
      <c r="O730" s="47" t="str">
        <f>IFERROR(VLOOKUP(D730,'[1]Product Datasheet'!$A:$G,5,0),"")</f>
        <v/>
      </c>
      <c r="P730" s="47" t="str">
        <f>IFERROR(VLOOKUP(D730,'[1]Product Datasheet'!$A:$G,6,0),"")</f>
        <v/>
      </c>
      <c r="Q730" s="47" t="str">
        <f>IFERROR(VLOOKUP(D730,'[1]Product Datasheet'!$A:$G,7,0), "")</f>
        <v/>
      </c>
      <c r="R730" s="48"/>
      <c r="S730" s="49" t="str">
        <f t="shared" si="29"/>
        <v>Accept</v>
      </c>
      <c r="T730" s="50"/>
      <c r="U730" s="51"/>
    </row>
    <row r="731" spans="1:21" ht="24.75" customHeight="1" x14ac:dyDescent="0.3">
      <c r="A731" s="38" t="str">
        <f>IFERROR(VLOOKUP(D731,'[1]Product Datasheet'!$A:$G,2,0),"")</f>
        <v/>
      </c>
      <c r="B731" s="39" t="str">
        <f>IFERROR(VLOOKUP(D731,'[1]Product Datasheet'!$A:$G,3,0),"")</f>
        <v/>
      </c>
      <c r="C731" s="40"/>
      <c r="D731" s="41"/>
      <c r="E731" s="41"/>
      <c r="F731" s="41"/>
      <c r="G731" s="42"/>
      <c r="H731" s="43"/>
      <c r="I731" s="42"/>
      <c r="J731" s="44"/>
      <c r="K731" s="44"/>
      <c r="L731" s="44"/>
      <c r="M731" s="45" t="str">
        <f t="shared" si="28"/>
        <v>Pass</v>
      </c>
      <c r="N731" s="46" t="str">
        <f>IFERROR(VLOOKUP(D731,'[1]Product Datasheet'!$A:$G,4,0),"")</f>
        <v/>
      </c>
      <c r="O731" s="47" t="str">
        <f>IFERROR(VLOOKUP(D731,'[1]Product Datasheet'!$A:$G,5,0),"")</f>
        <v/>
      </c>
      <c r="P731" s="47" t="str">
        <f>IFERROR(VLOOKUP(D731,'[1]Product Datasheet'!$A:$G,6,0),"")</f>
        <v/>
      </c>
      <c r="Q731" s="47" t="str">
        <f>IFERROR(VLOOKUP(D731,'[1]Product Datasheet'!$A:$G,7,0), "")</f>
        <v/>
      </c>
      <c r="R731" s="48"/>
      <c r="S731" s="49" t="str">
        <f t="shared" si="29"/>
        <v>Accept</v>
      </c>
      <c r="T731" s="50"/>
      <c r="U731" s="51"/>
    </row>
    <row r="732" spans="1:21" ht="24.75" customHeight="1" x14ac:dyDescent="0.3">
      <c r="A732" s="38" t="str">
        <f>IFERROR(VLOOKUP(D732,'[1]Product Datasheet'!$A:$G,2,0),"")</f>
        <v/>
      </c>
      <c r="B732" s="39" t="str">
        <f>IFERROR(VLOOKUP(D732,'[1]Product Datasheet'!$A:$G,3,0),"")</f>
        <v/>
      </c>
      <c r="C732" s="40"/>
      <c r="D732" s="41"/>
      <c r="E732" s="41"/>
      <c r="F732" s="41"/>
      <c r="G732" s="42"/>
      <c r="H732" s="43"/>
      <c r="I732" s="42"/>
      <c r="J732" s="44"/>
      <c r="K732" s="44"/>
      <c r="L732" s="44"/>
      <c r="M732" s="45" t="str">
        <f t="shared" si="28"/>
        <v>Pass</v>
      </c>
      <c r="N732" s="46" t="str">
        <f>IFERROR(VLOOKUP(D732,'[1]Product Datasheet'!$A:$G,4,0),"")</f>
        <v/>
      </c>
      <c r="O732" s="47" t="str">
        <f>IFERROR(VLOOKUP(D732,'[1]Product Datasheet'!$A:$G,5,0),"")</f>
        <v/>
      </c>
      <c r="P732" s="47" t="str">
        <f>IFERROR(VLOOKUP(D732,'[1]Product Datasheet'!$A:$G,6,0),"")</f>
        <v/>
      </c>
      <c r="Q732" s="47" t="str">
        <f>IFERROR(VLOOKUP(D732,'[1]Product Datasheet'!$A:$G,7,0), "")</f>
        <v/>
      </c>
      <c r="R732" s="48"/>
      <c r="S732" s="49" t="str">
        <f t="shared" si="29"/>
        <v>Accept</v>
      </c>
      <c r="T732" s="50"/>
      <c r="U732" s="51"/>
    </row>
    <row r="733" spans="1:21" ht="24.75" customHeight="1" x14ac:dyDescent="0.3">
      <c r="A733" s="38" t="str">
        <f>IFERROR(VLOOKUP(D733,'[1]Product Datasheet'!$A:$G,2,0),"")</f>
        <v/>
      </c>
      <c r="B733" s="39" t="str">
        <f>IFERROR(VLOOKUP(D733,'[1]Product Datasheet'!$A:$G,3,0),"")</f>
        <v/>
      </c>
      <c r="C733" s="40"/>
      <c r="D733" s="41"/>
      <c r="E733" s="41"/>
      <c r="F733" s="41"/>
      <c r="G733" s="42"/>
      <c r="H733" s="43"/>
      <c r="I733" s="42"/>
      <c r="J733" s="44"/>
      <c r="K733" s="44"/>
      <c r="L733" s="44"/>
      <c r="M733" s="45" t="str">
        <f t="shared" si="28"/>
        <v>Pass</v>
      </c>
      <c r="N733" s="46" t="str">
        <f>IFERROR(VLOOKUP(D733,'[1]Product Datasheet'!$A:$G,4,0),"")</f>
        <v/>
      </c>
      <c r="O733" s="47" t="str">
        <f>IFERROR(VLOOKUP(D733,'[1]Product Datasheet'!$A:$G,5,0),"")</f>
        <v/>
      </c>
      <c r="P733" s="47" t="str">
        <f>IFERROR(VLOOKUP(D733,'[1]Product Datasheet'!$A:$G,6,0),"")</f>
        <v/>
      </c>
      <c r="Q733" s="47" t="str">
        <f>IFERROR(VLOOKUP(D733,'[1]Product Datasheet'!$A:$G,7,0), "")</f>
        <v/>
      </c>
      <c r="R733" s="48"/>
      <c r="S733" s="49" t="str">
        <f t="shared" si="29"/>
        <v>Accept</v>
      </c>
      <c r="T733" s="50"/>
      <c r="U733" s="51"/>
    </row>
    <row r="734" spans="1:21" ht="24.75" customHeight="1" x14ac:dyDescent="0.3">
      <c r="A734" s="38" t="str">
        <f>IFERROR(VLOOKUP(D734,'[1]Product Datasheet'!$A:$G,2,0),"")</f>
        <v/>
      </c>
      <c r="B734" s="39" t="str">
        <f>IFERROR(VLOOKUP(D734,'[1]Product Datasheet'!$A:$G,3,0),"")</f>
        <v/>
      </c>
      <c r="C734" s="40"/>
      <c r="D734" s="41"/>
      <c r="E734" s="41"/>
      <c r="F734" s="41"/>
      <c r="G734" s="42"/>
      <c r="H734" s="43"/>
      <c r="I734" s="42"/>
      <c r="J734" s="44"/>
      <c r="K734" s="44"/>
      <c r="L734" s="44"/>
      <c r="M734" s="45" t="str">
        <f t="shared" si="28"/>
        <v>Pass</v>
      </c>
      <c r="N734" s="46" t="str">
        <f>IFERROR(VLOOKUP(D734,'[1]Product Datasheet'!$A:$G,4,0),"")</f>
        <v/>
      </c>
      <c r="O734" s="47" t="str">
        <f>IFERROR(VLOOKUP(D734,'[1]Product Datasheet'!$A:$G,5,0),"")</f>
        <v/>
      </c>
      <c r="P734" s="47" t="str">
        <f>IFERROR(VLOOKUP(D734,'[1]Product Datasheet'!$A:$G,6,0),"")</f>
        <v/>
      </c>
      <c r="Q734" s="47" t="str">
        <f>IFERROR(VLOOKUP(D734,'[1]Product Datasheet'!$A:$G,7,0), "")</f>
        <v/>
      </c>
      <c r="R734" s="48"/>
      <c r="S734" s="49" t="str">
        <f t="shared" si="29"/>
        <v>Accept</v>
      </c>
      <c r="T734" s="50"/>
      <c r="U734" s="51"/>
    </row>
    <row r="735" spans="1:21" ht="24.75" customHeight="1" x14ac:dyDescent="0.3">
      <c r="A735" s="38" t="str">
        <f>IFERROR(VLOOKUP(D735,'[1]Product Datasheet'!$A:$G,2,0),"")</f>
        <v/>
      </c>
      <c r="B735" s="39" t="str">
        <f>IFERROR(VLOOKUP(D735,'[1]Product Datasheet'!$A:$G,3,0),"")</f>
        <v/>
      </c>
      <c r="C735" s="40"/>
      <c r="D735" s="41"/>
      <c r="E735" s="41"/>
      <c r="F735" s="41"/>
      <c r="G735" s="42"/>
      <c r="H735" s="43"/>
      <c r="I735" s="42"/>
      <c r="J735" s="44"/>
      <c r="K735" s="44"/>
      <c r="L735" s="44"/>
      <c r="M735" s="45" t="str">
        <f t="shared" si="28"/>
        <v>Pass</v>
      </c>
      <c r="N735" s="46" t="str">
        <f>IFERROR(VLOOKUP(D735,'[1]Product Datasheet'!$A:$G,4,0),"")</f>
        <v/>
      </c>
      <c r="O735" s="47" t="str">
        <f>IFERROR(VLOOKUP(D735,'[1]Product Datasheet'!$A:$G,5,0),"")</f>
        <v/>
      </c>
      <c r="P735" s="47" t="str">
        <f>IFERROR(VLOOKUP(D735,'[1]Product Datasheet'!$A:$G,6,0),"")</f>
        <v/>
      </c>
      <c r="Q735" s="47" t="str">
        <f>IFERROR(VLOOKUP(D735,'[1]Product Datasheet'!$A:$G,7,0), "")</f>
        <v/>
      </c>
      <c r="R735" s="48"/>
      <c r="S735" s="49" t="str">
        <f t="shared" si="29"/>
        <v>Accept</v>
      </c>
      <c r="T735" s="50"/>
      <c r="U735" s="51"/>
    </row>
    <row r="736" spans="1:21" ht="24.75" customHeight="1" x14ac:dyDescent="0.3">
      <c r="A736" s="38" t="str">
        <f>IFERROR(VLOOKUP(D736,'[1]Product Datasheet'!$A:$G,2,0),"")</f>
        <v/>
      </c>
      <c r="B736" s="39" t="str">
        <f>IFERROR(VLOOKUP(D736,'[1]Product Datasheet'!$A:$G,3,0),"")</f>
        <v/>
      </c>
      <c r="C736" s="40"/>
      <c r="D736" s="41"/>
      <c r="E736" s="41"/>
      <c r="F736" s="41"/>
      <c r="G736" s="42"/>
      <c r="H736" s="43"/>
      <c r="I736" s="42"/>
      <c r="J736" s="44"/>
      <c r="K736" s="44"/>
      <c r="L736" s="44"/>
      <c r="M736" s="45" t="str">
        <f t="shared" si="28"/>
        <v>Pass</v>
      </c>
      <c r="N736" s="46" t="str">
        <f>IFERROR(VLOOKUP(D736,'[1]Product Datasheet'!$A:$G,4,0),"")</f>
        <v/>
      </c>
      <c r="O736" s="47" t="str">
        <f>IFERROR(VLOOKUP(D736,'[1]Product Datasheet'!$A:$G,5,0),"")</f>
        <v/>
      </c>
      <c r="P736" s="47" t="str">
        <f>IFERROR(VLOOKUP(D736,'[1]Product Datasheet'!$A:$G,6,0),"")</f>
        <v/>
      </c>
      <c r="Q736" s="47" t="str">
        <f>IFERROR(VLOOKUP(D736,'[1]Product Datasheet'!$A:$G,7,0), "")</f>
        <v/>
      </c>
      <c r="R736" s="48"/>
      <c r="S736" s="49" t="str">
        <f t="shared" si="29"/>
        <v>Accept</v>
      </c>
      <c r="T736" s="50"/>
      <c r="U736" s="51"/>
    </row>
    <row r="737" spans="1:21" ht="24.75" customHeight="1" x14ac:dyDescent="0.3">
      <c r="A737" s="38" t="str">
        <f>IFERROR(VLOOKUP(D737,'[1]Product Datasheet'!$A:$G,2,0),"")</f>
        <v/>
      </c>
      <c r="B737" s="39" t="str">
        <f>IFERROR(VLOOKUP(D737,'[1]Product Datasheet'!$A:$G,3,0),"")</f>
        <v/>
      </c>
      <c r="C737" s="40"/>
      <c r="D737" s="41"/>
      <c r="E737" s="41"/>
      <c r="F737" s="41"/>
      <c r="G737" s="42"/>
      <c r="H737" s="43"/>
      <c r="I737" s="42"/>
      <c r="J737" s="44"/>
      <c r="K737" s="44"/>
      <c r="L737" s="44"/>
      <c r="M737" s="45" t="str">
        <f t="shared" si="28"/>
        <v>Pass</v>
      </c>
      <c r="N737" s="46" t="str">
        <f>IFERROR(VLOOKUP(D737,'[1]Product Datasheet'!$A:$G,4,0),"")</f>
        <v/>
      </c>
      <c r="O737" s="47" t="str">
        <f>IFERROR(VLOOKUP(D737,'[1]Product Datasheet'!$A:$G,5,0),"")</f>
        <v/>
      </c>
      <c r="P737" s="47" t="str">
        <f>IFERROR(VLOOKUP(D737,'[1]Product Datasheet'!$A:$G,6,0),"")</f>
        <v/>
      </c>
      <c r="Q737" s="47" t="str">
        <f>IFERROR(VLOOKUP(D737,'[1]Product Datasheet'!$A:$G,7,0), "")</f>
        <v/>
      </c>
      <c r="R737" s="48"/>
      <c r="S737" s="49" t="str">
        <f t="shared" si="29"/>
        <v>Accept</v>
      </c>
      <c r="T737" s="50"/>
      <c r="U737" s="51"/>
    </row>
    <row r="738" spans="1:21" ht="24.75" customHeight="1" x14ac:dyDescent="0.3">
      <c r="A738" s="38" t="str">
        <f>IFERROR(VLOOKUP(D738,'[1]Product Datasheet'!$A:$G,2,0),"")</f>
        <v/>
      </c>
      <c r="B738" s="39" t="str">
        <f>IFERROR(VLOOKUP(D738,'[1]Product Datasheet'!$A:$G,3,0),"")</f>
        <v/>
      </c>
      <c r="C738" s="40"/>
      <c r="D738" s="41"/>
      <c r="E738" s="41"/>
      <c r="F738" s="41"/>
      <c r="G738" s="42"/>
      <c r="H738" s="43"/>
      <c r="I738" s="42"/>
      <c r="J738" s="44"/>
      <c r="K738" s="44"/>
      <c r="L738" s="44"/>
      <c r="M738" s="45" t="str">
        <f t="shared" si="28"/>
        <v>Pass</v>
      </c>
      <c r="N738" s="46" t="str">
        <f>IFERROR(VLOOKUP(D738,'[1]Product Datasheet'!$A:$G,4,0),"")</f>
        <v/>
      </c>
      <c r="O738" s="47" t="str">
        <f>IFERROR(VLOOKUP(D738,'[1]Product Datasheet'!$A:$G,5,0),"")</f>
        <v/>
      </c>
      <c r="P738" s="47" t="str">
        <f>IFERROR(VLOOKUP(D738,'[1]Product Datasheet'!$A:$G,6,0),"")</f>
        <v/>
      </c>
      <c r="Q738" s="47" t="str">
        <f>IFERROR(VLOOKUP(D738,'[1]Product Datasheet'!$A:$G,7,0), "")</f>
        <v/>
      </c>
      <c r="R738" s="48"/>
      <c r="S738" s="49" t="str">
        <f t="shared" si="29"/>
        <v>Accept</v>
      </c>
      <c r="T738" s="50"/>
      <c r="U738" s="51"/>
    </row>
    <row r="739" spans="1:21" ht="24.75" customHeight="1" x14ac:dyDescent="0.3">
      <c r="A739" s="38" t="str">
        <f>IFERROR(VLOOKUP(D739,'[1]Product Datasheet'!$A:$G,2,0),"")</f>
        <v/>
      </c>
      <c r="B739" s="39" t="str">
        <f>IFERROR(VLOOKUP(D739,'[1]Product Datasheet'!$A:$G,3,0),"")</f>
        <v/>
      </c>
      <c r="C739" s="40"/>
      <c r="D739" s="41"/>
      <c r="E739" s="41"/>
      <c r="F739" s="41"/>
      <c r="G739" s="42"/>
      <c r="H739" s="43"/>
      <c r="I739" s="42"/>
      <c r="J739" s="44"/>
      <c r="K739" s="44"/>
      <c r="L739" s="44"/>
      <c r="M739" s="45" t="str">
        <f t="shared" si="28"/>
        <v>Pass</v>
      </c>
      <c r="N739" s="46" t="str">
        <f>IFERROR(VLOOKUP(D739,'[1]Product Datasheet'!$A:$G,4,0),"")</f>
        <v/>
      </c>
      <c r="O739" s="47" t="str">
        <f>IFERROR(VLOOKUP(D739,'[1]Product Datasheet'!$A:$G,5,0),"")</f>
        <v/>
      </c>
      <c r="P739" s="47" t="str">
        <f>IFERROR(VLOOKUP(D739,'[1]Product Datasheet'!$A:$G,6,0),"")</f>
        <v/>
      </c>
      <c r="Q739" s="47" t="str">
        <f>IFERROR(VLOOKUP(D739,'[1]Product Datasheet'!$A:$G,7,0), "")</f>
        <v/>
      </c>
      <c r="R739" s="48"/>
      <c r="S739" s="49" t="str">
        <f t="shared" si="29"/>
        <v>Accept</v>
      </c>
      <c r="T739" s="50"/>
      <c r="U739" s="51"/>
    </row>
    <row r="740" spans="1:21" ht="24.75" customHeight="1" x14ac:dyDescent="0.3">
      <c r="A740" s="38" t="str">
        <f>IFERROR(VLOOKUP(D740,'[1]Product Datasheet'!$A:$G,2,0),"")</f>
        <v/>
      </c>
      <c r="B740" s="39" t="str">
        <f>IFERROR(VLOOKUP(D740,'[1]Product Datasheet'!$A:$G,3,0),"")</f>
        <v/>
      </c>
      <c r="C740" s="40"/>
      <c r="D740" s="41"/>
      <c r="E740" s="41"/>
      <c r="F740" s="41"/>
      <c r="G740" s="42"/>
      <c r="H740" s="43"/>
      <c r="I740" s="42"/>
      <c r="J740" s="44"/>
      <c r="K740" s="44"/>
      <c r="L740" s="44"/>
      <c r="M740" s="45" t="str">
        <f t="shared" si="28"/>
        <v>Pass</v>
      </c>
      <c r="N740" s="46" t="str">
        <f>IFERROR(VLOOKUP(D740,'[1]Product Datasheet'!$A:$G,4,0),"")</f>
        <v/>
      </c>
      <c r="O740" s="47" t="str">
        <f>IFERROR(VLOOKUP(D740,'[1]Product Datasheet'!$A:$G,5,0),"")</f>
        <v/>
      </c>
      <c r="P740" s="47" t="str">
        <f>IFERROR(VLOOKUP(D740,'[1]Product Datasheet'!$A:$G,6,0),"")</f>
        <v/>
      </c>
      <c r="Q740" s="47" t="str">
        <f>IFERROR(VLOOKUP(D740,'[1]Product Datasheet'!$A:$G,7,0), "")</f>
        <v/>
      </c>
      <c r="R740" s="48"/>
      <c r="S740" s="49" t="str">
        <f t="shared" si="29"/>
        <v>Accept</v>
      </c>
      <c r="T740" s="50"/>
      <c r="U740" s="51"/>
    </row>
    <row r="741" spans="1:21" ht="24.75" customHeight="1" x14ac:dyDescent="0.3">
      <c r="A741" s="38" t="str">
        <f>IFERROR(VLOOKUP(D741,'[1]Product Datasheet'!$A:$G,2,0),"")</f>
        <v/>
      </c>
      <c r="B741" s="39" t="str">
        <f>IFERROR(VLOOKUP(D741,'[1]Product Datasheet'!$A:$G,3,0),"")</f>
        <v/>
      </c>
      <c r="C741" s="40"/>
      <c r="D741" s="41"/>
      <c r="E741" s="41"/>
      <c r="F741" s="41"/>
      <c r="G741" s="42"/>
      <c r="H741" s="43"/>
      <c r="I741" s="42"/>
      <c r="J741" s="44"/>
      <c r="K741" s="44"/>
      <c r="L741" s="44"/>
      <c r="M741" s="45" t="str">
        <f t="shared" si="28"/>
        <v>Pass</v>
      </c>
      <c r="N741" s="46" t="str">
        <f>IFERROR(VLOOKUP(D741,'[1]Product Datasheet'!$A:$G,4,0),"")</f>
        <v/>
      </c>
      <c r="O741" s="47" t="str">
        <f>IFERROR(VLOOKUP(D741,'[1]Product Datasheet'!$A:$G,5,0),"")</f>
        <v/>
      </c>
      <c r="P741" s="47" t="str">
        <f>IFERROR(VLOOKUP(D741,'[1]Product Datasheet'!$A:$G,6,0),"")</f>
        <v/>
      </c>
      <c r="Q741" s="47" t="str">
        <f>IFERROR(VLOOKUP(D741,'[1]Product Datasheet'!$A:$G,7,0), "")</f>
        <v/>
      </c>
      <c r="R741" s="48"/>
      <c r="S741" s="49" t="str">
        <f t="shared" si="29"/>
        <v>Accept</v>
      </c>
      <c r="T741" s="50"/>
      <c r="U741" s="51"/>
    </row>
    <row r="742" spans="1:21" ht="24.75" customHeight="1" x14ac:dyDescent="0.3">
      <c r="A742" s="38" t="str">
        <f>IFERROR(VLOOKUP(D742,'[1]Product Datasheet'!$A:$G,2,0),"")</f>
        <v/>
      </c>
      <c r="B742" s="39" t="str">
        <f>IFERROR(VLOOKUP(D742,'[1]Product Datasheet'!$A:$G,3,0),"")</f>
        <v/>
      </c>
      <c r="C742" s="40"/>
      <c r="D742" s="41"/>
      <c r="E742" s="41"/>
      <c r="F742" s="41"/>
      <c r="G742" s="42"/>
      <c r="H742" s="43"/>
      <c r="I742" s="42"/>
      <c r="J742" s="44"/>
      <c r="K742" s="44"/>
      <c r="L742" s="44"/>
      <c r="M742" s="45" t="str">
        <f t="shared" si="28"/>
        <v>Pass</v>
      </c>
      <c r="N742" s="46" t="str">
        <f>IFERROR(VLOOKUP(D742,'[1]Product Datasheet'!$A:$G,4,0),"")</f>
        <v/>
      </c>
      <c r="O742" s="47" t="str">
        <f>IFERROR(VLOOKUP(D742,'[1]Product Datasheet'!$A:$G,5,0),"")</f>
        <v/>
      </c>
      <c r="P742" s="47" t="str">
        <f>IFERROR(VLOOKUP(D742,'[1]Product Datasheet'!$A:$G,6,0),"")</f>
        <v/>
      </c>
      <c r="Q742" s="47" t="str">
        <f>IFERROR(VLOOKUP(D742,'[1]Product Datasheet'!$A:$G,7,0), "")</f>
        <v/>
      </c>
      <c r="R742" s="48"/>
      <c r="S742" s="49" t="str">
        <f t="shared" si="29"/>
        <v>Accept</v>
      </c>
      <c r="T742" s="50"/>
      <c r="U742" s="51"/>
    </row>
    <row r="743" spans="1:21" ht="24.75" customHeight="1" x14ac:dyDescent="0.3">
      <c r="A743" s="38" t="str">
        <f>IFERROR(VLOOKUP(D743,'[1]Product Datasheet'!$A:$G,2,0),"")</f>
        <v/>
      </c>
      <c r="B743" s="39" t="str">
        <f>IFERROR(VLOOKUP(D743,'[1]Product Datasheet'!$A:$G,3,0),"")</f>
        <v/>
      </c>
      <c r="C743" s="40"/>
      <c r="D743" s="41"/>
      <c r="E743" s="41"/>
      <c r="F743" s="41"/>
      <c r="G743" s="42"/>
      <c r="H743" s="43"/>
      <c r="I743" s="42"/>
      <c r="J743" s="44"/>
      <c r="K743" s="44"/>
      <c r="L743" s="44"/>
      <c r="M743" s="45" t="str">
        <f t="shared" si="28"/>
        <v>Pass</v>
      </c>
      <c r="N743" s="46" t="str">
        <f>IFERROR(VLOOKUP(D743,'[1]Product Datasheet'!$A:$G,4,0),"")</f>
        <v/>
      </c>
      <c r="O743" s="47" t="str">
        <f>IFERROR(VLOOKUP(D743,'[1]Product Datasheet'!$A:$G,5,0),"")</f>
        <v/>
      </c>
      <c r="P743" s="47" t="str">
        <f>IFERROR(VLOOKUP(D743,'[1]Product Datasheet'!$A:$G,6,0),"")</f>
        <v/>
      </c>
      <c r="Q743" s="47" t="str">
        <f>IFERROR(VLOOKUP(D743,'[1]Product Datasheet'!$A:$G,7,0), "")</f>
        <v/>
      </c>
      <c r="R743" s="48"/>
      <c r="S743" s="49" t="str">
        <f t="shared" si="29"/>
        <v>Accept</v>
      </c>
      <c r="T743" s="50"/>
      <c r="U743" s="51"/>
    </row>
    <row r="744" spans="1:21" ht="24.75" customHeight="1" x14ac:dyDescent="0.3">
      <c r="A744" s="38" t="str">
        <f>IFERROR(VLOOKUP(D744,'[1]Product Datasheet'!$A:$G,2,0),"")</f>
        <v/>
      </c>
      <c r="B744" s="39" t="str">
        <f>IFERROR(VLOOKUP(D744,'[1]Product Datasheet'!$A:$G,3,0),"")</f>
        <v/>
      </c>
      <c r="C744" s="40"/>
      <c r="D744" s="41"/>
      <c r="E744" s="41"/>
      <c r="F744" s="41"/>
      <c r="G744" s="42"/>
      <c r="H744" s="43"/>
      <c r="I744" s="42"/>
      <c r="J744" s="44"/>
      <c r="K744" s="44"/>
      <c r="L744" s="44"/>
      <c r="M744" s="45" t="str">
        <f t="shared" si="28"/>
        <v>Pass</v>
      </c>
      <c r="N744" s="46" t="str">
        <f>IFERROR(VLOOKUP(D744,'[1]Product Datasheet'!$A:$G,4,0),"")</f>
        <v/>
      </c>
      <c r="O744" s="47" t="str">
        <f>IFERROR(VLOOKUP(D744,'[1]Product Datasheet'!$A:$G,5,0),"")</f>
        <v/>
      </c>
      <c r="P744" s="47" t="str">
        <f>IFERROR(VLOOKUP(D744,'[1]Product Datasheet'!$A:$G,6,0),"")</f>
        <v/>
      </c>
      <c r="Q744" s="47" t="str">
        <f>IFERROR(VLOOKUP(D744,'[1]Product Datasheet'!$A:$G,7,0), "")</f>
        <v/>
      </c>
      <c r="R744" s="48"/>
      <c r="S744" s="49" t="str">
        <f t="shared" si="29"/>
        <v>Accept</v>
      </c>
      <c r="T744" s="50"/>
      <c r="U744" s="51"/>
    </row>
    <row r="745" spans="1:21" ht="24.75" customHeight="1" x14ac:dyDescent="0.3">
      <c r="A745" s="38" t="str">
        <f>IFERROR(VLOOKUP(D745,'[1]Product Datasheet'!$A:$G,2,0),"")</f>
        <v/>
      </c>
      <c r="B745" s="39" t="str">
        <f>IFERROR(VLOOKUP(D745,'[1]Product Datasheet'!$A:$G,3,0),"")</f>
        <v/>
      </c>
      <c r="C745" s="40"/>
      <c r="D745" s="41"/>
      <c r="E745" s="41"/>
      <c r="F745" s="41"/>
      <c r="G745" s="42"/>
      <c r="H745" s="43"/>
      <c r="I745" s="42"/>
      <c r="J745" s="44"/>
      <c r="K745" s="44"/>
      <c r="L745" s="44"/>
      <c r="M745" s="45" t="str">
        <f t="shared" si="28"/>
        <v>Pass</v>
      </c>
      <c r="N745" s="46" t="str">
        <f>IFERROR(VLOOKUP(D745,'[1]Product Datasheet'!$A:$G,4,0),"")</f>
        <v/>
      </c>
      <c r="O745" s="47" t="str">
        <f>IFERROR(VLOOKUP(D745,'[1]Product Datasheet'!$A:$G,5,0),"")</f>
        <v/>
      </c>
      <c r="P745" s="47" t="str">
        <f>IFERROR(VLOOKUP(D745,'[1]Product Datasheet'!$A:$G,6,0),"")</f>
        <v/>
      </c>
      <c r="Q745" s="47" t="str">
        <f>IFERROR(VLOOKUP(D745,'[1]Product Datasheet'!$A:$G,7,0), "")</f>
        <v/>
      </c>
      <c r="R745" s="48"/>
      <c r="S745" s="49" t="str">
        <f t="shared" si="29"/>
        <v>Accept</v>
      </c>
      <c r="T745" s="50"/>
      <c r="U745" s="51"/>
    </row>
    <row r="746" spans="1:21" ht="24.75" customHeight="1" x14ac:dyDescent="0.3">
      <c r="A746" s="38" t="str">
        <f>IFERROR(VLOOKUP(D746,'[1]Product Datasheet'!$A:$G,2,0),"")</f>
        <v/>
      </c>
      <c r="B746" s="39" t="str">
        <f>IFERROR(VLOOKUP(D746,'[1]Product Datasheet'!$A:$G,3,0),"")</f>
        <v/>
      </c>
      <c r="C746" s="40"/>
      <c r="D746" s="41"/>
      <c r="E746" s="41"/>
      <c r="F746" s="41"/>
      <c r="G746" s="42"/>
      <c r="H746" s="43"/>
      <c r="I746" s="42"/>
      <c r="J746" s="44"/>
      <c r="K746" s="44"/>
      <c r="L746" s="44"/>
      <c r="M746" s="45" t="str">
        <f t="shared" si="28"/>
        <v>Pass</v>
      </c>
      <c r="N746" s="46" t="str">
        <f>IFERROR(VLOOKUP(D746,'[1]Product Datasheet'!$A:$G,4,0),"")</f>
        <v/>
      </c>
      <c r="O746" s="47" t="str">
        <f>IFERROR(VLOOKUP(D746,'[1]Product Datasheet'!$A:$G,5,0),"")</f>
        <v/>
      </c>
      <c r="P746" s="47" t="str">
        <f>IFERROR(VLOOKUP(D746,'[1]Product Datasheet'!$A:$G,6,0),"")</f>
        <v/>
      </c>
      <c r="Q746" s="47" t="str">
        <f>IFERROR(VLOOKUP(D746,'[1]Product Datasheet'!$A:$G,7,0), "")</f>
        <v/>
      </c>
      <c r="R746" s="48"/>
      <c r="S746" s="49" t="str">
        <f t="shared" si="29"/>
        <v>Accept</v>
      </c>
      <c r="T746" s="50"/>
      <c r="U746" s="51"/>
    </row>
    <row r="747" spans="1:21" ht="24.75" customHeight="1" x14ac:dyDescent="0.3">
      <c r="A747" s="38" t="str">
        <f>IFERROR(VLOOKUP(D747,'[1]Product Datasheet'!$A:$G,2,0),"")</f>
        <v/>
      </c>
      <c r="B747" s="39" t="str">
        <f>IFERROR(VLOOKUP(D747,'[1]Product Datasheet'!$A:$G,3,0),"")</f>
        <v/>
      </c>
      <c r="C747" s="40"/>
      <c r="D747" s="41"/>
      <c r="E747" s="41"/>
      <c r="F747" s="41"/>
      <c r="G747" s="42"/>
      <c r="H747" s="43"/>
      <c r="I747" s="42"/>
      <c r="J747" s="44"/>
      <c r="K747" s="44"/>
      <c r="L747" s="44"/>
      <c r="M747" s="45" t="str">
        <f t="shared" si="28"/>
        <v>Pass</v>
      </c>
      <c r="N747" s="46" t="str">
        <f>IFERROR(VLOOKUP(D747,'[1]Product Datasheet'!$A:$G,4,0),"")</f>
        <v/>
      </c>
      <c r="O747" s="47" t="str">
        <f>IFERROR(VLOOKUP(D747,'[1]Product Datasheet'!$A:$G,5,0),"")</f>
        <v/>
      </c>
      <c r="P747" s="47" t="str">
        <f>IFERROR(VLOOKUP(D747,'[1]Product Datasheet'!$A:$G,6,0),"")</f>
        <v/>
      </c>
      <c r="Q747" s="47" t="str">
        <f>IFERROR(VLOOKUP(D747,'[1]Product Datasheet'!$A:$G,7,0), "")</f>
        <v/>
      </c>
      <c r="R747" s="48"/>
      <c r="S747" s="49" t="str">
        <f t="shared" si="29"/>
        <v>Accept</v>
      </c>
      <c r="T747" s="50"/>
      <c r="U747" s="51"/>
    </row>
    <row r="748" spans="1:21" ht="24.75" customHeight="1" x14ac:dyDescent="0.3">
      <c r="A748" s="38" t="str">
        <f>IFERROR(VLOOKUP(D748,'[1]Product Datasheet'!$A:$G,2,0),"")</f>
        <v/>
      </c>
      <c r="B748" s="39" t="str">
        <f>IFERROR(VLOOKUP(D748,'[1]Product Datasheet'!$A:$G,3,0),"")</f>
        <v/>
      </c>
      <c r="C748" s="40"/>
      <c r="D748" s="41"/>
      <c r="E748" s="41"/>
      <c r="F748" s="41"/>
      <c r="G748" s="42"/>
      <c r="H748" s="43"/>
      <c r="I748" s="42"/>
      <c r="J748" s="44"/>
      <c r="K748" s="44"/>
      <c r="L748" s="44"/>
      <c r="M748" s="45" t="str">
        <f t="shared" si="28"/>
        <v>Pass</v>
      </c>
      <c r="N748" s="46" t="str">
        <f>IFERROR(VLOOKUP(D748,'[1]Product Datasheet'!$A:$G,4,0),"")</f>
        <v/>
      </c>
      <c r="O748" s="47" t="str">
        <f>IFERROR(VLOOKUP(D748,'[1]Product Datasheet'!$A:$G,5,0),"")</f>
        <v/>
      </c>
      <c r="P748" s="47" t="str">
        <f>IFERROR(VLOOKUP(D748,'[1]Product Datasheet'!$A:$G,6,0),"")</f>
        <v/>
      </c>
      <c r="Q748" s="47" t="str">
        <f>IFERROR(VLOOKUP(D748,'[1]Product Datasheet'!$A:$G,7,0), "")</f>
        <v/>
      </c>
      <c r="R748" s="48"/>
      <c r="S748" s="49" t="str">
        <f t="shared" si="29"/>
        <v>Accept</v>
      </c>
      <c r="T748" s="50"/>
      <c r="U748" s="51"/>
    </row>
    <row r="749" spans="1:21" ht="24.75" customHeight="1" x14ac:dyDescent="0.3">
      <c r="A749" s="38" t="str">
        <f>IFERROR(VLOOKUP(D749,'[1]Product Datasheet'!$A:$G,2,0),"")</f>
        <v/>
      </c>
      <c r="B749" s="39" t="str">
        <f>IFERROR(VLOOKUP(D749,'[1]Product Datasheet'!$A:$G,3,0),"")</f>
        <v/>
      </c>
      <c r="C749" s="40"/>
      <c r="D749" s="41"/>
      <c r="E749" s="41"/>
      <c r="F749" s="41"/>
      <c r="G749" s="42"/>
      <c r="H749" s="43"/>
      <c r="I749" s="42"/>
      <c r="J749" s="44"/>
      <c r="K749" s="44"/>
      <c r="L749" s="44"/>
      <c r="M749" s="45" t="str">
        <f t="shared" si="28"/>
        <v>Pass</v>
      </c>
      <c r="N749" s="46" t="str">
        <f>IFERROR(VLOOKUP(D749,'[1]Product Datasheet'!$A:$G,4,0),"")</f>
        <v/>
      </c>
      <c r="O749" s="47" t="str">
        <f>IFERROR(VLOOKUP(D749,'[1]Product Datasheet'!$A:$G,5,0),"")</f>
        <v/>
      </c>
      <c r="P749" s="47" t="str">
        <f>IFERROR(VLOOKUP(D749,'[1]Product Datasheet'!$A:$G,6,0),"")</f>
        <v/>
      </c>
      <c r="Q749" s="47" t="str">
        <f>IFERROR(VLOOKUP(D749,'[1]Product Datasheet'!$A:$G,7,0), "")</f>
        <v/>
      </c>
      <c r="R749" s="48"/>
      <c r="S749" s="49" t="str">
        <f t="shared" si="29"/>
        <v>Accept</v>
      </c>
      <c r="T749" s="50"/>
      <c r="U749" s="51"/>
    </row>
    <row r="750" spans="1:21" ht="24.75" customHeight="1" x14ac:dyDescent="0.3">
      <c r="A750" s="38" t="str">
        <f>IFERROR(VLOOKUP(D750,'[1]Product Datasheet'!$A:$G,2,0),"")</f>
        <v/>
      </c>
      <c r="B750" s="39" t="str">
        <f>IFERROR(VLOOKUP(D750,'[1]Product Datasheet'!$A:$G,3,0),"")</f>
        <v/>
      </c>
      <c r="C750" s="40"/>
      <c r="D750" s="41"/>
      <c r="E750" s="41"/>
      <c r="F750" s="41"/>
      <c r="G750" s="42"/>
      <c r="H750" s="43"/>
      <c r="I750" s="42"/>
      <c r="J750" s="44"/>
      <c r="K750" s="44"/>
      <c r="L750" s="44"/>
      <c r="M750" s="45" t="str">
        <f t="shared" si="28"/>
        <v>Pass</v>
      </c>
      <c r="N750" s="46" t="str">
        <f>IFERROR(VLOOKUP(D750,'[1]Product Datasheet'!$A:$G,4,0),"")</f>
        <v/>
      </c>
      <c r="O750" s="47" t="str">
        <f>IFERROR(VLOOKUP(D750,'[1]Product Datasheet'!$A:$G,5,0),"")</f>
        <v/>
      </c>
      <c r="P750" s="47" t="str">
        <f>IFERROR(VLOOKUP(D750,'[1]Product Datasheet'!$A:$G,6,0),"")</f>
        <v/>
      </c>
      <c r="Q750" s="47" t="str">
        <f>IFERROR(VLOOKUP(D750,'[1]Product Datasheet'!$A:$G,7,0), "")</f>
        <v/>
      </c>
      <c r="R750" s="48"/>
      <c r="S750" s="49" t="str">
        <f t="shared" si="29"/>
        <v>Accept</v>
      </c>
      <c r="T750" s="50"/>
      <c r="U750" s="51"/>
    </row>
    <row r="751" spans="1:21" ht="24.75" customHeight="1" x14ac:dyDescent="0.3">
      <c r="A751" s="38" t="str">
        <f>IFERROR(VLOOKUP(D751,'[1]Product Datasheet'!$A:$G,2,0),"")</f>
        <v/>
      </c>
      <c r="B751" s="39" t="str">
        <f>IFERROR(VLOOKUP(D751,'[1]Product Datasheet'!$A:$G,3,0),"")</f>
        <v/>
      </c>
      <c r="C751" s="40"/>
      <c r="D751" s="41"/>
      <c r="E751" s="41"/>
      <c r="F751" s="41"/>
      <c r="G751" s="42"/>
      <c r="H751" s="43"/>
      <c r="I751" s="42"/>
      <c r="J751" s="44"/>
      <c r="K751" s="44"/>
      <c r="L751" s="44"/>
      <c r="M751" s="45" t="str">
        <f t="shared" si="28"/>
        <v>Pass</v>
      </c>
      <c r="N751" s="46" t="str">
        <f>IFERROR(VLOOKUP(D751,'[1]Product Datasheet'!$A:$G,4,0),"")</f>
        <v/>
      </c>
      <c r="O751" s="47" t="str">
        <f>IFERROR(VLOOKUP(D751,'[1]Product Datasheet'!$A:$G,5,0),"")</f>
        <v/>
      </c>
      <c r="P751" s="47" t="str">
        <f>IFERROR(VLOOKUP(D751,'[1]Product Datasheet'!$A:$G,6,0),"")</f>
        <v/>
      </c>
      <c r="Q751" s="47" t="str">
        <f>IFERROR(VLOOKUP(D751,'[1]Product Datasheet'!$A:$G,7,0), "")</f>
        <v/>
      </c>
      <c r="R751" s="48"/>
      <c r="S751" s="49" t="str">
        <f t="shared" si="29"/>
        <v>Accept</v>
      </c>
      <c r="T751" s="50"/>
      <c r="U751" s="51"/>
    </row>
    <row r="752" spans="1:21" ht="24.75" customHeight="1" x14ac:dyDescent="0.3">
      <c r="A752" s="38" t="str">
        <f>IFERROR(VLOOKUP(D752,'[1]Product Datasheet'!$A:$G,2,0),"")</f>
        <v/>
      </c>
      <c r="B752" s="39" t="str">
        <f>IFERROR(VLOOKUP(D752,'[1]Product Datasheet'!$A:$G,3,0),"")</f>
        <v/>
      </c>
      <c r="C752" s="40"/>
      <c r="D752" s="41"/>
      <c r="E752" s="41"/>
      <c r="F752" s="41"/>
      <c r="G752" s="42"/>
      <c r="H752" s="43"/>
      <c r="I752" s="42"/>
      <c r="J752" s="44"/>
      <c r="K752" s="44"/>
      <c r="L752" s="44"/>
      <c r="M752" s="45" t="str">
        <f t="shared" si="28"/>
        <v>Pass</v>
      </c>
      <c r="N752" s="46" t="str">
        <f>IFERROR(VLOOKUP(D752,'[1]Product Datasheet'!$A:$G,4,0),"")</f>
        <v/>
      </c>
      <c r="O752" s="47" t="str">
        <f>IFERROR(VLOOKUP(D752,'[1]Product Datasheet'!$A:$G,5,0),"")</f>
        <v/>
      </c>
      <c r="P752" s="47" t="str">
        <f>IFERROR(VLOOKUP(D752,'[1]Product Datasheet'!$A:$G,6,0),"")</f>
        <v/>
      </c>
      <c r="Q752" s="47" t="str">
        <f>IFERROR(VLOOKUP(D752,'[1]Product Datasheet'!$A:$G,7,0), "")</f>
        <v/>
      </c>
      <c r="R752" s="48"/>
      <c r="S752" s="49" t="str">
        <f t="shared" si="29"/>
        <v>Accept</v>
      </c>
      <c r="T752" s="50"/>
      <c r="U752" s="51"/>
    </row>
    <row r="753" spans="1:21" ht="24.75" customHeight="1" x14ac:dyDescent="0.3">
      <c r="A753" s="38" t="str">
        <f>IFERROR(VLOOKUP(D753,'[1]Product Datasheet'!$A:$G,2,0),"")</f>
        <v/>
      </c>
      <c r="B753" s="39" t="str">
        <f>IFERROR(VLOOKUP(D753,'[1]Product Datasheet'!$A:$G,3,0),"")</f>
        <v/>
      </c>
      <c r="C753" s="40"/>
      <c r="D753" s="41"/>
      <c r="E753" s="41"/>
      <c r="F753" s="41"/>
      <c r="G753" s="42"/>
      <c r="H753" s="43"/>
      <c r="I753" s="42"/>
      <c r="J753" s="44"/>
      <c r="K753" s="44"/>
      <c r="L753" s="44"/>
      <c r="M753" s="45" t="str">
        <f t="shared" si="28"/>
        <v>Pass</v>
      </c>
      <c r="N753" s="46" t="str">
        <f>IFERROR(VLOOKUP(D753,'[1]Product Datasheet'!$A:$G,4,0),"")</f>
        <v/>
      </c>
      <c r="O753" s="47" t="str">
        <f>IFERROR(VLOOKUP(D753,'[1]Product Datasheet'!$A:$G,5,0),"")</f>
        <v/>
      </c>
      <c r="P753" s="47" t="str">
        <f>IFERROR(VLOOKUP(D753,'[1]Product Datasheet'!$A:$G,6,0),"")</f>
        <v/>
      </c>
      <c r="Q753" s="47" t="str">
        <f>IFERROR(VLOOKUP(D753,'[1]Product Datasheet'!$A:$G,7,0), "")</f>
        <v/>
      </c>
      <c r="R753" s="48"/>
      <c r="S753" s="49" t="str">
        <f t="shared" si="29"/>
        <v>Accept</v>
      </c>
      <c r="T753" s="50"/>
      <c r="U753" s="51"/>
    </row>
    <row r="754" spans="1:21" ht="24.75" customHeight="1" x14ac:dyDescent="0.3">
      <c r="A754" s="38" t="str">
        <f>IFERROR(VLOOKUP(D754,'[1]Product Datasheet'!$A:$G,2,0),"")</f>
        <v/>
      </c>
      <c r="B754" s="39" t="str">
        <f>IFERROR(VLOOKUP(D754,'[1]Product Datasheet'!$A:$G,3,0),"")</f>
        <v/>
      </c>
      <c r="C754" s="40"/>
      <c r="D754" s="41"/>
      <c r="E754" s="41"/>
      <c r="F754" s="41"/>
      <c r="G754" s="42"/>
      <c r="H754" s="43"/>
      <c r="I754" s="42"/>
      <c r="J754" s="44"/>
      <c r="K754" s="44"/>
      <c r="L754" s="44"/>
      <c r="M754" s="45" t="str">
        <f t="shared" si="28"/>
        <v>Pass</v>
      </c>
      <c r="N754" s="46" t="str">
        <f>IFERROR(VLOOKUP(D754,'[1]Product Datasheet'!$A:$G,4,0),"")</f>
        <v/>
      </c>
      <c r="O754" s="47" t="str">
        <f>IFERROR(VLOOKUP(D754,'[1]Product Datasheet'!$A:$G,5,0),"")</f>
        <v/>
      </c>
      <c r="P754" s="47" t="str">
        <f>IFERROR(VLOOKUP(D754,'[1]Product Datasheet'!$A:$G,6,0),"")</f>
        <v/>
      </c>
      <c r="Q754" s="47" t="str">
        <f>IFERROR(VLOOKUP(D754,'[1]Product Datasheet'!$A:$G,7,0), "")</f>
        <v/>
      </c>
      <c r="R754" s="48"/>
      <c r="S754" s="49" t="str">
        <f t="shared" si="29"/>
        <v>Accept</v>
      </c>
      <c r="T754" s="50"/>
      <c r="U754" s="51"/>
    </row>
    <row r="755" spans="1:21" ht="24.75" customHeight="1" x14ac:dyDescent="0.3">
      <c r="A755" s="38" t="str">
        <f>IFERROR(VLOOKUP(D755,'[1]Product Datasheet'!$A:$G,2,0),"")</f>
        <v/>
      </c>
      <c r="B755" s="39" t="str">
        <f>IFERROR(VLOOKUP(D755,'[1]Product Datasheet'!$A:$G,3,0),"")</f>
        <v/>
      </c>
      <c r="C755" s="40"/>
      <c r="D755" s="41"/>
      <c r="E755" s="41"/>
      <c r="F755" s="41"/>
      <c r="G755" s="42"/>
      <c r="H755" s="43"/>
      <c r="I755" s="42"/>
      <c r="J755" s="44"/>
      <c r="K755" s="44"/>
      <c r="L755" s="44"/>
      <c r="M755" s="45" t="str">
        <f t="shared" si="28"/>
        <v>Pass</v>
      </c>
      <c r="N755" s="46" t="str">
        <f>IFERROR(VLOOKUP(D755,'[1]Product Datasheet'!$A:$G,4,0),"")</f>
        <v/>
      </c>
      <c r="O755" s="47" t="str">
        <f>IFERROR(VLOOKUP(D755,'[1]Product Datasheet'!$A:$G,5,0),"")</f>
        <v/>
      </c>
      <c r="P755" s="47" t="str">
        <f>IFERROR(VLOOKUP(D755,'[1]Product Datasheet'!$A:$G,6,0),"")</f>
        <v/>
      </c>
      <c r="Q755" s="47" t="str">
        <f>IFERROR(VLOOKUP(D755,'[1]Product Datasheet'!$A:$G,7,0), "")</f>
        <v/>
      </c>
      <c r="R755" s="48"/>
      <c r="S755" s="49" t="str">
        <f t="shared" si="29"/>
        <v>Accept</v>
      </c>
      <c r="T755" s="50"/>
      <c r="U755" s="51"/>
    </row>
    <row r="756" spans="1:21" ht="24.75" customHeight="1" x14ac:dyDescent="0.3">
      <c r="A756" s="38" t="str">
        <f>IFERROR(VLOOKUP(D756,'[1]Product Datasheet'!$A:$G,2,0),"")</f>
        <v/>
      </c>
      <c r="B756" s="39" t="str">
        <f>IFERROR(VLOOKUP(D756,'[1]Product Datasheet'!$A:$G,3,0),"")</f>
        <v/>
      </c>
      <c r="C756" s="40"/>
      <c r="D756" s="41"/>
      <c r="E756" s="41"/>
      <c r="F756" s="41"/>
      <c r="G756" s="42"/>
      <c r="H756" s="43"/>
      <c r="I756" s="42"/>
      <c r="J756" s="44"/>
      <c r="K756" s="44"/>
      <c r="L756" s="44"/>
      <c r="M756" s="45" t="str">
        <f t="shared" si="28"/>
        <v>Pass</v>
      </c>
      <c r="N756" s="46" t="str">
        <f>IFERROR(VLOOKUP(D756,'[1]Product Datasheet'!$A:$G,4,0),"")</f>
        <v/>
      </c>
      <c r="O756" s="47" t="str">
        <f>IFERROR(VLOOKUP(D756,'[1]Product Datasheet'!$A:$G,5,0),"")</f>
        <v/>
      </c>
      <c r="P756" s="47" t="str">
        <f>IFERROR(VLOOKUP(D756,'[1]Product Datasheet'!$A:$G,6,0),"")</f>
        <v/>
      </c>
      <c r="Q756" s="47" t="str">
        <f>IFERROR(VLOOKUP(D756,'[1]Product Datasheet'!$A:$G,7,0), "")</f>
        <v/>
      </c>
      <c r="R756" s="48"/>
      <c r="S756" s="49" t="str">
        <f t="shared" si="29"/>
        <v>Accept</v>
      </c>
      <c r="T756" s="50"/>
      <c r="U756" s="51"/>
    </row>
    <row r="757" spans="1:21" ht="24.75" customHeight="1" x14ac:dyDescent="0.3">
      <c r="A757" s="38" t="str">
        <f>IFERROR(VLOOKUP(D757,'[1]Product Datasheet'!$A:$G,2,0),"")</f>
        <v/>
      </c>
      <c r="B757" s="39" t="str">
        <f>IFERROR(VLOOKUP(D757,'[1]Product Datasheet'!$A:$G,3,0),"")</f>
        <v/>
      </c>
      <c r="C757" s="40"/>
      <c r="D757" s="41"/>
      <c r="E757" s="41"/>
      <c r="F757" s="41"/>
      <c r="G757" s="42"/>
      <c r="H757" s="43"/>
      <c r="I757" s="42"/>
      <c r="J757" s="44"/>
      <c r="K757" s="44"/>
      <c r="L757" s="44"/>
      <c r="M757" s="45" t="str">
        <f t="shared" si="28"/>
        <v>Pass</v>
      </c>
      <c r="N757" s="46" t="str">
        <f>IFERROR(VLOOKUP(D757,'[1]Product Datasheet'!$A:$G,4,0),"")</f>
        <v/>
      </c>
      <c r="O757" s="47" t="str">
        <f>IFERROR(VLOOKUP(D757,'[1]Product Datasheet'!$A:$G,5,0),"")</f>
        <v/>
      </c>
      <c r="P757" s="47" t="str">
        <f>IFERROR(VLOOKUP(D757,'[1]Product Datasheet'!$A:$G,6,0),"")</f>
        <v/>
      </c>
      <c r="Q757" s="47" t="str">
        <f>IFERROR(VLOOKUP(D757,'[1]Product Datasheet'!$A:$G,7,0), "")</f>
        <v/>
      </c>
      <c r="R757" s="48"/>
      <c r="S757" s="49" t="str">
        <f t="shared" si="29"/>
        <v>Accept</v>
      </c>
      <c r="T757" s="50"/>
      <c r="U757" s="51"/>
    </row>
    <row r="758" spans="1:21" ht="24.75" customHeight="1" x14ac:dyDescent="0.3">
      <c r="A758" s="38" t="str">
        <f>IFERROR(VLOOKUP(D758,'[1]Product Datasheet'!$A:$G,2,0),"")</f>
        <v/>
      </c>
      <c r="B758" s="39" t="str">
        <f>IFERROR(VLOOKUP(D758,'[1]Product Datasheet'!$A:$G,3,0),"")</f>
        <v/>
      </c>
      <c r="C758" s="40"/>
      <c r="D758" s="41"/>
      <c r="E758" s="41"/>
      <c r="F758" s="41"/>
      <c r="G758" s="42"/>
      <c r="H758" s="43"/>
      <c r="I758" s="42"/>
      <c r="J758" s="44"/>
      <c r="K758" s="44"/>
      <c r="L758" s="44"/>
      <c r="M758" s="45" t="str">
        <f t="shared" si="28"/>
        <v>Pass</v>
      </c>
      <c r="N758" s="46" t="str">
        <f>IFERROR(VLOOKUP(D758,'[1]Product Datasheet'!$A:$G,4,0),"")</f>
        <v/>
      </c>
      <c r="O758" s="47" t="str">
        <f>IFERROR(VLOOKUP(D758,'[1]Product Datasheet'!$A:$G,5,0),"")</f>
        <v/>
      </c>
      <c r="P758" s="47" t="str">
        <f>IFERROR(VLOOKUP(D758,'[1]Product Datasheet'!$A:$G,6,0),"")</f>
        <v/>
      </c>
      <c r="Q758" s="47" t="str">
        <f>IFERROR(VLOOKUP(D758,'[1]Product Datasheet'!$A:$G,7,0), "")</f>
        <v/>
      </c>
      <c r="R758" s="48"/>
      <c r="S758" s="49" t="str">
        <f t="shared" si="29"/>
        <v>Accept</v>
      </c>
      <c r="T758" s="50"/>
      <c r="U758" s="51"/>
    </row>
    <row r="759" spans="1:21" ht="24.75" customHeight="1" x14ac:dyDescent="0.3">
      <c r="A759" s="38" t="str">
        <f>IFERROR(VLOOKUP(D759,'[1]Product Datasheet'!$A:$G,2,0),"")</f>
        <v/>
      </c>
      <c r="B759" s="39" t="str">
        <f>IFERROR(VLOOKUP(D759,'[1]Product Datasheet'!$A:$G,3,0),"")</f>
        <v/>
      </c>
      <c r="C759" s="40"/>
      <c r="D759" s="41"/>
      <c r="E759" s="41"/>
      <c r="F759" s="41"/>
      <c r="G759" s="42"/>
      <c r="H759" s="43"/>
      <c r="I759" s="42"/>
      <c r="J759" s="44"/>
      <c r="K759" s="44"/>
      <c r="L759" s="44"/>
      <c r="M759" s="45" t="str">
        <f t="shared" si="28"/>
        <v>Pass</v>
      </c>
      <c r="N759" s="46" t="str">
        <f>IFERROR(VLOOKUP(D759,'[1]Product Datasheet'!$A:$G,4,0),"")</f>
        <v/>
      </c>
      <c r="O759" s="47" t="str">
        <f>IFERROR(VLOOKUP(D759,'[1]Product Datasheet'!$A:$G,5,0),"")</f>
        <v/>
      </c>
      <c r="P759" s="47" t="str">
        <f>IFERROR(VLOOKUP(D759,'[1]Product Datasheet'!$A:$G,6,0),"")</f>
        <v/>
      </c>
      <c r="Q759" s="47" t="str">
        <f>IFERROR(VLOOKUP(D759,'[1]Product Datasheet'!$A:$G,7,0), "")</f>
        <v/>
      </c>
      <c r="R759" s="48"/>
      <c r="S759" s="49" t="str">
        <f t="shared" si="29"/>
        <v>Accept</v>
      </c>
      <c r="T759" s="50"/>
      <c r="U759" s="51"/>
    </row>
    <row r="760" spans="1:21" ht="24.75" customHeight="1" x14ac:dyDescent="0.3">
      <c r="A760" s="38" t="str">
        <f>IFERROR(VLOOKUP(D760,'[1]Product Datasheet'!$A:$G,2,0),"")</f>
        <v/>
      </c>
      <c r="B760" s="39" t="str">
        <f>IFERROR(VLOOKUP(D760,'[1]Product Datasheet'!$A:$G,3,0),"")</f>
        <v/>
      </c>
      <c r="C760" s="40"/>
      <c r="D760" s="41"/>
      <c r="E760" s="41"/>
      <c r="F760" s="41"/>
      <c r="G760" s="42"/>
      <c r="H760" s="43"/>
      <c r="I760" s="42"/>
      <c r="J760" s="44"/>
      <c r="K760" s="44"/>
      <c r="L760" s="44"/>
      <c r="M760" s="45" t="str">
        <f t="shared" si="28"/>
        <v>Pass</v>
      </c>
      <c r="N760" s="46" t="str">
        <f>IFERROR(VLOOKUP(D760,'[1]Product Datasheet'!$A:$G,4,0),"")</f>
        <v/>
      </c>
      <c r="O760" s="47" t="str">
        <f>IFERROR(VLOOKUP(D760,'[1]Product Datasheet'!$A:$G,5,0),"")</f>
        <v/>
      </c>
      <c r="P760" s="47" t="str">
        <f>IFERROR(VLOOKUP(D760,'[1]Product Datasheet'!$A:$G,6,0),"")</f>
        <v/>
      </c>
      <c r="Q760" s="47" t="str">
        <f>IFERROR(VLOOKUP(D760,'[1]Product Datasheet'!$A:$G,7,0), "")</f>
        <v/>
      </c>
      <c r="R760" s="48"/>
      <c r="S760" s="49" t="str">
        <f t="shared" si="29"/>
        <v>Accept</v>
      </c>
      <c r="T760" s="50"/>
      <c r="U760" s="51"/>
    </row>
    <row r="761" spans="1:21" ht="24.75" customHeight="1" x14ac:dyDescent="0.3">
      <c r="A761" s="38" t="str">
        <f>IFERROR(VLOOKUP(D761,'[1]Product Datasheet'!$A:$G,2,0),"")</f>
        <v/>
      </c>
      <c r="B761" s="39" t="str">
        <f>IFERROR(VLOOKUP(D761,'[1]Product Datasheet'!$A:$G,3,0),"")</f>
        <v/>
      </c>
      <c r="C761" s="40"/>
      <c r="D761" s="41"/>
      <c r="E761" s="41"/>
      <c r="F761" s="41"/>
      <c r="G761" s="42"/>
      <c r="H761" s="43"/>
      <c r="I761" s="42"/>
      <c r="J761" s="44"/>
      <c r="K761" s="44"/>
      <c r="L761" s="44"/>
      <c r="M761" s="45" t="str">
        <f t="shared" si="28"/>
        <v>Pass</v>
      </c>
      <c r="N761" s="46" t="str">
        <f>IFERROR(VLOOKUP(D761,'[1]Product Datasheet'!$A:$G,4,0),"")</f>
        <v/>
      </c>
      <c r="O761" s="47" t="str">
        <f>IFERROR(VLOOKUP(D761,'[1]Product Datasheet'!$A:$G,5,0),"")</f>
        <v/>
      </c>
      <c r="P761" s="47" t="str">
        <f>IFERROR(VLOOKUP(D761,'[1]Product Datasheet'!$A:$G,6,0),"")</f>
        <v/>
      </c>
      <c r="Q761" s="47" t="str">
        <f>IFERROR(VLOOKUP(D761,'[1]Product Datasheet'!$A:$G,7,0), "")</f>
        <v/>
      </c>
      <c r="R761" s="48"/>
      <c r="S761" s="49" t="str">
        <f t="shared" si="29"/>
        <v>Accept</v>
      </c>
      <c r="T761" s="50"/>
      <c r="U761" s="51"/>
    </row>
    <row r="762" spans="1:21" ht="24.75" customHeight="1" x14ac:dyDescent="0.3">
      <c r="A762" s="38" t="str">
        <f>IFERROR(VLOOKUP(D762,'[1]Product Datasheet'!$A:$G,2,0),"")</f>
        <v/>
      </c>
      <c r="B762" s="39" t="str">
        <f>IFERROR(VLOOKUP(D762,'[1]Product Datasheet'!$A:$G,3,0),"")</f>
        <v/>
      </c>
      <c r="C762" s="40"/>
      <c r="D762" s="41"/>
      <c r="E762" s="41"/>
      <c r="F762" s="41"/>
      <c r="G762" s="42"/>
      <c r="H762" s="43"/>
      <c r="I762" s="42"/>
      <c r="J762" s="44"/>
      <c r="K762" s="44"/>
      <c r="L762" s="44"/>
      <c r="M762" s="45" t="str">
        <f t="shared" si="28"/>
        <v>Pass</v>
      </c>
      <c r="N762" s="46" t="str">
        <f>IFERROR(VLOOKUP(D762,'[1]Product Datasheet'!$A:$G,4,0),"")</f>
        <v/>
      </c>
      <c r="O762" s="47" t="str">
        <f>IFERROR(VLOOKUP(D762,'[1]Product Datasheet'!$A:$G,5,0),"")</f>
        <v/>
      </c>
      <c r="P762" s="47" t="str">
        <f>IFERROR(VLOOKUP(D762,'[1]Product Datasheet'!$A:$G,6,0),"")</f>
        <v/>
      </c>
      <c r="Q762" s="47" t="str">
        <f>IFERROR(VLOOKUP(D762,'[1]Product Datasheet'!$A:$G,7,0), "")</f>
        <v/>
      </c>
      <c r="R762" s="48"/>
      <c r="S762" s="49" t="str">
        <f t="shared" si="29"/>
        <v>Accept</v>
      </c>
      <c r="T762" s="50"/>
      <c r="U762" s="51"/>
    </row>
    <row r="763" spans="1:21" ht="24.75" customHeight="1" x14ac:dyDescent="0.3">
      <c r="A763" s="38" t="str">
        <f>IFERROR(VLOOKUP(D763,'[1]Product Datasheet'!$A:$G,2,0),"")</f>
        <v/>
      </c>
      <c r="B763" s="39" t="str">
        <f>IFERROR(VLOOKUP(D763,'[1]Product Datasheet'!$A:$G,3,0),"")</f>
        <v/>
      </c>
      <c r="C763" s="40"/>
      <c r="D763" s="41"/>
      <c r="E763" s="41"/>
      <c r="F763" s="41"/>
      <c r="G763" s="42"/>
      <c r="H763" s="43"/>
      <c r="I763" s="42"/>
      <c r="J763" s="44"/>
      <c r="K763" s="44"/>
      <c r="L763" s="44"/>
      <c r="M763" s="45" t="str">
        <f t="shared" si="28"/>
        <v>Pass</v>
      </c>
      <c r="N763" s="46" t="str">
        <f>IFERROR(VLOOKUP(D763,'[1]Product Datasheet'!$A:$G,4,0),"")</f>
        <v/>
      </c>
      <c r="O763" s="47" t="str">
        <f>IFERROR(VLOOKUP(D763,'[1]Product Datasheet'!$A:$G,5,0),"")</f>
        <v/>
      </c>
      <c r="P763" s="47" t="str">
        <f>IFERROR(VLOOKUP(D763,'[1]Product Datasheet'!$A:$G,6,0),"")</f>
        <v/>
      </c>
      <c r="Q763" s="47" t="str">
        <f>IFERROR(VLOOKUP(D763,'[1]Product Datasheet'!$A:$G,7,0), "")</f>
        <v/>
      </c>
      <c r="R763" s="48"/>
      <c r="S763" s="49" t="str">
        <f t="shared" si="29"/>
        <v>Accept</v>
      </c>
      <c r="T763" s="50"/>
      <c r="U763" s="51"/>
    </row>
    <row r="764" spans="1:21" ht="24.75" customHeight="1" x14ac:dyDescent="0.3">
      <c r="A764" s="38" t="str">
        <f>IFERROR(VLOOKUP(D764,'[1]Product Datasheet'!$A:$G,2,0),"")</f>
        <v/>
      </c>
      <c r="B764" s="39" t="str">
        <f>IFERROR(VLOOKUP(D764,'[1]Product Datasheet'!$A:$G,3,0),"")</f>
        <v/>
      </c>
      <c r="C764" s="40"/>
      <c r="D764" s="41"/>
      <c r="E764" s="41"/>
      <c r="F764" s="41"/>
      <c r="G764" s="42"/>
      <c r="H764" s="43"/>
      <c r="I764" s="42"/>
      <c r="J764" s="44"/>
      <c r="K764" s="44"/>
      <c r="L764" s="44"/>
      <c r="M764" s="45" t="str">
        <f t="shared" si="28"/>
        <v>Pass</v>
      </c>
      <c r="N764" s="46" t="str">
        <f>IFERROR(VLOOKUP(D764,'[1]Product Datasheet'!$A:$G,4,0),"")</f>
        <v/>
      </c>
      <c r="O764" s="47" t="str">
        <f>IFERROR(VLOOKUP(D764,'[1]Product Datasheet'!$A:$G,5,0),"")</f>
        <v/>
      </c>
      <c r="P764" s="47" t="str">
        <f>IFERROR(VLOOKUP(D764,'[1]Product Datasheet'!$A:$G,6,0),"")</f>
        <v/>
      </c>
      <c r="Q764" s="47" t="str">
        <f>IFERROR(VLOOKUP(D764,'[1]Product Datasheet'!$A:$G,7,0), "")</f>
        <v/>
      </c>
      <c r="R764" s="48"/>
      <c r="S764" s="49" t="str">
        <f t="shared" si="29"/>
        <v>Accept</v>
      </c>
      <c r="T764" s="50"/>
      <c r="U764" s="51"/>
    </row>
    <row r="765" spans="1:21" ht="24.75" customHeight="1" x14ac:dyDescent="0.3">
      <c r="A765" s="38" t="str">
        <f>IFERROR(VLOOKUP(D765,'[1]Product Datasheet'!$A:$G,2,0),"")</f>
        <v/>
      </c>
      <c r="B765" s="39" t="str">
        <f>IFERROR(VLOOKUP(D765,'[1]Product Datasheet'!$A:$G,3,0),"")</f>
        <v/>
      </c>
      <c r="C765" s="40"/>
      <c r="D765" s="41"/>
      <c r="E765" s="41"/>
      <c r="F765" s="41"/>
      <c r="G765" s="42"/>
      <c r="H765" s="43"/>
      <c r="I765" s="42"/>
      <c r="J765" s="44"/>
      <c r="K765" s="44"/>
      <c r="L765" s="44"/>
      <c r="M765" s="45" t="str">
        <f t="shared" si="28"/>
        <v>Pass</v>
      </c>
      <c r="N765" s="46" t="str">
        <f>IFERROR(VLOOKUP(D765,'[1]Product Datasheet'!$A:$G,4,0),"")</f>
        <v/>
      </c>
      <c r="O765" s="47" t="str">
        <f>IFERROR(VLOOKUP(D765,'[1]Product Datasheet'!$A:$G,5,0),"")</f>
        <v/>
      </c>
      <c r="P765" s="47" t="str">
        <f>IFERROR(VLOOKUP(D765,'[1]Product Datasheet'!$A:$G,6,0),"")</f>
        <v/>
      </c>
      <c r="Q765" s="47" t="str">
        <f>IFERROR(VLOOKUP(D765,'[1]Product Datasheet'!$A:$G,7,0), "")</f>
        <v/>
      </c>
      <c r="R765" s="48"/>
      <c r="S765" s="49" t="str">
        <f t="shared" si="29"/>
        <v>Accept</v>
      </c>
      <c r="T765" s="50"/>
      <c r="U765" s="51"/>
    </row>
    <row r="766" spans="1:21" ht="24.75" customHeight="1" x14ac:dyDescent="0.3">
      <c r="A766" s="38" t="str">
        <f>IFERROR(VLOOKUP(D766,'[1]Product Datasheet'!$A:$G,2,0),"")</f>
        <v/>
      </c>
      <c r="B766" s="39" t="str">
        <f>IFERROR(VLOOKUP(D766,'[1]Product Datasheet'!$A:$G,3,0),"")</f>
        <v/>
      </c>
      <c r="C766" s="40"/>
      <c r="D766" s="41"/>
      <c r="E766" s="41"/>
      <c r="F766" s="41"/>
      <c r="G766" s="42"/>
      <c r="H766" s="43"/>
      <c r="I766" s="42"/>
      <c r="J766" s="44"/>
      <c r="K766" s="44"/>
      <c r="L766" s="44"/>
      <c r="M766" s="45" t="str">
        <f t="shared" si="28"/>
        <v>Pass</v>
      </c>
      <c r="N766" s="46" t="str">
        <f>IFERROR(VLOOKUP(D766,'[1]Product Datasheet'!$A:$G,4,0),"")</f>
        <v/>
      </c>
      <c r="O766" s="47" t="str">
        <f>IFERROR(VLOOKUP(D766,'[1]Product Datasheet'!$A:$G,5,0),"")</f>
        <v/>
      </c>
      <c r="P766" s="47" t="str">
        <f>IFERROR(VLOOKUP(D766,'[1]Product Datasheet'!$A:$G,6,0),"")</f>
        <v/>
      </c>
      <c r="Q766" s="47" t="str">
        <f>IFERROR(VLOOKUP(D766,'[1]Product Datasheet'!$A:$G,7,0), "")</f>
        <v/>
      </c>
      <c r="R766" s="48"/>
      <c r="S766" s="49" t="str">
        <f t="shared" si="29"/>
        <v>Accept</v>
      </c>
      <c r="T766" s="50"/>
      <c r="U766" s="51"/>
    </row>
    <row r="767" spans="1:21" ht="24.75" customHeight="1" x14ac:dyDescent="0.3">
      <c r="A767" s="38" t="str">
        <f>IFERROR(VLOOKUP(D767,'[1]Product Datasheet'!$A:$G,2,0),"")</f>
        <v/>
      </c>
      <c r="B767" s="39" t="str">
        <f>IFERROR(VLOOKUP(D767,'[1]Product Datasheet'!$A:$G,3,0),"")</f>
        <v/>
      </c>
      <c r="C767" s="40"/>
      <c r="D767" s="41"/>
      <c r="E767" s="41"/>
      <c r="F767" s="41"/>
      <c r="G767" s="42"/>
      <c r="H767" s="43"/>
      <c r="I767" s="42"/>
      <c r="J767" s="44"/>
      <c r="K767" s="44"/>
      <c r="L767" s="44"/>
      <c r="M767" s="45" t="str">
        <f t="shared" si="28"/>
        <v>Pass</v>
      </c>
      <c r="N767" s="46" t="str">
        <f>IFERROR(VLOOKUP(D767,'[1]Product Datasheet'!$A:$G,4,0),"")</f>
        <v/>
      </c>
      <c r="O767" s="47" t="str">
        <f>IFERROR(VLOOKUP(D767,'[1]Product Datasheet'!$A:$G,5,0),"")</f>
        <v/>
      </c>
      <c r="P767" s="47" t="str">
        <f>IFERROR(VLOOKUP(D767,'[1]Product Datasheet'!$A:$G,6,0),"")</f>
        <v/>
      </c>
      <c r="Q767" s="47" t="str">
        <f>IFERROR(VLOOKUP(D767,'[1]Product Datasheet'!$A:$G,7,0), "")</f>
        <v/>
      </c>
      <c r="R767" s="48"/>
      <c r="S767" s="49" t="str">
        <f t="shared" si="29"/>
        <v>Accept</v>
      </c>
      <c r="T767" s="50"/>
      <c r="U767" s="51"/>
    </row>
    <row r="768" spans="1:21" ht="24.75" customHeight="1" x14ac:dyDescent="0.3">
      <c r="A768" s="38" t="str">
        <f>IFERROR(VLOOKUP(D768,'[1]Product Datasheet'!$A:$G,2,0),"")</f>
        <v/>
      </c>
      <c r="B768" s="39" t="str">
        <f>IFERROR(VLOOKUP(D768,'[1]Product Datasheet'!$A:$G,3,0),"")</f>
        <v/>
      </c>
      <c r="C768" s="40"/>
      <c r="D768" s="41"/>
      <c r="E768" s="41"/>
      <c r="F768" s="41"/>
      <c r="G768" s="42"/>
      <c r="H768" s="43"/>
      <c r="I768" s="42"/>
      <c r="J768" s="44"/>
      <c r="K768" s="44"/>
      <c r="L768" s="44"/>
      <c r="M768" s="45" t="str">
        <f t="shared" si="28"/>
        <v>Pass</v>
      </c>
      <c r="N768" s="46" t="str">
        <f>IFERROR(VLOOKUP(D768,'[1]Product Datasheet'!$A:$G,4,0),"")</f>
        <v/>
      </c>
      <c r="O768" s="47" t="str">
        <f>IFERROR(VLOOKUP(D768,'[1]Product Datasheet'!$A:$G,5,0),"")</f>
        <v/>
      </c>
      <c r="P768" s="47" t="str">
        <f>IFERROR(VLOOKUP(D768,'[1]Product Datasheet'!$A:$G,6,0),"")</f>
        <v/>
      </c>
      <c r="Q768" s="47" t="str">
        <f>IFERROR(VLOOKUP(D768,'[1]Product Datasheet'!$A:$G,7,0), "")</f>
        <v/>
      </c>
      <c r="R768" s="48"/>
      <c r="S768" s="49" t="str">
        <f t="shared" si="29"/>
        <v>Accept</v>
      </c>
      <c r="T768" s="50"/>
      <c r="U768" s="51"/>
    </row>
    <row r="769" spans="1:21" ht="24.75" customHeight="1" x14ac:dyDescent="0.3">
      <c r="A769" s="38" t="str">
        <f>IFERROR(VLOOKUP(D769,'[1]Product Datasheet'!$A:$G,2,0),"")</f>
        <v/>
      </c>
      <c r="B769" s="39" t="str">
        <f>IFERROR(VLOOKUP(D769,'[1]Product Datasheet'!$A:$G,3,0),"")</f>
        <v/>
      </c>
      <c r="C769" s="40"/>
      <c r="D769" s="41"/>
      <c r="E769" s="41"/>
      <c r="F769" s="41"/>
      <c r="G769" s="42"/>
      <c r="H769" s="43"/>
      <c r="I769" s="42"/>
      <c r="J769" s="44"/>
      <c r="K769" s="44"/>
      <c r="L769" s="44"/>
      <c r="M769" s="45" t="str">
        <f t="shared" si="28"/>
        <v>Pass</v>
      </c>
      <c r="N769" s="46" t="str">
        <f>IFERROR(VLOOKUP(D769,'[1]Product Datasheet'!$A:$G,4,0),"")</f>
        <v/>
      </c>
      <c r="O769" s="47" t="str">
        <f>IFERROR(VLOOKUP(D769,'[1]Product Datasheet'!$A:$G,5,0),"")</f>
        <v/>
      </c>
      <c r="P769" s="47" t="str">
        <f>IFERROR(VLOOKUP(D769,'[1]Product Datasheet'!$A:$G,6,0),"")</f>
        <v/>
      </c>
      <c r="Q769" s="47" t="str">
        <f>IFERROR(VLOOKUP(D769,'[1]Product Datasheet'!$A:$G,7,0), "")</f>
        <v/>
      </c>
      <c r="R769" s="48"/>
      <c r="S769" s="49" t="str">
        <f t="shared" si="29"/>
        <v>Accept</v>
      </c>
      <c r="T769" s="50"/>
      <c r="U769" s="51"/>
    </row>
    <row r="770" spans="1:21" ht="24.75" customHeight="1" x14ac:dyDescent="0.3">
      <c r="A770" s="38" t="str">
        <f>IFERROR(VLOOKUP(D770,'[1]Product Datasheet'!$A:$G,2,0),"")</f>
        <v/>
      </c>
      <c r="B770" s="39" t="str">
        <f>IFERROR(VLOOKUP(D770,'[1]Product Datasheet'!$A:$G,3,0),"")</f>
        <v/>
      </c>
      <c r="C770" s="40"/>
      <c r="D770" s="41"/>
      <c r="E770" s="41"/>
      <c r="F770" s="41"/>
      <c r="G770" s="42"/>
      <c r="H770" s="43"/>
      <c r="I770" s="42"/>
      <c r="J770" s="44"/>
      <c r="K770" s="44"/>
      <c r="L770" s="44"/>
      <c r="M770" s="45" t="str">
        <f t="shared" si="28"/>
        <v>Pass</v>
      </c>
      <c r="N770" s="46" t="str">
        <f>IFERROR(VLOOKUP(D770,'[1]Product Datasheet'!$A:$G,4,0),"")</f>
        <v/>
      </c>
      <c r="O770" s="47" t="str">
        <f>IFERROR(VLOOKUP(D770,'[1]Product Datasheet'!$A:$G,5,0),"")</f>
        <v/>
      </c>
      <c r="P770" s="47" t="str">
        <f>IFERROR(VLOOKUP(D770,'[1]Product Datasheet'!$A:$G,6,0),"")</f>
        <v/>
      </c>
      <c r="Q770" s="47" t="str">
        <f>IFERROR(VLOOKUP(D770,'[1]Product Datasheet'!$A:$G,7,0), "")</f>
        <v/>
      </c>
      <c r="R770" s="48"/>
      <c r="S770" s="49" t="str">
        <f t="shared" si="29"/>
        <v>Accept</v>
      </c>
      <c r="T770" s="50"/>
      <c r="U770" s="51"/>
    </row>
    <row r="771" spans="1:21" ht="24.75" customHeight="1" x14ac:dyDescent="0.3">
      <c r="A771" s="38" t="str">
        <f>IFERROR(VLOOKUP(D771,'[1]Product Datasheet'!$A:$G,2,0),"")</f>
        <v/>
      </c>
      <c r="B771" s="39" t="str">
        <f>IFERROR(VLOOKUP(D771,'[1]Product Datasheet'!$A:$G,3,0),"")</f>
        <v/>
      </c>
      <c r="C771" s="40"/>
      <c r="D771" s="41"/>
      <c r="E771" s="41"/>
      <c r="F771" s="41"/>
      <c r="G771" s="42"/>
      <c r="H771" s="43"/>
      <c r="I771" s="42"/>
      <c r="J771" s="44"/>
      <c r="K771" s="44"/>
      <c r="L771" s="44"/>
      <c r="M771" s="45" t="str">
        <f t="shared" si="28"/>
        <v>Pass</v>
      </c>
      <c r="N771" s="46" t="str">
        <f>IFERROR(VLOOKUP(D771,'[1]Product Datasheet'!$A:$G,4,0),"")</f>
        <v/>
      </c>
      <c r="O771" s="47" t="str">
        <f>IFERROR(VLOOKUP(D771,'[1]Product Datasheet'!$A:$G,5,0),"")</f>
        <v/>
      </c>
      <c r="P771" s="47" t="str">
        <f>IFERROR(VLOOKUP(D771,'[1]Product Datasheet'!$A:$G,6,0),"")</f>
        <v/>
      </c>
      <c r="Q771" s="47" t="str">
        <f>IFERROR(VLOOKUP(D771,'[1]Product Datasheet'!$A:$G,7,0), "")</f>
        <v/>
      </c>
      <c r="R771" s="48"/>
      <c r="S771" s="49" t="str">
        <f t="shared" si="29"/>
        <v>Accept</v>
      </c>
      <c r="T771" s="50"/>
      <c r="U771" s="51"/>
    </row>
    <row r="772" spans="1:21" ht="24.75" customHeight="1" x14ac:dyDescent="0.3">
      <c r="A772" s="38" t="str">
        <f>IFERROR(VLOOKUP(D772,'[1]Product Datasheet'!$A:$G,2,0),"")</f>
        <v/>
      </c>
      <c r="B772" s="39" t="str">
        <f>IFERROR(VLOOKUP(D772,'[1]Product Datasheet'!$A:$G,3,0),"")</f>
        <v/>
      </c>
      <c r="C772" s="40"/>
      <c r="D772" s="41"/>
      <c r="E772" s="41"/>
      <c r="F772" s="41"/>
      <c r="G772" s="42"/>
      <c r="H772" s="43"/>
      <c r="I772" s="42"/>
      <c r="J772" s="44"/>
      <c r="K772" s="44"/>
      <c r="L772" s="44"/>
      <c r="M772" s="45" t="str">
        <f t="shared" si="28"/>
        <v>Pass</v>
      </c>
      <c r="N772" s="46" t="str">
        <f>IFERROR(VLOOKUP(D772,'[1]Product Datasheet'!$A:$G,4,0),"")</f>
        <v/>
      </c>
      <c r="O772" s="47" t="str">
        <f>IFERROR(VLOOKUP(D772,'[1]Product Datasheet'!$A:$G,5,0),"")</f>
        <v/>
      </c>
      <c r="P772" s="47" t="str">
        <f>IFERROR(VLOOKUP(D772,'[1]Product Datasheet'!$A:$G,6,0),"")</f>
        <v/>
      </c>
      <c r="Q772" s="47" t="str">
        <f>IFERROR(VLOOKUP(D772,'[1]Product Datasheet'!$A:$G,7,0), "")</f>
        <v/>
      </c>
      <c r="R772" s="48"/>
      <c r="S772" s="49" t="str">
        <f t="shared" si="29"/>
        <v>Accept</v>
      </c>
      <c r="T772" s="50"/>
      <c r="U772" s="51"/>
    </row>
    <row r="773" spans="1:21" ht="24.75" customHeight="1" x14ac:dyDescent="0.3">
      <c r="A773" s="38" t="str">
        <f>IFERROR(VLOOKUP(D773,'[1]Product Datasheet'!$A:$G,2,0),"")</f>
        <v/>
      </c>
      <c r="B773" s="39" t="str">
        <f>IFERROR(VLOOKUP(D773,'[1]Product Datasheet'!$A:$G,3,0),"")</f>
        <v/>
      </c>
      <c r="C773" s="40"/>
      <c r="D773" s="41"/>
      <c r="E773" s="41"/>
      <c r="F773" s="41"/>
      <c r="G773" s="42"/>
      <c r="H773" s="43"/>
      <c r="I773" s="42"/>
      <c r="J773" s="44"/>
      <c r="K773" s="44"/>
      <c r="L773" s="44"/>
      <c r="M773" s="45" t="str">
        <f t="shared" si="28"/>
        <v>Pass</v>
      </c>
      <c r="N773" s="46" t="str">
        <f>IFERROR(VLOOKUP(D773,'[1]Product Datasheet'!$A:$G,4,0),"")</f>
        <v/>
      </c>
      <c r="O773" s="47" t="str">
        <f>IFERROR(VLOOKUP(D773,'[1]Product Datasheet'!$A:$G,5,0),"")</f>
        <v/>
      </c>
      <c r="P773" s="47" t="str">
        <f>IFERROR(VLOOKUP(D773,'[1]Product Datasheet'!$A:$G,6,0),"")</f>
        <v/>
      </c>
      <c r="Q773" s="47" t="str">
        <f>IFERROR(VLOOKUP(D773,'[1]Product Datasheet'!$A:$G,7,0), "")</f>
        <v/>
      </c>
      <c r="R773" s="48"/>
      <c r="S773" s="49" t="str">
        <f t="shared" si="29"/>
        <v>Accept</v>
      </c>
      <c r="T773" s="50"/>
      <c r="U773" s="51"/>
    </row>
    <row r="774" spans="1:21" ht="24.75" customHeight="1" x14ac:dyDescent="0.3">
      <c r="A774" s="38" t="str">
        <f>IFERROR(VLOOKUP(D774,'[1]Product Datasheet'!$A:$G,2,0),"")</f>
        <v/>
      </c>
      <c r="B774" s="39" t="str">
        <f>IFERROR(VLOOKUP(D774,'[1]Product Datasheet'!$A:$G,3,0),"")</f>
        <v/>
      </c>
      <c r="C774" s="40"/>
      <c r="D774" s="41"/>
      <c r="E774" s="41"/>
      <c r="F774" s="41"/>
      <c r="G774" s="42"/>
      <c r="H774" s="43"/>
      <c r="I774" s="42"/>
      <c r="J774" s="44"/>
      <c r="K774" s="44"/>
      <c r="L774" s="44"/>
      <c r="M774" s="45" t="str">
        <f t="shared" si="28"/>
        <v>Pass</v>
      </c>
      <c r="N774" s="46" t="str">
        <f>IFERROR(VLOOKUP(D774,'[1]Product Datasheet'!$A:$G,4,0),"")</f>
        <v/>
      </c>
      <c r="O774" s="47" t="str">
        <f>IFERROR(VLOOKUP(D774,'[1]Product Datasheet'!$A:$G,5,0),"")</f>
        <v/>
      </c>
      <c r="P774" s="47" t="str">
        <f>IFERROR(VLOOKUP(D774,'[1]Product Datasheet'!$A:$G,6,0),"")</f>
        <v/>
      </c>
      <c r="Q774" s="47" t="str">
        <f>IFERROR(VLOOKUP(D774,'[1]Product Datasheet'!$A:$G,7,0), "")</f>
        <v/>
      </c>
      <c r="R774" s="48"/>
      <c r="S774" s="49" t="str">
        <f t="shared" si="29"/>
        <v>Accept</v>
      </c>
      <c r="T774" s="50"/>
      <c r="U774" s="51"/>
    </row>
    <row r="775" spans="1:21" ht="24.75" customHeight="1" x14ac:dyDescent="0.3">
      <c r="A775" s="38" t="str">
        <f>IFERROR(VLOOKUP(D775,'[1]Product Datasheet'!$A:$G,2,0),"")</f>
        <v/>
      </c>
      <c r="B775" s="39" t="str">
        <f>IFERROR(VLOOKUP(D775,'[1]Product Datasheet'!$A:$G,3,0),"")</f>
        <v/>
      </c>
      <c r="C775" s="40"/>
      <c r="D775" s="41"/>
      <c r="E775" s="41"/>
      <c r="F775" s="41"/>
      <c r="G775" s="42"/>
      <c r="H775" s="43"/>
      <c r="I775" s="42"/>
      <c r="J775" s="44"/>
      <c r="K775" s="44"/>
      <c r="L775" s="44"/>
      <c r="M775" s="45" t="str">
        <f t="shared" si="28"/>
        <v>Pass</v>
      </c>
      <c r="N775" s="46" t="str">
        <f>IFERROR(VLOOKUP(D775,'[1]Product Datasheet'!$A:$G,4,0),"")</f>
        <v/>
      </c>
      <c r="O775" s="47" t="str">
        <f>IFERROR(VLOOKUP(D775,'[1]Product Datasheet'!$A:$G,5,0),"")</f>
        <v/>
      </c>
      <c r="P775" s="47" t="str">
        <f>IFERROR(VLOOKUP(D775,'[1]Product Datasheet'!$A:$G,6,0),"")</f>
        <v/>
      </c>
      <c r="Q775" s="47" t="str">
        <f>IFERROR(VLOOKUP(D775,'[1]Product Datasheet'!$A:$G,7,0), "")</f>
        <v/>
      </c>
      <c r="R775" s="48"/>
      <c r="S775" s="49" t="str">
        <f t="shared" si="29"/>
        <v>Accept</v>
      </c>
      <c r="T775" s="50"/>
      <c r="U775" s="51"/>
    </row>
    <row r="776" spans="1:21" ht="24.75" customHeight="1" x14ac:dyDescent="0.3">
      <c r="A776" s="38" t="str">
        <f>IFERROR(VLOOKUP(D776,'[1]Product Datasheet'!$A:$G,2,0),"")</f>
        <v/>
      </c>
      <c r="B776" s="39" t="str">
        <f>IFERROR(VLOOKUP(D776,'[1]Product Datasheet'!$A:$G,3,0),"")</f>
        <v/>
      </c>
      <c r="C776" s="40"/>
      <c r="D776" s="41"/>
      <c r="E776" s="41"/>
      <c r="F776" s="41"/>
      <c r="G776" s="42"/>
      <c r="H776" s="43"/>
      <c r="I776" s="42"/>
      <c r="J776" s="44"/>
      <c r="K776" s="44"/>
      <c r="L776" s="44"/>
      <c r="M776" s="45" t="str">
        <f t="shared" si="28"/>
        <v>Pass</v>
      </c>
      <c r="N776" s="46" t="str">
        <f>IFERROR(VLOOKUP(D776,'[1]Product Datasheet'!$A:$G,4,0),"")</f>
        <v/>
      </c>
      <c r="O776" s="47" t="str">
        <f>IFERROR(VLOOKUP(D776,'[1]Product Datasheet'!$A:$G,5,0),"")</f>
        <v/>
      </c>
      <c r="P776" s="47" t="str">
        <f>IFERROR(VLOOKUP(D776,'[1]Product Datasheet'!$A:$G,6,0),"")</f>
        <v/>
      </c>
      <c r="Q776" s="47" t="str">
        <f>IFERROR(VLOOKUP(D776,'[1]Product Datasheet'!$A:$G,7,0), "")</f>
        <v/>
      </c>
      <c r="R776" s="48"/>
      <c r="S776" s="49" t="str">
        <f t="shared" si="29"/>
        <v>Accept</v>
      </c>
      <c r="T776" s="50"/>
      <c r="U776" s="51"/>
    </row>
    <row r="777" spans="1:21" ht="24.75" customHeight="1" x14ac:dyDescent="0.3">
      <c r="A777" s="38" t="str">
        <f>IFERROR(VLOOKUP(D777,'[1]Product Datasheet'!$A:$G,2,0),"")</f>
        <v/>
      </c>
      <c r="B777" s="39" t="str">
        <f>IFERROR(VLOOKUP(D777,'[1]Product Datasheet'!$A:$G,3,0),"")</f>
        <v/>
      </c>
      <c r="C777" s="40"/>
      <c r="D777" s="41"/>
      <c r="E777" s="41"/>
      <c r="F777" s="41"/>
      <c r="G777" s="42"/>
      <c r="H777" s="43"/>
      <c r="I777" s="42"/>
      <c r="J777" s="44"/>
      <c r="K777" s="44"/>
      <c r="L777" s="44"/>
      <c r="M777" s="45" t="str">
        <f t="shared" ref="M777:M840" si="30">IF(AND(G777&lt;=O777,G777&gt;=N777,H777&lt;=Q777,H777&gt;=P777),"Pass","Fail")</f>
        <v>Pass</v>
      </c>
      <c r="N777" s="46" t="str">
        <f>IFERROR(VLOOKUP(D777,'[1]Product Datasheet'!$A:$G,4,0),"")</f>
        <v/>
      </c>
      <c r="O777" s="47" t="str">
        <f>IFERROR(VLOOKUP(D777,'[1]Product Datasheet'!$A:$G,5,0),"")</f>
        <v/>
      </c>
      <c r="P777" s="47" t="str">
        <f>IFERROR(VLOOKUP(D777,'[1]Product Datasheet'!$A:$G,6,0),"")</f>
        <v/>
      </c>
      <c r="Q777" s="47" t="str">
        <f>IFERROR(VLOOKUP(D777,'[1]Product Datasheet'!$A:$G,7,0), "")</f>
        <v/>
      </c>
      <c r="R777" s="48"/>
      <c r="S777" s="49" t="str">
        <f t="shared" ref="S777:S840" si="31">IFERROR(IF(AND(ROUND(H777, 2)&lt;=Q777, ROUND(G777,1)&lt;=O777), "Accept", "Reject"),"Reject")</f>
        <v>Accept</v>
      </c>
      <c r="T777" s="50"/>
      <c r="U777" s="51"/>
    </row>
    <row r="778" spans="1:21" ht="24.75" customHeight="1" x14ac:dyDescent="0.3">
      <c r="A778" s="38" t="str">
        <f>IFERROR(VLOOKUP(D778,'[1]Product Datasheet'!$A:$G,2,0),"")</f>
        <v/>
      </c>
      <c r="B778" s="39" t="str">
        <f>IFERROR(VLOOKUP(D778,'[1]Product Datasheet'!$A:$G,3,0),"")</f>
        <v/>
      </c>
      <c r="C778" s="40"/>
      <c r="D778" s="41"/>
      <c r="E778" s="41"/>
      <c r="F778" s="41"/>
      <c r="G778" s="42"/>
      <c r="H778" s="43"/>
      <c r="I778" s="42"/>
      <c r="J778" s="44"/>
      <c r="K778" s="44"/>
      <c r="L778" s="44"/>
      <c r="M778" s="45" t="str">
        <f t="shared" si="30"/>
        <v>Pass</v>
      </c>
      <c r="N778" s="46" t="str">
        <f>IFERROR(VLOOKUP(D778,'[1]Product Datasheet'!$A:$G,4,0),"")</f>
        <v/>
      </c>
      <c r="O778" s="47" t="str">
        <f>IFERROR(VLOOKUP(D778,'[1]Product Datasheet'!$A:$G,5,0),"")</f>
        <v/>
      </c>
      <c r="P778" s="47" t="str">
        <f>IFERROR(VLOOKUP(D778,'[1]Product Datasheet'!$A:$G,6,0),"")</f>
        <v/>
      </c>
      <c r="Q778" s="47" t="str">
        <f>IFERROR(VLOOKUP(D778,'[1]Product Datasheet'!$A:$G,7,0), "")</f>
        <v/>
      </c>
      <c r="R778" s="48"/>
      <c r="S778" s="49" t="str">
        <f t="shared" si="31"/>
        <v>Accept</v>
      </c>
      <c r="T778" s="50"/>
      <c r="U778" s="51"/>
    </row>
    <row r="779" spans="1:21" ht="24.75" customHeight="1" x14ac:dyDescent="0.3">
      <c r="A779" s="38" t="str">
        <f>IFERROR(VLOOKUP(D779,'[1]Product Datasheet'!$A:$G,2,0),"")</f>
        <v/>
      </c>
      <c r="B779" s="39" t="str">
        <f>IFERROR(VLOOKUP(D779,'[1]Product Datasheet'!$A:$G,3,0),"")</f>
        <v/>
      </c>
      <c r="C779" s="40"/>
      <c r="D779" s="41"/>
      <c r="E779" s="41"/>
      <c r="F779" s="41"/>
      <c r="G779" s="42"/>
      <c r="H779" s="43"/>
      <c r="I779" s="42"/>
      <c r="J779" s="44"/>
      <c r="K779" s="44"/>
      <c r="L779" s="44"/>
      <c r="M779" s="45" t="str">
        <f t="shared" si="30"/>
        <v>Pass</v>
      </c>
      <c r="N779" s="46" t="str">
        <f>IFERROR(VLOOKUP(D779,'[1]Product Datasheet'!$A:$G,4,0),"")</f>
        <v/>
      </c>
      <c r="O779" s="47" t="str">
        <f>IFERROR(VLOOKUP(D779,'[1]Product Datasheet'!$A:$G,5,0),"")</f>
        <v/>
      </c>
      <c r="P779" s="47" t="str">
        <f>IFERROR(VLOOKUP(D779,'[1]Product Datasheet'!$A:$G,6,0),"")</f>
        <v/>
      </c>
      <c r="Q779" s="47" t="str">
        <f>IFERROR(VLOOKUP(D779,'[1]Product Datasheet'!$A:$G,7,0), "")</f>
        <v/>
      </c>
      <c r="R779" s="48"/>
      <c r="S779" s="49" t="str">
        <f t="shared" si="31"/>
        <v>Accept</v>
      </c>
      <c r="T779" s="50"/>
      <c r="U779" s="51"/>
    </row>
    <row r="780" spans="1:21" ht="24.75" customHeight="1" x14ac:dyDescent="0.3">
      <c r="A780" s="38" t="str">
        <f>IFERROR(VLOOKUP(D780,'[1]Product Datasheet'!$A:$G,2,0),"")</f>
        <v/>
      </c>
      <c r="B780" s="39" t="str">
        <f>IFERROR(VLOOKUP(D780,'[1]Product Datasheet'!$A:$G,3,0),"")</f>
        <v/>
      </c>
      <c r="C780" s="40"/>
      <c r="D780" s="41"/>
      <c r="E780" s="41"/>
      <c r="F780" s="41"/>
      <c r="G780" s="42"/>
      <c r="H780" s="43"/>
      <c r="I780" s="42"/>
      <c r="J780" s="44"/>
      <c r="K780" s="44"/>
      <c r="L780" s="44"/>
      <c r="M780" s="45" t="str">
        <f t="shared" si="30"/>
        <v>Pass</v>
      </c>
      <c r="N780" s="46" t="str">
        <f>IFERROR(VLOOKUP(D780,'[1]Product Datasheet'!$A:$G,4,0),"")</f>
        <v/>
      </c>
      <c r="O780" s="47" t="str">
        <f>IFERROR(VLOOKUP(D780,'[1]Product Datasheet'!$A:$G,5,0),"")</f>
        <v/>
      </c>
      <c r="P780" s="47" t="str">
        <f>IFERROR(VLOOKUP(D780,'[1]Product Datasheet'!$A:$G,6,0),"")</f>
        <v/>
      </c>
      <c r="Q780" s="47" t="str">
        <f>IFERROR(VLOOKUP(D780,'[1]Product Datasheet'!$A:$G,7,0), "")</f>
        <v/>
      </c>
      <c r="R780" s="48"/>
      <c r="S780" s="49" t="str">
        <f t="shared" si="31"/>
        <v>Accept</v>
      </c>
      <c r="T780" s="50"/>
      <c r="U780" s="51"/>
    </row>
    <row r="781" spans="1:21" ht="24.75" customHeight="1" x14ac:dyDescent="0.3">
      <c r="A781" s="38" t="str">
        <f>IFERROR(VLOOKUP(D781,'[1]Product Datasheet'!$A:$G,2,0),"")</f>
        <v/>
      </c>
      <c r="B781" s="39" t="str">
        <f>IFERROR(VLOOKUP(D781,'[1]Product Datasheet'!$A:$G,3,0),"")</f>
        <v/>
      </c>
      <c r="C781" s="40"/>
      <c r="D781" s="41"/>
      <c r="E781" s="41"/>
      <c r="F781" s="41"/>
      <c r="G781" s="42"/>
      <c r="H781" s="43"/>
      <c r="I781" s="42"/>
      <c r="J781" s="44"/>
      <c r="K781" s="44"/>
      <c r="L781" s="44"/>
      <c r="M781" s="45" t="str">
        <f t="shared" si="30"/>
        <v>Pass</v>
      </c>
      <c r="N781" s="46" t="str">
        <f>IFERROR(VLOOKUP(D781,'[1]Product Datasheet'!$A:$G,4,0),"")</f>
        <v/>
      </c>
      <c r="O781" s="47" t="str">
        <f>IFERROR(VLOOKUP(D781,'[1]Product Datasheet'!$A:$G,5,0),"")</f>
        <v/>
      </c>
      <c r="P781" s="47" t="str">
        <f>IFERROR(VLOOKUP(D781,'[1]Product Datasheet'!$A:$G,6,0),"")</f>
        <v/>
      </c>
      <c r="Q781" s="47" t="str">
        <f>IFERROR(VLOOKUP(D781,'[1]Product Datasheet'!$A:$G,7,0), "")</f>
        <v/>
      </c>
      <c r="R781" s="48"/>
      <c r="S781" s="49" t="str">
        <f t="shared" si="31"/>
        <v>Accept</v>
      </c>
      <c r="T781" s="50"/>
      <c r="U781" s="51"/>
    </row>
    <row r="782" spans="1:21" ht="24.75" customHeight="1" x14ac:dyDescent="0.3">
      <c r="A782" s="38" t="str">
        <f>IFERROR(VLOOKUP(D782,'[1]Product Datasheet'!$A:$G,2,0),"")</f>
        <v/>
      </c>
      <c r="B782" s="39" t="str">
        <f>IFERROR(VLOOKUP(D782,'[1]Product Datasheet'!$A:$G,3,0),"")</f>
        <v/>
      </c>
      <c r="C782" s="40"/>
      <c r="D782" s="41"/>
      <c r="E782" s="41"/>
      <c r="F782" s="41"/>
      <c r="G782" s="42"/>
      <c r="H782" s="43"/>
      <c r="I782" s="42"/>
      <c r="J782" s="44"/>
      <c r="K782" s="44"/>
      <c r="L782" s="44"/>
      <c r="M782" s="45" t="str">
        <f t="shared" si="30"/>
        <v>Pass</v>
      </c>
      <c r="N782" s="46" t="str">
        <f>IFERROR(VLOOKUP(D782,'[1]Product Datasheet'!$A:$G,4,0),"")</f>
        <v/>
      </c>
      <c r="O782" s="47" t="str">
        <f>IFERROR(VLOOKUP(D782,'[1]Product Datasheet'!$A:$G,5,0),"")</f>
        <v/>
      </c>
      <c r="P782" s="47" t="str">
        <f>IFERROR(VLOOKUP(D782,'[1]Product Datasheet'!$A:$G,6,0),"")</f>
        <v/>
      </c>
      <c r="Q782" s="47" t="str">
        <f>IFERROR(VLOOKUP(D782,'[1]Product Datasheet'!$A:$G,7,0), "")</f>
        <v/>
      </c>
      <c r="R782" s="48"/>
      <c r="S782" s="49" t="str">
        <f t="shared" si="31"/>
        <v>Accept</v>
      </c>
      <c r="T782" s="50"/>
      <c r="U782" s="51"/>
    </row>
    <row r="783" spans="1:21" ht="24.75" customHeight="1" x14ac:dyDescent="0.3">
      <c r="A783" s="38" t="str">
        <f>IFERROR(VLOOKUP(D783,'[1]Product Datasheet'!$A:$G,2,0),"")</f>
        <v/>
      </c>
      <c r="B783" s="39" t="str">
        <f>IFERROR(VLOOKUP(D783,'[1]Product Datasheet'!$A:$G,3,0),"")</f>
        <v/>
      </c>
      <c r="C783" s="40"/>
      <c r="D783" s="41"/>
      <c r="E783" s="41"/>
      <c r="F783" s="41"/>
      <c r="G783" s="42"/>
      <c r="H783" s="43"/>
      <c r="I783" s="42"/>
      <c r="J783" s="44"/>
      <c r="K783" s="44"/>
      <c r="L783" s="44"/>
      <c r="M783" s="45" t="str">
        <f t="shared" si="30"/>
        <v>Pass</v>
      </c>
      <c r="N783" s="46" t="str">
        <f>IFERROR(VLOOKUP(D783,'[1]Product Datasheet'!$A:$G,4,0),"")</f>
        <v/>
      </c>
      <c r="O783" s="47" t="str">
        <f>IFERROR(VLOOKUP(D783,'[1]Product Datasheet'!$A:$G,5,0),"")</f>
        <v/>
      </c>
      <c r="P783" s="47" t="str">
        <f>IFERROR(VLOOKUP(D783,'[1]Product Datasheet'!$A:$G,6,0),"")</f>
        <v/>
      </c>
      <c r="Q783" s="47" t="str">
        <f>IFERROR(VLOOKUP(D783,'[1]Product Datasheet'!$A:$G,7,0), "")</f>
        <v/>
      </c>
      <c r="R783" s="48"/>
      <c r="S783" s="49" t="str">
        <f t="shared" si="31"/>
        <v>Accept</v>
      </c>
      <c r="T783" s="50"/>
      <c r="U783" s="51"/>
    </row>
    <row r="784" spans="1:21" ht="24.75" customHeight="1" x14ac:dyDescent="0.3">
      <c r="A784" s="38" t="str">
        <f>IFERROR(VLOOKUP(D784,'[1]Product Datasheet'!$A:$G,2,0),"")</f>
        <v/>
      </c>
      <c r="B784" s="39" t="str">
        <f>IFERROR(VLOOKUP(D784,'[1]Product Datasheet'!$A:$G,3,0),"")</f>
        <v/>
      </c>
      <c r="C784" s="40"/>
      <c r="D784" s="41"/>
      <c r="E784" s="41"/>
      <c r="F784" s="41"/>
      <c r="G784" s="42"/>
      <c r="H784" s="43"/>
      <c r="I784" s="42"/>
      <c r="J784" s="44"/>
      <c r="K784" s="44"/>
      <c r="L784" s="44"/>
      <c r="M784" s="45" t="str">
        <f t="shared" si="30"/>
        <v>Pass</v>
      </c>
      <c r="N784" s="46" t="str">
        <f>IFERROR(VLOOKUP(D784,'[1]Product Datasheet'!$A:$G,4,0),"")</f>
        <v/>
      </c>
      <c r="O784" s="47" t="str">
        <f>IFERROR(VLOOKUP(D784,'[1]Product Datasheet'!$A:$G,5,0),"")</f>
        <v/>
      </c>
      <c r="P784" s="47" t="str">
        <f>IFERROR(VLOOKUP(D784,'[1]Product Datasheet'!$A:$G,6,0),"")</f>
        <v/>
      </c>
      <c r="Q784" s="47" t="str">
        <f>IFERROR(VLOOKUP(D784,'[1]Product Datasheet'!$A:$G,7,0), "")</f>
        <v/>
      </c>
      <c r="R784" s="48"/>
      <c r="S784" s="49" t="str">
        <f t="shared" si="31"/>
        <v>Accept</v>
      </c>
      <c r="T784" s="50"/>
      <c r="U784" s="51"/>
    </row>
    <row r="785" spans="1:21" ht="24.75" customHeight="1" x14ac:dyDescent="0.3">
      <c r="A785" s="38" t="str">
        <f>IFERROR(VLOOKUP(D785,'[1]Product Datasheet'!$A:$G,2,0),"")</f>
        <v/>
      </c>
      <c r="B785" s="39" t="str">
        <f>IFERROR(VLOOKUP(D785,'[1]Product Datasheet'!$A:$G,3,0),"")</f>
        <v/>
      </c>
      <c r="C785" s="40"/>
      <c r="D785" s="41"/>
      <c r="E785" s="41"/>
      <c r="F785" s="41"/>
      <c r="G785" s="42"/>
      <c r="H785" s="43"/>
      <c r="I785" s="42"/>
      <c r="J785" s="44"/>
      <c r="K785" s="44"/>
      <c r="L785" s="44"/>
      <c r="M785" s="45" t="str">
        <f t="shared" si="30"/>
        <v>Pass</v>
      </c>
      <c r="N785" s="46" t="str">
        <f>IFERROR(VLOOKUP(D785,'[1]Product Datasheet'!$A:$G,4,0),"")</f>
        <v/>
      </c>
      <c r="O785" s="47" t="str">
        <f>IFERROR(VLOOKUP(D785,'[1]Product Datasheet'!$A:$G,5,0),"")</f>
        <v/>
      </c>
      <c r="P785" s="47" t="str">
        <f>IFERROR(VLOOKUP(D785,'[1]Product Datasheet'!$A:$G,6,0),"")</f>
        <v/>
      </c>
      <c r="Q785" s="47" t="str">
        <f>IFERROR(VLOOKUP(D785,'[1]Product Datasheet'!$A:$G,7,0), "")</f>
        <v/>
      </c>
      <c r="R785" s="48"/>
      <c r="S785" s="49" t="str">
        <f t="shared" si="31"/>
        <v>Accept</v>
      </c>
      <c r="T785" s="50"/>
      <c r="U785" s="51"/>
    </row>
    <row r="786" spans="1:21" ht="24.75" customHeight="1" x14ac:dyDescent="0.3">
      <c r="A786" s="38" t="str">
        <f>IFERROR(VLOOKUP(D786,'[1]Product Datasheet'!$A:$G,2,0),"")</f>
        <v/>
      </c>
      <c r="B786" s="39" t="str">
        <f>IFERROR(VLOOKUP(D786,'[1]Product Datasheet'!$A:$G,3,0),"")</f>
        <v/>
      </c>
      <c r="C786" s="40"/>
      <c r="D786" s="41"/>
      <c r="E786" s="41"/>
      <c r="F786" s="41"/>
      <c r="G786" s="42"/>
      <c r="H786" s="43"/>
      <c r="I786" s="42"/>
      <c r="J786" s="44"/>
      <c r="K786" s="44"/>
      <c r="L786" s="44"/>
      <c r="M786" s="45" t="str">
        <f t="shared" si="30"/>
        <v>Pass</v>
      </c>
      <c r="N786" s="46" t="str">
        <f>IFERROR(VLOOKUP(D786,'[1]Product Datasheet'!$A:$G,4,0),"")</f>
        <v/>
      </c>
      <c r="O786" s="47" t="str">
        <f>IFERROR(VLOOKUP(D786,'[1]Product Datasheet'!$A:$G,5,0),"")</f>
        <v/>
      </c>
      <c r="P786" s="47" t="str">
        <f>IFERROR(VLOOKUP(D786,'[1]Product Datasheet'!$A:$G,6,0),"")</f>
        <v/>
      </c>
      <c r="Q786" s="47" t="str">
        <f>IFERROR(VLOOKUP(D786,'[1]Product Datasheet'!$A:$G,7,0), "")</f>
        <v/>
      </c>
      <c r="R786" s="48"/>
      <c r="S786" s="49" t="str">
        <f t="shared" si="31"/>
        <v>Accept</v>
      </c>
      <c r="T786" s="50"/>
      <c r="U786" s="51"/>
    </row>
    <row r="787" spans="1:21" ht="24.75" customHeight="1" x14ac:dyDescent="0.3">
      <c r="A787" s="38" t="str">
        <f>IFERROR(VLOOKUP(D787,'[1]Product Datasheet'!$A:$G,2,0),"")</f>
        <v/>
      </c>
      <c r="B787" s="39" t="str">
        <f>IFERROR(VLOOKUP(D787,'[1]Product Datasheet'!$A:$G,3,0),"")</f>
        <v/>
      </c>
      <c r="C787" s="40"/>
      <c r="D787" s="41"/>
      <c r="E787" s="41"/>
      <c r="F787" s="41"/>
      <c r="G787" s="42"/>
      <c r="H787" s="43"/>
      <c r="I787" s="42"/>
      <c r="J787" s="44"/>
      <c r="K787" s="44"/>
      <c r="L787" s="44"/>
      <c r="M787" s="45" t="str">
        <f t="shared" si="30"/>
        <v>Pass</v>
      </c>
      <c r="N787" s="46" t="str">
        <f>IFERROR(VLOOKUP(D787,'[1]Product Datasheet'!$A:$G,4,0),"")</f>
        <v/>
      </c>
      <c r="O787" s="47" t="str">
        <f>IFERROR(VLOOKUP(D787,'[1]Product Datasheet'!$A:$G,5,0),"")</f>
        <v/>
      </c>
      <c r="P787" s="47" t="str">
        <f>IFERROR(VLOOKUP(D787,'[1]Product Datasheet'!$A:$G,6,0),"")</f>
        <v/>
      </c>
      <c r="Q787" s="47" t="str">
        <f>IFERROR(VLOOKUP(D787,'[1]Product Datasheet'!$A:$G,7,0), "")</f>
        <v/>
      </c>
      <c r="R787" s="48"/>
      <c r="S787" s="49" t="str">
        <f t="shared" si="31"/>
        <v>Accept</v>
      </c>
      <c r="T787" s="50"/>
      <c r="U787" s="51"/>
    </row>
    <row r="788" spans="1:21" ht="24.75" customHeight="1" x14ac:dyDescent="0.3">
      <c r="A788" s="38" t="str">
        <f>IFERROR(VLOOKUP(D788,'[1]Product Datasheet'!$A:$G,2,0),"")</f>
        <v/>
      </c>
      <c r="B788" s="39" t="str">
        <f>IFERROR(VLOOKUP(D788,'[1]Product Datasheet'!$A:$G,3,0),"")</f>
        <v/>
      </c>
      <c r="C788" s="40"/>
      <c r="D788" s="41"/>
      <c r="E788" s="41"/>
      <c r="F788" s="41"/>
      <c r="G788" s="42"/>
      <c r="H788" s="43"/>
      <c r="I788" s="42"/>
      <c r="J788" s="44"/>
      <c r="K788" s="44"/>
      <c r="L788" s="44"/>
      <c r="M788" s="45" t="str">
        <f t="shared" si="30"/>
        <v>Pass</v>
      </c>
      <c r="N788" s="46" t="str">
        <f>IFERROR(VLOOKUP(D788,'[1]Product Datasheet'!$A:$G,4,0),"")</f>
        <v/>
      </c>
      <c r="O788" s="47" t="str">
        <f>IFERROR(VLOOKUP(D788,'[1]Product Datasheet'!$A:$G,5,0),"")</f>
        <v/>
      </c>
      <c r="P788" s="47" t="str">
        <f>IFERROR(VLOOKUP(D788,'[1]Product Datasheet'!$A:$G,6,0),"")</f>
        <v/>
      </c>
      <c r="Q788" s="47" t="str">
        <f>IFERROR(VLOOKUP(D788,'[1]Product Datasheet'!$A:$G,7,0), "")</f>
        <v/>
      </c>
      <c r="R788" s="48"/>
      <c r="S788" s="49" t="str">
        <f t="shared" si="31"/>
        <v>Accept</v>
      </c>
      <c r="T788" s="50"/>
      <c r="U788" s="51"/>
    </row>
    <row r="789" spans="1:21" ht="24.75" customHeight="1" x14ac:dyDescent="0.3">
      <c r="A789" s="38" t="str">
        <f>IFERROR(VLOOKUP(D789,'[1]Product Datasheet'!$A:$G,2,0),"")</f>
        <v/>
      </c>
      <c r="B789" s="39" t="str">
        <f>IFERROR(VLOOKUP(D789,'[1]Product Datasheet'!$A:$G,3,0),"")</f>
        <v/>
      </c>
      <c r="C789" s="40"/>
      <c r="D789" s="41"/>
      <c r="E789" s="41"/>
      <c r="F789" s="41"/>
      <c r="G789" s="42"/>
      <c r="H789" s="43"/>
      <c r="I789" s="42"/>
      <c r="J789" s="44"/>
      <c r="K789" s="44"/>
      <c r="L789" s="44"/>
      <c r="M789" s="45" t="str">
        <f t="shared" si="30"/>
        <v>Pass</v>
      </c>
      <c r="N789" s="46" t="str">
        <f>IFERROR(VLOOKUP(D789,'[1]Product Datasheet'!$A:$G,4,0),"")</f>
        <v/>
      </c>
      <c r="O789" s="47" t="str">
        <f>IFERROR(VLOOKUP(D789,'[1]Product Datasheet'!$A:$G,5,0),"")</f>
        <v/>
      </c>
      <c r="P789" s="47" t="str">
        <f>IFERROR(VLOOKUP(D789,'[1]Product Datasheet'!$A:$G,6,0),"")</f>
        <v/>
      </c>
      <c r="Q789" s="47" t="str">
        <f>IFERROR(VLOOKUP(D789,'[1]Product Datasheet'!$A:$G,7,0), "")</f>
        <v/>
      </c>
      <c r="R789" s="48"/>
      <c r="S789" s="49" t="str">
        <f t="shared" si="31"/>
        <v>Accept</v>
      </c>
      <c r="T789" s="50"/>
      <c r="U789" s="51"/>
    </row>
    <row r="790" spans="1:21" ht="24.75" customHeight="1" x14ac:dyDescent="0.3">
      <c r="A790" s="38" t="str">
        <f>IFERROR(VLOOKUP(D790,'[1]Product Datasheet'!$A:$G,2,0),"")</f>
        <v/>
      </c>
      <c r="B790" s="39" t="str">
        <f>IFERROR(VLOOKUP(D790,'[1]Product Datasheet'!$A:$G,3,0),"")</f>
        <v/>
      </c>
      <c r="C790" s="40"/>
      <c r="D790" s="41"/>
      <c r="E790" s="41"/>
      <c r="F790" s="41"/>
      <c r="G790" s="42"/>
      <c r="H790" s="43"/>
      <c r="I790" s="42"/>
      <c r="J790" s="44"/>
      <c r="K790" s="44"/>
      <c r="L790" s="44"/>
      <c r="M790" s="45" t="str">
        <f t="shared" si="30"/>
        <v>Pass</v>
      </c>
      <c r="N790" s="46" t="str">
        <f>IFERROR(VLOOKUP(D790,'[1]Product Datasheet'!$A:$G,4,0),"")</f>
        <v/>
      </c>
      <c r="O790" s="47" t="str">
        <f>IFERROR(VLOOKUP(D790,'[1]Product Datasheet'!$A:$G,5,0),"")</f>
        <v/>
      </c>
      <c r="P790" s="47" t="str">
        <f>IFERROR(VLOOKUP(D790,'[1]Product Datasheet'!$A:$G,6,0),"")</f>
        <v/>
      </c>
      <c r="Q790" s="47" t="str">
        <f>IFERROR(VLOOKUP(D790,'[1]Product Datasheet'!$A:$G,7,0), "")</f>
        <v/>
      </c>
      <c r="R790" s="48"/>
      <c r="S790" s="49" t="str">
        <f t="shared" si="31"/>
        <v>Accept</v>
      </c>
      <c r="T790" s="50"/>
      <c r="U790" s="51"/>
    </row>
    <row r="791" spans="1:21" ht="24.75" customHeight="1" x14ac:dyDescent="0.3">
      <c r="A791" s="38" t="str">
        <f>IFERROR(VLOOKUP(D791,'[1]Product Datasheet'!$A:$G,2,0),"")</f>
        <v/>
      </c>
      <c r="B791" s="39" t="str">
        <f>IFERROR(VLOOKUP(D791,'[1]Product Datasheet'!$A:$G,3,0),"")</f>
        <v/>
      </c>
      <c r="C791" s="40"/>
      <c r="D791" s="41"/>
      <c r="E791" s="41"/>
      <c r="F791" s="41"/>
      <c r="G791" s="42"/>
      <c r="H791" s="43"/>
      <c r="I791" s="42"/>
      <c r="J791" s="44"/>
      <c r="K791" s="44"/>
      <c r="L791" s="44"/>
      <c r="M791" s="45" t="str">
        <f t="shared" si="30"/>
        <v>Pass</v>
      </c>
      <c r="N791" s="46" t="str">
        <f>IFERROR(VLOOKUP(D791,'[1]Product Datasheet'!$A:$G,4,0),"")</f>
        <v/>
      </c>
      <c r="O791" s="47" t="str">
        <f>IFERROR(VLOOKUP(D791,'[1]Product Datasheet'!$A:$G,5,0),"")</f>
        <v/>
      </c>
      <c r="P791" s="47" t="str">
        <f>IFERROR(VLOOKUP(D791,'[1]Product Datasheet'!$A:$G,6,0),"")</f>
        <v/>
      </c>
      <c r="Q791" s="47" t="str">
        <f>IFERROR(VLOOKUP(D791,'[1]Product Datasheet'!$A:$G,7,0), "")</f>
        <v/>
      </c>
      <c r="R791" s="48"/>
      <c r="S791" s="49" t="str">
        <f t="shared" si="31"/>
        <v>Accept</v>
      </c>
      <c r="T791" s="50"/>
      <c r="U791" s="51"/>
    </row>
    <row r="792" spans="1:21" ht="24.75" customHeight="1" x14ac:dyDescent="0.3">
      <c r="A792" s="38" t="str">
        <f>IFERROR(VLOOKUP(D792,'[1]Product Datasheet'!$A:$G,2,0),"")</f>
        <v/>
      </c>
      <c r="B792" s="39" t="str">
        <f>IFERROR(VLOOKUP(D792,'[1]Product Datasheet'!$A:$G,3,0),"")</f>
        <v/>
      </c>
      <c r="C792" s="40"/>
      <c r="D792" s="41"/>
      <c r="E792" s="41"/>
      <c r="F792" s="41"/>
      <c r="G792" s="42"/>
      <c r="H792" s="43"/>
      <c r="I792" s="42"/>
      <c r="J792" s="44"/>
      <c r="K792" s="44"/>
      <c r="L792" s="44"/>
      <c r="M792" s="45" t="str">
        <f t="shared" si="30"/>
        <v>Pass</v>
      </c>
      <c r="N792" s="46" t="str">
        <f>IFERROR(VLOOKUP(D792,'[1]Product Datasheet'!$A:$G,4,0),"")</f>
        <v/>
      </c>
      <c r="O792" s="47" t="str">
        <f>IFERROR(VLOOKUP(D792,'[1]Product Datasheet'!$A:$G,5,0),"")</f>
        <v/>
      </c>
      <c r="P792" s="47" t="str">
        <f>IFERROR(VLOOKUP(D792,'[1]Product Datasheet'!$A:$G,6,0),"")</f>
        <v/>
      </c>
      <c r="Q792" s="47" t="str">
        <f>IFERROR(VLOOKUP(D792,'[1]Product Datasheet'!$A:$G,7,0), "")</f>
        <v/>
      </c>
      <c r="R792" s="48"/>
      <c r="S792" s="49" t="str">
        <f t="shared" si="31"/>
        <v>Accept</v>
      </c>
      <c r="T792" s="50"/>
      <c r="U792" s="51"/>
    </row>
    <row r="793" spans="1:21" ht="24.75" customHeight="1" x14ac:dyDescent="0.3">
      <c r="A793" s="38" t="str">
        <f>IFERROR(VLOOKUP(D793,'[1]Product Datasheet'!$A:$G,2,0),"")</f>
        <v/>
      </c>
      <c r="B793" s="39" t="str">
        <f>IFERROR(VLOOKUP(D793,'[1]Product Datasheet'!$A:$G,3,0),"")</f>
        <v/>
      </c>
      <c r="C793" s="40"/>
      <c r="D793" s="41"/>
      <c r="E793" s="41"/>
      <c r="F793" s="41"/>
      <c r="G793" s="42"/>
      <c r="H793" s="43"/>
      <c r="I793" s="42"/>
      <c r="J793" s="44"/>
      <c r="K793" s="44"/>
      <c r="L793" s="44"/>
      <c r="M793" s="45" t="str">
        <f t="shared" si="30"/>
        <v>Pass</v>
      </c>
      <c r="N793" s="46" t="str">
        <f>IFERROR(VLOOKUP(D793,'[1]Product Datasheet'!$A:$G,4,0),"")</f>
        <v/>
      </c>
      <c r="O793" s="47" t="str">
        <f>IFERROR(VLOOKUP(D793,'[1]Product Datasheet'!$A:$G,5,0),"")</f>
        <v/>
      </c>
      <c r="P793" s="47" t="str">
        <f>IFERROR(VLOOKUP(D793,'[1]Product Datasheet'!$A:$G,6,0),"")</f>
        <v/>
      </c>
      <c r="Q793" s="47" t="str">
        <f>IFERROR(VLOOKUP(D793,'[1]Product Datasheet'!$A:$G,7,0), "")</f>
        <v/>
      </c>
      <c r="R793" s="48"/>
      <c r="S793" s="49" t="str">
        <f t="shared" si="31"/>
        <v>Accept</v>
      </c>
      <c r="T793" s="50"/>
      <c r="U793" s="51"/>
    </row>
    <row r="794" spans="1:21" ht="24.75" customHeight="1" x14ac:dyDescent="0.3">
      <c r="A794" s="38" t="str">
        <f>IFERROR(VLOOKUP(D794,'[1]Product Datasheet'!$A:$G,2,0),"")</f>
        <v/>
      </c>
      <c r="B794" s="39" t="str">
        <f>IFERROR(VLOOKUP(D794,'[1]Product Datasheet'!$A:$G,3,0),"")</f>
        <v/>
      </c>
      <c r="C794" s="40"/>
      <c r="D794" s="41"/>
      <c r="E794" s="41"/>
      <c r="F794" s="41"/>
      <c r="G794" s="42"/>
      <c r="H794" s="43"/>
      <c r="I794" s="42"/>
      <c r="J794" s="44"/>
      <c r="K794" s="44"/>
      <c r="L794" s="44"/>
      <c r="M794" s="45" t="str">
        <f t="shared" si="30"/>
        <v>Pass</v>
      </c>
      <c r="N794" s="46" t="str">
        <f>IFERROR(VLOOKUP(D794,'[1]Product Datasheet'!$A:$G,4,0),"")</f>
        <v/>
      </c>
      <c r="O794" s="47" t="str">
        <f>IFERROR(VLOOKUP(D794,'[1]Product Datasheet'!$A:$G,5,0),"")</f>
        <v/>
      </c>
      <c r="P794" s="47" t="str">
        <f>IFERROR(VLOOKUP(D794,'[1]Product Datasheet'!$A:$G,6,0),"")</f>
        <v/>
      </c>
      <c r="Q794" s="47" t="str">
        <f>IFERROR(VLOOKUP(D794,'[1]Product Datasheet'!$A:$G,7,0), "")</f>
        <v/>
      </c>
      <c r="R794" s="48"/>
      <c r="S794" s="49" t="str">
        <f t="shared" si="31"/>
        <v>Accept</v>
      </c>
      <c r="T794" s="50"/>
      <c r="U794" s="51"/>
    </row>
    <row r="795" spans="1:21" ht="24.75" customHeight="1" x14ac:dyDescent="0.3">
      <c r="A795" s="38" t="str">
        <f>IFERROR(VLOOKUP(D795,'[1]Product Datasheet'!$A:$G,2,0),"")</f>
        <v/>
      </c>
      <c r="B795" s="39" t="str">
        <f>IFERROR(VLOOKUP(D795,'[1]Product Datasheet'!$A:$G,3,0),"")</f>
        <v/>
      </c>
      <c r="C795" s="40"/>
      <c r="D795" s="41"/>
      <c r="E795" s="41"/>
      <c r="F795" s="41"/>
      <c r="G795" s="42"/>
      <c r="H795" s="43"/>
      <c r="I795" s="42"/>
      <c r="J795" s="44"/>
      <c r="K795" s="44"/>
      <c r="L795" s="44"/>
      <c r="M795" s="45" t="str">
        <f t="shared" si="30"/>
        <v>Pass</v>
      </c>
      <c r="N795" s="46" t="str">
        <f>IFERROR(VLOOKUP(D795,'[1]Product Datasheet'!$A:$G,4,0),"")</f>
        <v/>
      </c>
      <c r="O795" s="47" t="str">
        <f>IFERROR(VLOOKUP(D795,'[1]Product Datasheet'!$A:$G,5,0),"")</f>
        <v/>
      </c>
      <c r="P795" s="47" t="str">
        <f>IFERROR(VLOOKUP(D795,'[1]Product Datasheet'!$A:$G,6,0),"")</f>
        <v/>
      </c>
      <c r="Q795" s="47" t="str">
        <f>IFERROR(VLOOKUP(D795,'[1]Product Datasheet'!$A:$G,7,0), "")</f>
        <v/>
      </c>
      <c r="R795" s="48"/>
      <c r="S795" s="49" t="str">
        <f t="shared" si="31"/>
        <v>Accept</v>
      </c>
      <c r="T795" s="50"/>
      <c r="U795" s="51"/>
    </row>
    <row r="796" spans="1:21" ht="24.75" customHeight="1" x14ac:dyDescent="0.3">
      <c r="A796" s="38" t="str">
        <f>IFERROR(VLOOKUP(D796,'[1]Product Datasheet'!$A:$G,2,0),"")</f>
        <v/>
      </c>
      <c r="B796" s="39" t="str">
        <f>IFERROR(VLOOKUP(D796,'[1]Product Datasheet'!$A:$G,3,0),"")</f>
        <v/>
      </c>
      <c r="C796" s="40"/>
      <c r="D796" s="41"/>
      <c r="E796" s="41"/>
      <c r="F796" s="41"/>
      <c r="G796" s="42"/>
      <c r="H796" s="43"/>
      <c r="I796" s="42"/>
      <c r="J796" s="44"/>
      <c r="K796" s="44"/>
      <c r="L796" s="44"/>
      <c r="M796" s="45" t="str">
        <f t="shared" si="30"/>
        <v>Pass</v>
      </c>
      <c r="N796" s="46" t="str">
        <f>IFERROR(VLOOKUP(D796,'[1]Product Datasheet'!$A:$G,4,0),"")</f>
        <v/>
      </c>
      <c r="O796" s="47" t="str">
        <f>IFERROR(VLOOKUP(D796,'[1]Product Datasheet'!$A:$G,5,0),"")</f>
        <v/>
      </c>
      <c r="P796" s="47" t="str">
        <f>IFERROR(VLOOKUP(D796,'[1]Product Datasheet'!$A:$G,6,0),"")</f>
        <v/>
      </c>
      <c r="Q796" s="47" t="str">
        <f>IFERROR(VLOOKUP(D796,'[1]Product Datasheet'!$A:$G,7,0), "")</f>
        <v/>
      </c>
      <c r="R796" s="48"/>
      <c r="S796" s="49" t="str">
        <f t="shared" si="31"/>
        <v>Accept</v>
      </c>
      <c r="T796" s="50"/>
      <c r="U796" s="51"/>
    </row>
    <row r="797" spans="1:21" ht="24.75" customHeight="1" x14ac:dyDescent="0.3">
      <c r="A797" s="38" t="str">
        <f>IFERROR(VLOOKUP(D797,'[1]Product Datasheet'!$A:$G,2,0),"")</f>
        <v/>
      </c>
      <c r="B797" s="39" t="str">
        <f>IFERROR(VLOOKUP(D797,'[1]Product Datasheet'!$A:$G,3,0),"")</f>
        <v/>
      </c>
      <c r="C797" s="40"/>
      <c r="D797" s="41"/>
      <c r="E797" s="41"/>
      <c r="F797" s="41"/>
      <c r="G797" s="42"/>
      <c r="H797" s="43"/>
      <c r="I797" s="42"/>
      <c r="J797" s="44"/>
      <c r="K797" s="44"/>
      <c r="L797" s="44"/>
      <c r="M797" s="45" t="str">
        <f t="shared" si="30"/>
        <v>Pass</v>
      </c>
      <c r="N797" s="46" t="str">
        <f>IFERROR(VLOOKUP(D797,'[1]Product Datasheet'!$A:$G,4,0),"")</f>
        <v/>
      </c>
      <c r="O797" s="47" t="str">
        <f>IFERROR(VLOOKUP(D797,'[1]Product Datasheet'!$A:$G,5,0),"")</f>
        <v/>
      </c>
      <c r="P797" s="47" t="str">
        <f>IFERROR(VLOOKUP(D797,'[1]Product Datasheet'!$A:$G,6,0),"")</f>
        <v/>
      </c>
      <c r="Q797" s="47" t="str">
        <f>IFERROR(VLOOKUP(D797,'[1]Product Datasheet'!$A:$G,7,0), "")</f>
        <v/>
      </c>
      <c r="R797" s="48"/>
      <c r="S797" s="49" t="str">
        <f t="shared" si="31"/>
        <v>Accept</v>
      </c>
      <c r="T797" s="50"/>
      <c r="U797" s="51"/>
    </row>
    <row r="798" spans="1:21" ht="24.75" customHeight="1" x14ac:dyDescent="0.3">
      <c r="A798" s="38" t="str">
        <f>IFERROR(VLOOKUP(D798,'[1]Product Datasheet'!$A:$G,2,0),"")</f>
        <v/>
      </c>
      <c r="B798" s="39" t="str">
        <f>IFERROR(VLOOKUP(D798,'[1]Product Datasheet'!$A:$G,3,0),"")</f>
        <v/>
      </c>
      <c r="C798" s="40"/>
      <c r="D798" s="41"/>
      <c r="E798" s="41"/>
      <c r="F798" s="41"/>
      <c r="G798" s="42"/>
      <c r="H798" s="43"/>
      <c r="I798" s="42"/>
      <c r="J798" s="44"/>
      <c r="K798" s="44"/>
      <c r="L798" s="44"/>
      <c r="M798" s="45" t="str">
        <f t="shared" si="30"/>
        <v>Pass</v>
      </c>
      <c r="N798" s="46" t="str">
        <f>IFERROR(VLOOKUP(D798,'[1]Product Datasheet'!$A:$G,4,0),"")</f>
        <v/>
      </c>
      <c r="O798" s="47" t="str">
        <f>IFERROR(VLOOKUP(D798,'[1]Product Datasheet'!$A:$G,5,0),"")</f>
        <v/>
      </c>
      <c r="P798" s="47" t="str">
        <f>IFERROR(VLOOKUP(D798,'[1]Product Datasheet'!$A:$G,6,0),"")</f>
        <v/>
      </c>
      <c r="Q798" s="47" t="str">
        <f>IFERROR(VLOOKUP(D798,'[1]Product Datasheet'!$A:$G,7,0), "")</f>
        <v/>
      </c>
      <c r="R798" s="48"/>
      <c r="S798" s="49" t="str">
        <f t="shared" si="31"/>
        <v>Accept</v>
      </c>
      <c r="T798" s="50"/>
      <c r="U798" s="51"/>
    </row>
    <row r="799" spans="1:21" ht="24.75" customHeight="1" x14ac:dyDescent="0.3">
      <c r="A799" s="38" t="str">
        <f>IFERROR(VLOOKUP(D799,'[1]Product Datasheet'!$A:$G,2,0),"")</f>
        <v/>
      </c>
      <c r="B799" s="39" t="str">
        <f>IFERROR(VLOOKUP(D799,'[1]Product Datasheet'!$A:$G,3,0),"")</f>
        <v/>
      </c>
      <c r="C799" s="40"/>
      <c r="D799" s="41"/>
      <c r="E799" s="41"/>
      <c r="F799" s="41"/>
      <c r="G799" s="42"/>
      <c r="H799" s="43"/>
      <c r="I799" s="42"/>
      <c r="J799" s="44"/>
      <c r="K799" s="44"/>
      <c r="L799" s="44"/>
      <c r="M799" s="45" t="str">
        <f t="shared" si="30"/>
        <v>Pass</v>
      </c>
      <c r="N799" s="46" t="str">
        <f>IFERROR(VLOOKUP(D799,'[1]Product Datasheet'!$A:$G,4,0),"")</f>
        <v/>
      </c>
      <c r="O799" s="47" t="str">
        <f>IFERROR(VLOOKUP(D799,'[1]Product Datasheet'!$A:$G,5,0),"")</f>
        <v/>
      </c>
      <c r="P799" s="47" t="str">
        <f>IFERROR(VLOOKUP(D799,'[1]Product Datasheet'!$A:$G,6,0),"")</f>
        <v/>
      </c>
      <c r="Q799" s="47" t="str">
        <f>IFERROR(VLOOKUP(D799,'[1]Product Datasheet'!$A:$G,7,0), "")</f>
        <v/>
      </c>
      <c r="R799" s="48"/>
      <c r="S799" s="49" t="str">
        <f t="shared" si="31"/>
        <v>Accept</v>
      </c>
      <c r="T799" s="50"/>
      <c r="U799" s="51"/>
    </row>
    <row r="800" spans="1:21" ht="24.75" customHeight="1" x14ac:dyDescent="0.3">
      <c r="A800" s="38" t="str">
        <f>IFERROR(VLOOKUP(D800,'[1]Product Datasheet'!$A:$G,2,0),"")</f>
        <v/>
      </c>
      <c r="B800" s="39" t="str">
        <f>IFERROR(VLOOKUP(D800,'[1]Product Datasheet'!$A:$G,3,0),"")</f>
        <v/>
      </c>
      <c r="C800" s="40"/>
      <c r="D800" s="41"/>
      <c r="E800" s="41"/>
      <c r="F800" s="41"/>
      <c r="G800" s="42"/>
      <c r="H800" s="43"/>
      <c r="I800" s="42"/>
      <c r="J800" s="44"/>
      <c r="K800" s="44"/>
      <c r="L800" s="44"/>
      <c r="M800" s="45" t="str">
        <f t="shared" si="30"/>
        <v>Pass</v>
      </c>
      <c r="N800" s="46" t="str">
        <f>IFERROR(VLOOKUP(D800,'[1]Product Datasheet'!$A:$G,4,0),"")</f>
        <v/>
      </c>
      <c r="O800" s="47" t="str">
        <f>IFERROR(VLOOKUP(D800,'[1]Product Datasheet'!$A:$G,5,0),"")</f>
        <v/>
      </c>
      <c r="P800" s="47" t="str">
        <f>IFERROR(VLOOKUP(D800,'[1]Product Datasheet'!$A:$G,6,0),"")</f>
        <v/>
      </c>
      <c r="Q800" s="47" t="str">
        <f>IFERROR(VLOOKUP(D800,'[1]Product Datasheet'!$A:$G,7,0), "")</f>
        <v/>
      </c>
      <c r="R800" s="48"/>
      <c r="S800" s="49" t="str">
        <f t="shared" si="31"/>
        <v>Accept</v>
      </c>
      <c r="T800" s="50"/>
      <c r="U800" s="51"/>
    </row>
    <row r="801" spans="1:21" ht="24.75" customHeight="1" x14ac:dyDescent="0.3">
      <c r="A801" s="38" t="str">
        <f>IFERROR(VLOOKUP(D801,'[1]Product Datasheet'!$A:$G,2,0),"")</f>
        <v/>
      </c>
      <c r="B801" s="39" t="str">
        <f>IFERROR(VLOOKUP(D801,'[1]Product Datasheet'!$A:$G,3,0),"")</f>
        <v/>
      </c>
      <c r="C801" s="40"/>
      <c r="D801" s="41"/>
      <c r="E801" s="41"/>
      <c r="F801" s="41"/>
      <c r="G801" s="42"/>
      <c r="H801" s="43"/>
      <c r="I801" s="42"/>
      <c r="J801" s="44"/>
      <c r="K801" s="44"/>
      <c r="L801" s="44"/>
      <c r="M801" s="45" t="str">
        <f t="shared" si="30"/>
        <v>Pass</v>
      </c>
      <c r="N801" s="46" t="str">
        <f>IFERROR(VLOOKUP(D801,'[1]Product Datasheet'!$A:$G,4,0),"")</f>
        <v/>
      </c>
      <c r="O801" s="47" t="str">
        <f>IFERROR(VLOOKUP(D801,'[1]Product Datasheet'!$A:$G,5,0),"")</f>
        <v/>
      </c>
      <c r="P801" s="47" t="str">
        <f>IFERROR(VLOOKUP(D801,'[1]Product Datasheet'!$A:$G,6,0),"")</f>
        <v/>
      </c>
      <c r="Q801" s="47" t="str">
        <f>IFERROR(VLOOKUP(D801,'[1]Product Datasheet'!$A:$G,7,0), "")</f>
        <v/>
      </c>
      <c r="R801" s="48"/>
      <c r="S801" s="49" t="str">
        <f t="shared" si="31"/>
        <v>Accept</v>
      </c>
      <c r="T801" s="50"/>
      <c r="U801" s="51"/>
    </row>
    <row r="802" spans="1:21" ht="24.75" customHeight="1" x14ac:dyDescent="0.3">
      <c r="A802" s="38" t="str">
        <f>IFERROR(VLOOKUP(D802,'[1]Product Datasheet'!$A:$G,2,0),"")</f>
        <v/>
      </c>
      <c r="B802" s="39" t="str">
        <f>IFERROR(VLOOKUP(D802,'[1]Product Datasheet'!$A:$G,3,0),"")</f>
        <v/>
      </c>
      <c r="C802" s="40"/>
      <c r="D802" s="41"/>
      <c r="E802" s="41"/>
      <c r="F802" s="41"/>
      <c r="G802" s="42"/>
      <c r="H802" s="43"/>
      <c r="I802" s="42"/>
      <c r="J802" s="44"/>
      <c r="K802" s="44"/>
      <c r="L802" s="44"/>
      <c r="M802" s="45" t="str">
        <f t="shared" si="30"/>
        <v>Pass</v>
      </c>
      <c r="N802" s="46" t="str">
        <f>IFERROR(VLOOKUP(D802,'[1]Product Datasheet'!$A:$G,4,0),"")</f>
        <v/>
      </c>
      <c r="O802" s="47" t="str">
        <f>IFERROR(VLOOKUP(D802,'[1]Product Datasheet'!$A:$G,5,0),"")</f>
        <v/>
      </c>
      <c r="P802" s="47" t="str">
        <f>IFERROR(VLOOKUP(D802,'[1]Product Datasheet'!$A:$G,6,0),"")</f>
        <v/>
      </c>
      <c r="Q802" s="47" t="str">
        <f>IFERROR(VLOOKUP(D802,'[1]Product Datasheet'!$A:$G,7,0), "")</f>
        <v/>
      </c>
      <c r="R802" s="48"/>
      <c r="S802" s="49" t="str">
        <f t="shared" si="31"/>
        <v>Accept</v>
      </c>
      <c r="T802" s="50"/>
      <c r="U802" s="51"/>
    </row>
    <row r="803" spans="1:21" ht="24.75" customHeight="1" x14ac:dyDescent="0.3">
      <c r="A803" s="38" t="str">
        <f>IFERROR(VLOOKUP(D803,'[1]Product Datasheet'!$A:$G,2,0),"")</f>
        <v/>
      </c>
      <c r="B803" s="39" t="str">
        <f>IFERROR(VLOOKUP(D803,'[1]Product Datasheet'!$A:$G,3,0),"")</f>
        <v/>
      </c>
      <c r="C803" s="40"/>
      <c r="D803" s="41"/>
      <c r="E803" s="41"/>
      <c r="F803" s="41"/>
      <c r="G803" s="42"/>
      <c r="H803" s="43"/>
      <c r="I803" s="42"/>
      <c r="J803" s="44"/>
      <c r="K803" s="44"/>
      <c r="L803" s="44"/>
      <c r="M803" s="45" t="str">
        <f t="shared" si="30"/>
        <v>Pass</v>
      </c>
      <c r="N803" s="46" t="str">
        <f>IFERROR(VLOOKUP(D803,'[1]Product Datasheet'!$A:$G,4,0),"")</f>
        <v/>
      </c>
      <c r="O803" s="47" t="str">
        <f>IFERROR(VLOOKUP(D803,'[1]Product Datasheet'!$A:$G,5,0),"")</f>
        <v/>
      </c>
      <c r="P803" s="47" t="str">
        <f>IFERROR(VLOOKUP(D803,'[1]Product Datasheet'!$A:$G,6,0),"")</f>
        <v/>
      </c>
      <c r="Q803" s="47" t="str">
        <f>IFERROR(VLOOKUP(D803,'[1]Product Datasheet'!$A:$G,7,0), "")</f>
        <v/>
      </c>
      <c r="R803" s="48"/>
      <c r="S803" s="49" t="str">
        <f t="shared" si="31"/>
        <v>Accept</v>
      </c>
      <c r="T803" s="50"/>
      <c r="U803" s="51"/>
    </row>
    <row r="804" spans="1:21" ht="24.75" customHeight="1" x14ac:dyDescent="0.3">
      <c r="A804" s="38" t="str">
        <f>IFERROR(VLOOKUP(D804,'[1]Product Datasheet'!$A:$G,2,0),"")</f>
        <v/>
      </c>
      <c r="B804" s="39" t="str">
        <f>IFERROR(VLOOKUP(D804,'[1]Product Datasheet'!$A:$G,3,0),"")</f>
        <v/>
      </c>
      <c r="C804" s="40"/>
      <c r="D804" s="41"/>
      <c r="E804" s="41"/>
      <c r="F804" s="41"/>
      <c r="G804" s="42"/>
      <c r="H804" s="43"/>
      <c r="I804" s="42"/>
      <c r="J804" s="44"/>
      <c r="K804" s="44"/>
      <c r="L804" s="44"/>
      <c r="M804" s="45" t="str">
        <f t="shared" si="30"/>
        <v>Pass</v>
      </c>
      <c r="N804" s="46" t="str">
        <f>IFERROR(VLOOKUP(D804,'[1]Product Datasheet'!$A:$G,4,0),"")</f>
        <v/>
      </c>
      <c r="O804" s="47" t="str">
        <f>IFERROR(VLOOKUP(D804,'[1]Product Datasheet'!$A:$G,5,0),"")</f>
        <v/>
      </c>
      <c r="P804" s="47" t="str">
        <f>IFERROR(VLOOKUP(D804,'[1]Product Datasheet'!$A:$G,6,0),"")</f>
        <v/>
      </c>
      <c r="Q804" s="47" t="str">
        <f>IFERROR(VLOOKUP(D804,'[1]Product Datasheet'!$A:$G,7,0), "")</f>
        <v/>
      </c>
      <c r="R804" s="48"/>
      <c r="S804" s="49" t="str">
        <f t="shared" si="31"/>
        <v>Accept</v>
      </c>
      <c r="T804" s="50"/>
      <c r="U804" s="51"/>
    </row>
    <row r="805" spans="1:21" ht="24.75" customHeight="1" x14ac:dyDescent="0.3">
      <c r="A805" s="38" t="str">
        <f>IFERROR(VLOOKUP(D805,'[1]Product Datasheet'!$A:$G,2,0),"")</f>
        <v/>
      </c>
      <c r="B805" s="39" t="str">
        <f>IFERROR(VLOOKUP(D805,'[1]Product Datasheet'!$A:$G,3,0),"")</f>
        <v/>
      </c>
      <c r="C805" s="40"/>
      <c r="D805" s="41"/>
      <c r="E805" s="41"/>
      <c r="F805" s="41"/>
      <c r="G805" s="42"/>
      <c r="H805" s="43"/>
      <c r="I805" s="42"/>
      <c r="J805" s="44"/>
      <c r="K805" s="44"/>
      <c r="L805" s="44"/>
      <c r="M805" s="45" t="str">
        <f t="shared" si="30"/>
        <v>Pass</v>
      </c>
      <c r="N805" s="46" t="str">
        <f>IFERROR(VLOOKUP(D805,'[1]Product Datasheet'!$A:$G,4,0),"")</f>
        <v/>
      </c>
      <c r="O805" s="47" t="str">
        <f>IFERROR(VLOOKUP(D805,'[1]Product Datasheet'!$A:$G,5,0),"")</f>
        <v/>
      </c>
      <c r="P805" s="47" t="str">
        <f>IFERROR(VLOOKUP(D805,'[1]Product Datasheet'!$A:$G,6,0),"")</f>
        <v/>
      </c>
      <c r="Q805" s="47" t="str">
        <f>IFERROR(VLOOKUP(D805,'[1]Product Datasheet'!$A:$G,7,0), "")</f>
        <v/>
      </c>
      <c r="R805" s="48"/>
      <c r="S805" s="49" t="str">
        <f t="shared" si="31"/>
        <v>Accept</v>
      </c>
      <c r="T805" s="50"/>
      <c r="U805" s="51"/>
    </row>
    <row r="806" spans="1:21" ht="24.75" customHeight="1" x14ac:dyDescent="0.3">
      <c r="A806" s="38" t="str">
        <f>IFERROR(VLOOKUP(D806,'[1]Product Datasheet'!$A:$G,2,0),"")</f>
        <v/>
      </c>
      <c r="B806" s="39" t="str">
        <f>IFERROR(VLOOKUP(D806,'[1]Product Datasheet'!$A:$G,3,0),"")</f>
        <v/>
      </c>
      <c r="C806" s="40"/>
      <c r="D806" s="41"/>
      <c r="E806" s="41"/>
      <c r="F806" s="41"/>
      <c r="G806" s="42"/>
      <c r="H806" s="43"/>
      <c r="I806" s="42"/>
      <c r="J806" s="44"/>
      <c r="K806" s="44"/>
      <c r="L806" s="44"/>
      <c r="M806" s="45" t="str">
        <f t="shared" si="30"/>
        <v>Pass</v>
      </c>
      <c r="N806" s="46" t="str">
        <f>IFERROR(VLOOKUP(D806,'[1]Product Datasheet'!$A:$G,4,0),"")</f>
        <v/>
      </c>
      <c r="O806" s="47" t="str">
        <f>IFERROR(VLOOKUP(D806,'[1]Product Datasheet'!$A:$G,5,0),"")</f>
        <v/>
      </c>
      <c r="P806" s="47" t="str">
        <f>IFERROR(VLOOKUP(D806,'[1]Product Datasheet'!$A:$G,6,0),"")</f>
        <v/>
      </c>
      <c r="Q806" s="47" t="str">
        <f>IFERROR(VLOOKUP(D806,'[1]Product Datasheet'!$A:$G,7,0), "")</f>
        <v/>
      </c>
      <c r="R806" s="48"/>
      <c r="S806" s="49" t="str">
        <f t="shared" si="31"/>
        <v>Accept</v>
      </c>
      <c r="T806" s="50"/>
      <c r="U806" s="51"/>
    </row>
    <row r="807" spans="1:21" ht="24.75" customHeight="1" x14ac:dyDescent="0.3">
      <c r="A807" s="38" t="str">
        <f>IFERROR(VLOOKUP(D807,'[1]Product Datasheet'!$A:$G,2,0),"")</f>
        <v/>
      </c>
      <c r="B807" s="39" t="str">
        <f>IFERROR(VLOOKUP(D807,'[1]Product Datasheet'!$A:$G,3,0),"")</f>
        <v/>
      </c>
      <c r="C807" s="40"/>
      <c r="D807" s="41"/>
      <c r="E807" s="41"/>
      <c r="F807" s="41"/>
      <c r="G807" s="42"/>
      <c r="H807" s="43"/>
      <c r="I807" s="42"/>
      <c r="J807" s="44"/>
      <c r="K807" s="44"/>
      <c r="L807" s="44"/>
      <c r="M807" s="45" t="str">
        <f t="shared" si="30"/>
        <v>Pass</v>
      </c>
      <c r="N807" s="46" t="str">
        <f>IFERROR(VLOOKUP(D807,'[1]Product Datasheet'!$A:$G,4,0),"")</f>
        <v/>
      </c>
      <c r="O807" s="47" t="str">
        <f>IFERROR(VLOOKUP(D807,'[1]Product Datasheet'!$A:$G,5,0),"")</f>
        <v/>
      </c>
      <c r="P807" s="47" t="str">
        <f>IFERROR(VLOOKUP(D807,'[1]Product Datasheet'!$A:$G,6,0),"")</f>
        <v/>
      </c>
      <c r="Q807" s="47" t="str">
        <f>IFERROR(VLOOKUP(D807,'[1]Product Datasheet'!$A:$G,7,0), "")</f>
        <v/>
      </c>
      <c r="R807" s="48"/>
      <c r="S807" s="49" t="str">
        <f t="shared" si="31"/>
        <v>Accept</v>
      </c>
      <c r="T807" s="50"/>
      <c r="U807" s="51"/>
    </row>
    <row r="808" spans="1:21" ht="24.75" customHeight="1" x14ac:dyDescent="0.3">
      <c r="A808" s="38" t="str">
        <f>IFERROR(VLOOKUP(D808,'[1]Product Datasheet'!$A:$G,2,0),"")</f>
        <v/>
      </c>
      <c r="B808" s="39" t="str">
        <f>IFERROR(VLOOKUP(D808,'[1]Product Datasheet'!$A:$G,3,0),"")</f>
        <v/>
      </c>
      <c r="C808" s="40"/>
      <c r="D808" s="41"/>
      <c r="E808" s="41"/>
      <c r="F808" s="41"/>
      <c r="G808" s="42"/>
      <c r="H808" s="43"/>
      <c r="I808" s="42"/>
      <c r="J808" s="44"/>
      <c r="K808" s="44"/>
      <c r="L808" s="44"/>
      <c r="M808" s="45" t="str">
        <f t="shared" si="30"/>
        <v>Pass</v>
      </c>
      <c r="N808" s="46" t="str">
        <f>IFERROR(VLOOKUP(D808,'[1]Product Datasheet'!$A:$G,4,0),"")</f>
        <v/>
      </c>
      <c r="O808" s="47" t="str">
        <f>IFERROR(VLOOKUP(D808,'[1]Product Datasheet'!$A:$G,5,0),"")</f>
        <v/>
      </c>
      <c r="P808" s="47" t="str">
        <f>IFERROR(VLOOKUP(D808,'[1]Product Datasheet'!$A:$G,6,0),"")</f>
        <v/>
      </c>
      <c r="Q808" s="47" t="str">
        <f>IFERROR(VLOOKUP(D808,'[1]Product Datasheet'!$A:$G,7,0), "")</f>
        <v/>
      </c>
      <c r="R808" s="48"/>
      <c r="S808" s="49" t="str">
        <f t="shared" si="31"/>
        <v>Accept</v>
      </c>
      <c r="T808" s="50"/>
      <c r="U808" s="51"/>
    </row>
    <row r="809" spans="1:21" ht="24.75" customHeight="1" x14ac:dyDescent="0.3">
      <c r="A809" s="38" t="str">
        <f>IFERROR(VLOOKUP(D809,'[1]Product Datasheet'!$A:$G,2,0),"")</f>
        <v/>
      </c>
      <c r="B809" s="39" t="str">
        <f>IFERROR(VLOOKUP(D809,'[1]Product Datasheet'!$A:$G,3,0),"")</f>
        <v/>
      </c>
      <c r="C809" s="40"/>
      <c r="D809" s="41"/>
      <c r="E809" s="41"/>
      <c r="F809" s="41"/>
      <c r="G809" s="42"/>
      <c r="H809" s="43"/>
      <c r="I809" s="42"/>
      <c r="J809" s="44"/>
      <c r="K809" s="44"/>
      <c r="L809" s="44"/>
      <c r="M809" s="45" t="str">
        <f t="shared" si="30"/>
        <v>Pass</v>
      </c>
      <c r="N809" s="46" t="str">
        <f>IFERROR(VLOOKUP(D809,'[1]Product Datasheet'!$A:$G,4,0),"")</f>
        <v/>
      </c>
      <c r="O809" s="47" t="str">
        <f>IFERROR(VLOOKUP(D809,'[1]Product Datasheet'!$A:$G,5,0),"")</f>
        <v/>
      </c>
      <c r="P809" s="47" t="str">
        <f>IFERROR(VLOOKUP(D809,'[1]Product Datasheet'!$A:$G,6,0),"")</f>
        <v/>
      </c>
      <c r="Q809" s="47" t="str">
        <f>IFERROR(VLOOKUP(D809,'[1]Product Datasheet'!$A:$G,7,0), "")</f>
        <v/>
      </c>
      <c r="R809" s="48"/>
      <c r="S809" s="49" t="str">
        <f t="shared" si="31"/>
        <v>Accept</v>
      </c>
      <c r="T809" s="50"/>
      <c r="U809" s="51"/>
    </row>
    <row r="810" spans="1:21" ht="24.75" customHeight="1" x14ac:dyDescent="0.3">
      <c r="A810" s="38" t="str">
        <f>IFERROR(VLOOKUP(D810,'[1]Product Datasheet'!$A:$G,2,0),"")</f>
        <v/>
      </c>
      <c r="B810" s="39" t="str">
        <f>IFERROR(VLOOKUP(D810,'[1]Product Datasheet'!$A:$G,3,0),"")</f>
        <v/>
      </c>
      <c r="C810" s="40"/>
      <c r="D810" s="41"/>
      <c r="E810" s="41"/>
      <c r="F810" s="41"/>
      <c r="G810" s="42"/>
      <c r="H810" s="43"/>
      <c r="I810" s="42"/>
      <c r="J810" s="44"/>
      <c r="K810" s="44"/>
      <c r="L810" s="44"/>
      <c r="M810" s="45" t="str">
        <f t="shared" si="30"/>
        <v>Pass</v>
      </c>
      <c r="N810" s="46" t="str">
        <f>IFERROR(VLOOKUP(D810,'[1]Product Datasheet'!$A:$G,4,0),"")</f>
        <v/>
      </c>
      <c r="O810" s="47" t="str">
        <f>IFERROR(VLOOKUP(D810,'[1]Product Datasheet'!$A:$G,5,0),"")</f>
        <v/>
      </c>
      <c r="P810" s="47" t="str">
        <f>IFERROR(VLOOKUP(D810,'[1]Product Datasheet'!$A:$G,6,0),"")</f>
        <v/>
      </c>
      <c r="Q810" s="47" t="str">
        <f>IFERROR(VLOOKUP(D810,'[1]Product Datasheet'!$A:$G,7,0), "")</f>
        <v/>
      </c>
      <c r="R810" s="48"/>
      <c r="S810" s="49" t="str">
        <f t="shared" si="31"/>
        <v>Accept</v>
      </c>
      <c r="T810" s="50"/>
      <c r="U810" s="51"/>
    </row>
    <row r="811" spans="1:21" ht="24.75" customHeight="1" x14ac:dyDescent="0.3">
      <c r="A811" s="38" t="str">
        <f>IFERROR(VLOOKUP(D811,'[1]Product Datasheet'!$A:$G,2,0),"")</f>
        <v/>
      </c>
      <c r="B811" s="39" t="str">
        <f>IFERROR(VLOOKUP(D811,'[1]Product Datasheet'!$A:$G,3,0),"")</f>
        <v/>
      </c>
      <c r="C811" s="40"/>
      <c r="D811" s="41"/>
      <c r="E811" s="41"/>
      <c r="F811" s="41"/>
      <c r="G811" s="42"/>
      <c r="H811" s="43"/>
      <c r="I811" s="42"/>
      <c r="J811" s="44"/>
      <c r="K811" s="44"/>
      <c r="L811" s="44"/>
      <c r="M811" s="45" t="str">
        <f t="shared" si="30"/>
        <v>Pass</v>
      </c>
      <c r="N811" s="46" t="str">
        <f>IFERROR(VLOOKUP(D811,'[1]Product Datasheet'!$A:$G,4,0),"")</f>
        <v/>
      </c>
      <c r="O811" s="47" t="str">
        <f>IFERROR(VLOOKUP(D811,'[1]Product Datasheet'!$A:$G,5,0),"")</f>
        <v/>
      </c>
      <c r="P811" s="47" t="str">
        <f>IFERROR(VLOOKUP(D811,'[1]Product Datasheet'!$A:$G,6,0),"")</f>
        <v/>
      </c>
      <c r="Q811" s="47" t="str">
        <f>IFERROR(VLOOKUP(D811,'[1]Product Datasheet'!$A:$G,7,0), "")</f>
        <v/>
      </c>
      <c r="R811" s="48"/>
      <c r="S811" s="49" t="str">
        <f t="shared" si="31"/>
        <v>Accept</v>
      </c>
      <c r="T811" s="50"/>
      <c r="U811" s="51"/>
    </row>
    <row r="812" spans="1:21" ht="24.75" customHeight="1" x14ac:dyDescent="0.3">
      <c r="A812" s="38" t="str">
        <f>IFERROR(VLOOKUP(D812,'[1]Product Datasheet'!$A:$G,2,0),"")</f>
        <v/>
      </c>
      <c r="B812" s="39" t="str">
        <f>IFERROR(VLOOKUP(D812,'[1]Product Datasheet'!$A:$G,3,0),"")</f>
        <v/>
      </c>
      <c r="C812" s="40"/>
      <c r="D812" s="41"/>
      <c r="E812" s="41"/>
      <c r="F812" s="41"/>
      <c r="G812" s="42"/>
      <c r="H812" s="43"/>
      <c r="I812" s="42"/>
      <c r="J812" s="44"/>
      <c r="K812" s="44"/>
      <c r="L812" s="44"/>
      <c r="M812" s="45" t="str">
        <f t="shared" si="30"/>
        <v>Pass</v>
      </c>
      <c r="N812" s="46" t="str">
        <f>IFERROR(VLOOKUP(D812,'[1]Product Datasheet'!$A:$G,4,0),"")</f>
        <v/>
      </c>
      <c r="O812" s="47" t="str">
        <f>IFERROR(VLOOKUP(D812,'[1]Product Datasheet'!$A:$G,5,0),"")</f>
        <v/>
      </c>
      <c r="P812" s="47" t="str">
        <f>IFERROR(VLOOKUP(D812,'[1]Product Datasheet'!$A:$G,6,0),"")</f>
        <v/>
      </c>
      <c r="Q812" s="47" t="str">
        <f>IFERROR(VLOOKUP(D812,'[1]Product Datasheet'!$A:$G,7,0), "")</f>
        <v/>
      </c>
      <c r="R812" s="48"/>
      <c r="S812" s="49" t="str">
        <f t="shared" si="31"/>
        <v>Accept</v>
      </c>
      <c r="T812" s="50"/>
      <c r="U812" s="51"/>
    </row>
    <row r="813" spans="1:21" ht="24.75" customHeight="1" x14ac:dyDescent="0.3">
      <c r="A813" s="38" t="str">
        <f>IFERROR(VLOOKUP(D813,'[1]Product Datasheet'!$A:$G,2,0),"")</f>
        <v/>
      </c>
      <c r="B813" s="39" t="str">
        <f>IFERROR(VLOOKUP(D813,'[1]Product Datasheet'!$A:$G,3,0),"")</f>
        <v/>
      </c>
      <c r="C813" s="40"/>
      <c r="D813" s="41"/>
      <c r="E813" s="41"/>
      <c r="F813" s="41"/>
      <c r="G813" s="42"/>
      <c r="H813" s="43"/>
      <c r="I813" s="42"/>
      <c r="J813" s="44"/>
      <c r="K813" s="44"/>
      <c r="L813" s="44"/>
      <c r="M813" s="45" t="str">
        <f t="shared" si="30"/>
        <v>Pass</v>
      </c>
      <c r="N813" s="46" t="str">
        <f>IFERROR(VLOOKUP(D813,'[1]Product Datasheet'!$A:$G,4,0),"")</f>
        <v/>
      </c>
      <c r="O813" s="47" t="str">
        <f>IFERROR(VLOOKUP(D813,'[1]Product Datasheet'!$A:$G,5,0),"")</f>
        <v/>
      </c>
      <c r="P813" s="47" t="str">
        <f>IFERROR(VLOOKUP(D813,'[1]Product Datasheet'!$A:$G,6,0),"")</f>
        <v/>
      </c>
      <c r="Q813" s="47" t="str">
        <f>IFERROR(VLOOKUP(D813,'[1]Product Datasheet'!$A:$G,7,0), "")</f>
        <v/>
      </c>
      <c r="R813" s="48"/>
      <c r="S813" s="49" t="str">
        <f t="shared" si="31"/>
        <v>Accept</v>
      </c>
      <c r="T813" s="50"/>
      <c r="U813" s="51"/>
    </row>
    <row r="814" spans="1:21" ht="24.75" customHeight="1" x14ac:dyDescent="0.3">
      <c r="A814" s="38" t="str">
        <f>IFERROR(VLOOKUP(D814,'[1]Product Datasheet'!$A:$G,2,0),"")</f>
        <v/>
      </c>
      <c r="B814" s="39" t="str">
        <f>IFERROR(VLOOKUP(D814,'[1]Product Datasheet'!$A:$G,3,0),"")</f>
        <v/>
      </c>
      <c r="C814" s="40"/>
      <c r="D814" s="41"/>
      <c r="E814" s="41"/>
      <c r="F814" s="41"/>
      <c r="G814" s="42"/>
      <c r="H814" s="43"/>
      <c r="I814" s="42"/>
      <c r="J814" s="44"/>
      <c r="K814" s="44"/>
      <c r="L814" s="44"/>
      <c r="M814" s="45" t="str">
        <f t="shared" si="30"/>
        <v>Pass</v>
      </c>
      <c r="N814" s="46" t="str">
        <f>IFERROR(VLOOKUP(D814,'[1]Product Datasheet'!$A:$G,4,0),"")</f>
        <v/>
      </c>
      <c r="O814" s="47" t="str">
        <f>IFERROR(VLOOKUP(D814,'[1]Product Datasheet'!$A:$G,5,0),"")</f>
        <v/>
      </c>
      <c r="P814" s="47" t="str">
        <f>IFERROR(VLOOKUP(D814,'[1]Product Datasheet'!$A:$G,6,0),"")</f>
        <v/>
      </c>
      <c r="Q814" s="47" t="str">
        <f>IFERROR(VLOOKUP(D814,'[1]Product Datasheet'!$A:$G,7,0), "")</f>
        <v/>
      </c>
      <c r="R814" s="48"/>
      <c r="S814" s="49" t="str">
        <f t="shared" si="31"/>
        <v>Accept</v>
      </c>
      <c r="T814" s="50"/>
      <c r="U814" s="51"/>
    </row>
    <row r="815" spans="1:21" ht="24.75" customHeight="1" x14ac:dyDescent="0.3">
      <c r="A815" s="38" t="str">
        <f>IFERROR(VLOOKUP(D815,'[1]Product Datasheet'!$A:$G,2,0),"")</f>
        <v/>
      </c>
      <c r="B815" s="39" t="str">
        <f>IFERROR(VLOOKUP(D815,'[1]Product Datasheet'!$A:$G,3,0),"")</f>
        <v/>
      </c>
      <c r="C815" s="40"/>
      <c r="D815" s="41"/>
      <c r="E815" s="41"/>
      <c r="F815" s="41"/>
      <c r="G815" s="42"/>
      <c r="H815" s="43"/>
      <c r="I815" s="42"/>
      <c r="J815" s="44"/>
      <c r="K815" s="44"/>
      <c r="L815" s="44"/>
      <c r="M815" s="45" t="str">
        <f t="shared" si="30"/>
        <v>Pass</v>
      </c>
      <c r="N815" s="46" t="str">
        <f>IFERROR(VLOOKUP(D815,'[1]Product Datasheet'!$A:$G,4,0),"")</f>
        <v/>
      </c>
      <c r="O815" s="47" t="str">
        <f>IFERROR(VLOOKUP(D815,'[1]Product Datasheet'!$A:$G,5,0),"")</f>
        <v/>
      </c>
      <c r="P815" s="47" t="str">
        <f>IFERROR(VLOOKUP(D815,'[1]Product Datasheet'!$A:$G,6,0),"")</f>
        <v/>
      </c>
      <c r="Q815" s="47" t="str">
        <f>IFERROR(VLOOKUP(D815,'[1]Product Datasheet'!$A:$G,7,0), "")</f>
        <v/>
      </c>
      <c r="R815" s="48"/>
      <c r="S815" s="49" t="str">
        <f t="shared" si="31"/>
        <v>Accept</v>
      </c>
      <c r="T815" s="50"/>
      <c r="U815" s="51"/>
    </row>
    <row r="816" spans="1:21" ht="24.75" customHeight="1" x14ac:dyDescent="0.3">
      <c r="A816" s="38" t="str">
        <f>IFERROR(VLOOKUP(D816,'[1]Product Datasheet'!$A:$G,2,0),"")</f>
        <v/>
      </c>
      <c r="B816" s="39" t="str">
        <f>IFERROR(VLOOKUP(D816,'[1]Product Datasheet'!$A:$G,3,0),"")</f>
        <v/>
      </c>
      <c r="C816" s="40"/>
      <c r="D816" s="41"/>
      <c r="E816" s="41"/>
      <c r="F816" s="41"/>
      <c r="G816" s="42"/>
      <c r="H816" s="43"/>
      <c r="I816" s="42"/>
      <c r="J816" s="44"/>
      <c r="K816" s="44"/>
      <c r="L816" s="44"/>
      <c r="M816" s="45" t="str">
        <f t="shared" si="30"/>
        <v>Pass</v>
      </c>
      <c r="N816" s="46" t="str">
        <f>IFERROR(VLOOKUP(D816,'[1]Product Datasheet'!$A:$G,4,0),"")</f>
        <v/>
      </c>
      <c r="O816" s="47" t="str">
        <f>IFERROR(VLOOKUP(D816,'[1]Product Datasheet'!$A:$G,5,0),"")</f>
        <v/>
      </c>
      <c r="P816" s="47" t="str">
        <f>IFERROR(VLOOKUP(D816,'[1]Product Datasheet'!$A:$G,6,0),"")</f>
        <v/>
      </c>
      <c r="Q816" s="47" t="str">
        <f>IFERROR(VLOOKUP(D816,'[1]Product Datasheet'!$A:$G,7,0), "")</f>
        <v/>
      </c>
      <c r="R816" s="48"/>
      <c r="S816" s="49" t="str">
        <f t="shared" si="31"/>
        <v>Accept</v>
      </c>
      <c r="T816" s="50"/>
      <c r="U816" s="51"/>
    </row>
    <row r="817" spans="1:21" ht="24.75" customHeight="1" x14ac:dyDescent="0.3">
      <c r="A817" s="38" t="str">
        <f>IFERROR(VLOOKUP(D817,'[1]Product Datasheet'!$A:$G,2,0),"")</f>
        <v/>
      </c>
      <c r="B817" s="39" t="str">
        <f>IFERROR(VLOOKUP(D817,'[1]Product Datasheet'!$A:$G,3,0),"")</f>
        <v/>
      </c>
      <c r="C817" s="40"/>
      <c r="D817" s="41"/>
      <c r="E817" s="41"/>
      <c r="F817" s="41"/>
      <c r="G817" s="42"/>
      <c r="H817" s="43"/>
      <c r="I817" s="42"/>
      <c r="J817" s="44"/>
      <c r="K817" s="44"/>
      <c r="L817" s="44"/>
      <c r="M817" s="45" t="str">
        <f t="shared" si="30"/>
        <v>Pass</v>
      </c>
      <c r="N817" s="46" t="str">
        <f>IFERROR(VLOOKUP(D817,'[1]Product Datasheet'!$A:$G,4,0),"")</f>
        <v/>
      </c>
      <c r="O817" s="47" t="str">
        <f>IFERROR(VLOOKUP(D817,'[1]Product Datasheet'!$A:$G,5,0),"")</f>
        <v/>
      </c>
      <c r="P817" s="47" t="str">
        <f>IFERROR(VLOOKUP(D817,'[1]Product Datasheet'!$A:$G,6,0),"")</f>
        <v/>
      </c>
      <c r="Q817" s="47" t="str">
        <f>IFERROR(VLOOKUP(D817,'[1]Product Datasheet'!$A:$G,7,0), "")</f>
        <v/>
      </c>
      <c r="R817" s="48"/>
      <c r="S817" s="49" t="str">
        <f t="shared" si="31"/>
        <v>Accept</v>
      </c>
      <c r="T817" s="50"/>
      <c r="U817" s="51"/>
    </row>
    <row r="818" spans="1:21" ht="24.75" customHeight="1" x14ac:dyDescent="0.3">
      <c r="A818" s="38" t="str">
        <f>IFERROR(VLOOKUP(D818,'[1]Product Datasheet'!$A:$G,2,0),"")</f>
        <v/>
      </c>
      <c r="B818" s="39" t="str">
        <f>IFERROR(VLOOKUP(D818,'[1]Product Datasheet'!$A:$G,3,0),"")</f>
        <v/>
      </c>
      <c r="C818" s="40"/>
      <c r="D818" s="41"/>
      <c r="E818" s="41"/>
      <c r="F818" s="41"/>
      <c r="G818" s="42"/>
      <c r="H818" s="43"/>
      <c r="I818" s="42"/>
      <c r="J818" s="44"/>
      <c r="K818" s="44"/>
      <c r="L818" s="44"/>
      <c r="M818" s="45" t="str">
        <f t="shared" si="30"/>
        <v>Pass</v>
      </c>
      <c r="N818" s="46" t="str">
        <f>IFERROR(VLOOKUP(D818,'[1]Product Datasheet'!$A:$G,4,0),"")</f>
        <v/>
      </c>
      <c r="O818" s="47" t="str">
        <f>IFERROR(VLOOKUP(D818,'[1]Product Datasheet'!$A:$G,5,0),"")</f>
        <v/>
      </c>
      <c r="P818" s="47" t="str">
        <f>IFERROR(VLOOKUP(D818,'[1]Product Datasheet'!$A:$G,6,0),"")</f>
        <v/>
      </c>
      <c r="Q818" s="47" t="str">
        <f>IFERROR(VLOOKUP(D818,'[1]Product Datasheet'!$A:$G,7,0), "")</f>
        <v/>
      </c>
      <c r="R818" s="48"/>
      <c r="S818" s="49" t="str">
        <f t="shared" si="31"/>
        <v>Accept</v>
      </c>
      <c r="T818" s="50"/>
      <c r="U818" s="51"/>
    </row>
    <row r="819" spans="1:21" ht="24.75" customHeight="1" x14ac:dyDescent="0.3">
      <c r="A819" s="38" t="str">
        <f>IFERROR(VLOOKUP(D819,'[1]Product Datasheet'!$A:$G,2,0),"")</f>
        <v/>
      </c>
      <c r="B819" s="39" t="str">
        <f>IFERROR(VLOOKUP(D819,'[1]Product Datasheet'!$A:$G,3,0),"")</f>
        <v/>
      </c>
      <c r="C819" s="40"/>
      <c r="D819" s="41"/>
      <c r="E819" s="41"/>
      <c r="F819" s="41"/>
      <c r="G819" s="42"/>
      <c r="H819" s="43"/>
      <c r="I819" s="42"/>
      <c r="J819" s="44"/>
      <c r="K819" s="44"/>
      <c r="L819" s="44"/>
      <c r="M819" s="45" t="str">
        <f t="shared" si="30"/>
        <v>Pass</v>
      </c>
      <c r="N819" s="46" t="str">
        <f>IFERROR(VLOOKUP(D819,'[1]Product Datasheet'!$A:$G,4,0),"")</f>
        <v/>
      </c>
      <c r="O819" s="47" t="str">
        <f>IFERROR(VLOOKUP(D819,'[1]Product Datasheet'!$A:$G,5,0),"")</f>
        <v/>
      </c>
      <c r="P819" s="47" t="str">
        <f>IFERROR(VLOOKUP(D819,'[1]Product Datasheet'!$A:$G,6,0),"")</f>
        <v/>
      </c>
      <c r="Q819" s="47" t="str">
        <f>IFERROR(VLOOKUP(D819,'[1]Product Datasheet'!$A:$G,7,0), "")</f>
        <v/>
      </c>
      <c r="R819" s="48"/>
      <c r="S819" s="49" t="str">
        <f t="shared" si="31"/>
        <v>Accept</v>
      </c>
      <c r="T819" s="50"/>
      <c r="U819" s="51"/>
    </row>
    <row r="820" spans="1:21" ht="24.75" customHeight="1" x14ac:dyDescent="0.3">
      <c r="A820" s="38" t="str">
        <f>IFERROR(VLOOKUP(D820,'[1]Product Datasheet'!$A:$G,2,0),"")</f>
        <v/>
      </c>
      <c r="B820" s="39" t="str">
        <f>IFERROR(VLOOKUP(D820,'[1]Product Datasheet'!$A:$G,3,0),"")</f>
        <v/>
      </c>
      <c r="C820" s="40"/>
      <c r="D820" s="41"/>
      <c r="E820" s="41"/>
      <c r="F820" s="41"/>
      <c r="G820" s="42"/>
      <c r="H820" s="43"/>
      <c r="I820" s="42"/>
      <c r="J820" s="44"/>
      <c r="K820" s="44"/>
      <c r="L820" s="44"/>
      <c r="M820" s="45" t="str">
        <f t="shared" si="30"/>
        <v>Pass</v>
      </c>
      <c r="N820" s="46" t="str">
        <f>IFERROR(VLOOKUP(D820,'[1]Product Datasheet'!$A:$G,4,0),"")</f>
        <v/>
      </c>
      <c r="O820" s="47" t="str">
        <f>IFERROR(VLOOKUP(D820,'[1]Product Datasheet'!$A:$G,5,0),"")</f>
        <v/>
      </c>
      <c r="P820" s="47" t="str">
        <f>IFERROR(VLOOKUP(D820,'[1]Product Datasheet'!$A:$G,6,0),"")</f>
        <v/>
      </c>
      <c r="Q820" s="47" t="str">
        <f>IFERROR(VLOOKUP(D820,'[1]Product Datasheet'!$A:$G,7,0), "")</f>
        <v/>
      </c>
      <c r="R820" s="48"/>
      <c r="S820" s="49" t="str">
        <f t="shared" si="31"/>
        <v>Accept</v>
      </c>
      <c r="T820" s="50"/>
      <c r="U820" s="51"/>
    </row>
    <row r="821" spans="1:21" ht="24.75" customHeight="1" x14ac:dyDescent="0.3">
      <c r="A821" s="38" t="str">
        <f>IFERROR(VLOOKUP(D821,'[1]Product Datasheet'!$A:$G,2,0),"")</f>
        <v/>
      </c>
      <c r="B821" s="39" t="str">
        <f>IFERROR(VLOOKUP(D821,'[1]Product Datasheet'!$A:$G,3,0),"")</f>
        <v/>
      </c>
      <c r="C821" s="40"/>
      <c r="D821" s="41"/>
      <c r="E821" s="41"/>
      <c r="F821" s="41"/>
      <c r="G821" s="42"/>
      <c r="H821" s="43"/>
      <c r="I821" s="42"/>
      <c r="J821" s="44"/>
      <c r="K821" s="44"/>
      <c r="L821" s="44"/>
      <c r="M821" s="45" t="str">
        <f t="shared" si="30"/>
        <v>Pass</v>
      </c>
      <c r="N821" s="46" t="str">
        <f>IFERROR(VLOOKUP(D821,'[1]Product Datasheet'!$A:$G,4,0),"")</f>
        <v/>
      </c>
      <c r="O821" s="47" t="str">
        <f>IFERROR(VLOOKUP(D821,'[1]Product Datasheet'!$A:$G,5,0),"")</f>
        <v/>
      </c>
      <c r="P821" s="47" t="str">
        <f>IFERROR(VLOOKUP(D821,'[1]Product Datasheet'!$A:$G,6,0),"")</f>
        <v/>
      </c>
      <c r="Q821" s="47" t="str">
        <f>IFERROR(VLOOKUP(D821,'[1]Product Datasheet'!$A:$G,7,0), "")</f>
        <v/>
      </c>
      <c r="R821" s="48"/>
      <c r="S821" s="49" t="str">
        <f t="shared" si="31"/>
        <v>Accept</v>
      </c>
      <c r="T821" s="50"/>
      <c r="U821" s="51"/>
    </row>
    <row r="822" spans="1:21" ht="24.75" customHeight="1" x14ac:dyDescent="0.3">
      <c r="A822" s="38" t="str">
        <f>IFERROR(VLOOKUP(D822,'[1]Product Datasheet'!$A:$G,2,0),"")</f>
        <v/>
      </c>
      <c r="B822" s="39" t="str">
        <f>IFERROR(VLOOKUP(D822,'[1]Product Datasheet'!$A:$G,3,0),"")</f>
        <v/>
      </c>
      <c r="C822" s="40"/>
      <c r="D822" s="41"/>
      <c r="E822" s="41"/>
      <c r="F822" s="41"/>
      <c r="G822" s="42"/>
      <c r="H822" s="43"/>
      <c r="I822" s="42"/>
      <c r="J822" s="44"/>
      <c r="K822" s="44"/>
      <c r="L822" s="44"/>
      <c r="M822" s="45" t="str">
        <f t="shared" si="30"/>
        <v>Pass</v>
      </c>
      <c r="N822" s="46" t="str">
        <f>IFERROR(VLOOKUP(D822,'[1]Product Datasheet'!$A:$G,4,0),"")</f>
        <v/>
      </c>
      <c r="O822" s="47" t="str">
        <f>IFERROR(VLOOKUP(D822,'[1]Product Datasheet'!$A:$G,5,0),"")</f>
        <v/>
      </c>
      <c r="P822" s="47" t="str">
        <f>IFERROR(VLOOKUP(D822,'[1]Product Datasheet'!$A:$G,6,0),"")</f>
        <v/>
      </c>
      <c r="Q822" s="47" t="str">
        <f>IFERROR(VLOOKUP(D822,'[1]Product Datasheet'!$A:$G,7,0), "")</f>
        <v/>
      </c>
      <c r="R822" s="48"/>
      <c r="S822" s="49" t="str">
        <f t="shared" si="31"/>
        <v>Accept</v>
      </c>
      <c r="T822" s="50"/>
      <c r="U822" s="51"/>
    </row>
    <row r="823" spans="1:21" ht="24.75" customHeight="1" x14ac:dyDescent="0.3">
      <c r="A823" s="38" t="str">
        <f>IFERROR(VLOOKUP(D823,'[1]Product Datasheet'!$A:$G,2,0),"")</f>
        <v/>
      </c>
      <c r="B823" s="39" t="str">
        <f>IFERROR(VLOOKUP(D823,'[1]Product Datasheet'!$A:$G,3,0),"")</f>
        <v/>
      </c>
      <c r="C823" s="40"/>
      <c r="D823" s="41"/>
      <c r="E823" s="41"/>
      <c r="F823" s="41"/>
      <c r="G823" s="42"/>
      <c r="H823" s="43"/>
      <c r="I823" s="42"/>
      <c r="J823" s="44"/>
      <c r="K823" s="44"/>
      <c r="L823" s="44"/>
      <c r="M823" s="45" t="str">
        <f t="shared" si="30"/>
        <v>Pass</v>
      </c>
      <c r="N823" s="46" t="str">
        <f>IFERROR(VLOOKUP(D823,'[1]Product Datasheet'!$A:$G,4,0),"")</f>
        <v/>
      </c>
      <c r="O823" s="47" t="str">
        <f>IFERROR(VLOOKUP(D823,'[1]Product Datasheet'!$A:$G,5,0),"")</f>
        <v/>
      </c>
      <c r="P823" s="47" t="str">
        <f>IFERROR(VLOOKUP(D823,'[1]Product Datasheet'!$A:$G,6,0),"")</f>
        <v/>
      </c>
      <c r="Q823" s="47" t="str">
        <f>IFERROR(VLOOKUP(D823,'[1]Product Datasheet'!$A:$G,7,0), "")</f>
        <v/>
      </c>
      <c r="R823" s="48"/>
      <c r="S823" s="49" t="str">
        <f t="shared" si="31"/>
        <v>Accept</v>
      </c>
      <c r="T823" s="50"/>
      <c r="U823" s="51"/>
    </row>
    <row r="824" spans="1:21" ht="24.75" customHeight="1" x14ac:dyDescent="0.3">
      <c r="A824" s="38" t="str">
        <f>IFERROR(VLOOKUP(D824,'[1]Product Datasheet'!$A:$G,2,0),"")</f>
        <v/>
      </c>
      <c r="B824" s="39" t="str">
        <f>IFERROR(VLOOKUP(D824,'[1]Product Datasheet'!$A:$G,3,0),"")</f>
        <v/>
      </c>
      <c r="C824" s="40"/>
      <c r="D824" s="41"/>
      <c r="E824" s="41"/>
      <c r="F824" s="41"/>
      <c r="G824" s="42"/>
      <c r="H824" s="43"/>
      <c r="I824" s="42"/>
      <c r="J824" s="44"/>
      <c r="K824" s="44"/>
      <c r="L824" s="44"/>
      <c r="M824" s="45" t="str">
        <f t="shared" si="30"/>
        <v>Pass</v>
      </c>
      <c r="N824" s="46" t="str">
        <f>IFERROR(VLOOKUP(D824,'[1]Product Datasheet'!$A:$G,4,0),"")</f>
        <v/>
      </c>
      <c r="O824" s="47" t="str">
        <f>IFERROR(VLOOKUP(D824,'[1]Product Datasheet'!$A:$G,5,0),"")</f>
        <v/>
      </c>
      <c r="P824" s="47" t="str">
        <f>IFERROR(VLOOKUP(D824,'[1]Product Datasheet'!$A:$G,6,0),"")</f>
        <v/>
      </c>
      <c r="Q824" s="47" t="str">
        <f>IFERROR(VLOOKUP(D824,'[1]Product Datasheet'!$A:$G,7,0), "")</f>
        <v/>
      </c>
      <c r="R824" s="48"/>
      <c r="S824" s="49" t="str">
        <f t="shared" si="31"/>
        <v>Accept</v>
      </c>
      <c r="T824" s="50"/>
      <c r="U824" s="51"/>
    </row>
    <row r="825" spans="1:21" ht="24.75" customHeight="1" x14ac:dyDescent="0.3">
      <c r="A825" s="38" t="str">
        <f>IFERROR(VLOOKUP(D825,'[1]Product Datasheet'!$A:$G,2,0),"")</f>
        <v/>
      </c>
      <c r="B825" s="39" t="str">
        <f>IFERROR(VLOOKUP(D825,'[1]Product Datasheet'!$A:$G,3,0),"")</f>
        <v/>
      </c>
      <c r="C825" s="40"/>
      <c r="D825" s="41"/>
      <c r="E825" s="41"/>
      <c r="F825" s="41"/>
      <c r="G825" s="42"/>
      <c r="H825" s="43"/>
      <c r="I825" s="42"/>
      <c r="J825" s="44"/>
      <c r="K825" s="44"/>
      <c r="L825" s="44"/>
      <c r="M825" s="45" t="str">
        <f t="shared" si="30"/>
        <v>Pass</v>
      </c>
      <c r="N825" s="46" t="str">
        <f>IFERROR(VLOOKUP(D825,'[1]Product Datasheet'!$A:$G,4,0),"")</f>
        <v/>
      </c>
      <c r="O825" s="47" t="str">
        <f>IFERROR(VLOOKUP(D825,'[1]Product Datasheet'!$A:$G,5,0),"")</f>
        <v/>
      </c>
      <c r="P825" s="47" t="str">
        <f>IFERROR(VLOOKUP(D825,'[1]Product Datasheet'!$A:$G,6,0),"")</f>
        <v/>
      </c>
      <c r="Q825" s="47" t="str">
        <f>IFERROR(VLOOKUP(D825,'[1]Product Datasheet'!$A:$G,7,0), "")</f>
        <v/>
      </c>
      <c r="R825" s="48"/>
      <c r="S825" s="49" t="str">
        <f t="shared" si="31"/>
        <v>Accept</v>
      </c>
      <c r="T825" s="50"/>
      <c r="U825" s="51"/>
    </row>
    <row r="826" spans="1:21" ht="24.75" customHeight="1" x14ac:dyDescent="0.3">
      <c r="A826" s="38" t="str">
        <f>IFERROR(VLOOKUP(D826,'[1]Product Datasheet'!$A:$G,2,0),"")</f>
        <v/>
      </c>
      <c r="B826" s="39" t="str">
        <f>IFERROR(VLOOKUP(D826,'[1]Product Datasheet'!$A:$G,3,0),"")</f>
        <v/>
      </c>
      <c r="C826" s="40"/>
      <c r="D826" s="41"/>
      <c r="E826" s="41"/>
      <c r="F826" s="41"/>
      <c r="G826" s="42"/>
      <c r="H826" s="43"/>
      <c r="I826" s="42"/>
      <c r="J826" s="44"/>
      <c r="K826" s="44"/>
      <c r="L826" s="44"/>
      <c r="M826" s="45" t="str">
        <f t="shared" si="30"/>
        <v>Pass</v>
      </c>
      <c r="N826" s="46" t="str">
        <f>IFERROR(VLOOKUP(D826,'[1]Product Datasheet'!$A:$G,4,0),"")</f>
        <v/>
      </c>
      <c r="O826" s="47" t="str">
        <f>IFERROR(VLOOKUP(D826,'[1]Product Datasheet'!$A:$G,5,0),"")</f>
        <v/>
      </c>
      <c r="P826" s="47" t="str">
        <f>IFERROR(VLOOKUP(D826,'[1]Product Datasheet'!$A:$G,6,0),"")</f>
        <v/>
      </c>
      <c r="Q826" s="47" t="str">
        <f>IFERROR(VLOOKUP(D826,'[1]Product Datasheet'!$A:$G,7,0), "")</f>
        <v/>
      </c>
      <c r="R826" s="48"/>
      <c r="S826" s="49" t="str">
        <f t="shared" si="31"/>
        <v>Accept</v>
      </c>
      <c r="T826" s="50"/>
      <c r="U826" s="51"/>
    </row>
    <row r="827" spans="1:21" ht="24.75" customHeight="1" x14ac:dyDescent="0.3">
      <c r="A827" s="38" t="str">
        <f>IFERROR(VLOOKUP(D827,'[1]Product Datasheet'!$A:$G,2,0),"")</f>
        <v/>
      </c>
      <c r="B827" s="39" t="str">
        <f>IFERROR(VLOOKUP(D827,'[1]Product Datasheet'!$A:$G,3,0),"")</f>
        <v/>
      </c>
      <c r="C827" s="40"/>
      <c r="D827" s="41"/>
      <c r="E827" s="41"/>
      <c r="F827" s="41"/>
      <c r="G827" s="42"/>
      <c r="H827" s="43"/>
      <c r="I827" s="42"/>
      <c r="J827" s="44"/>
      <c r="K827" s="44"/>
      <c r="L827" s="44"/>
      <c r="M827" s="45" t="str">
        <f t="shared" si="30"/>
        <v>Pass</v>
      </c>
      <c r="N827" s="46" t="str">
        <f>IFERROR(VLOOKUP(D827,'[1]Product Datasheet'!$A:$G,4,0),"")</f>
        <v/>
      </c>
      <c r="O827" s="47" t="str">
        <f>IFERROR(VLOOKUP(D827,'[1]Product Datasheet'!$A:$G,5,0),"")</f>
        <v/>
      </c>
      <c r="P827" s="47" t="str">
        <f>IFERROR(VLOOKUP(D827,'[1]Product Datasheet'!$A:$G,6,0),"")</f>
        <v/>
      </c>
      <c r="Q827" s="47" t="str">
        <f>IFERROR(VLOOKUP(D827,'[1]Product Datasheet'!$A:$G,7,0), "")</f>
        <v/>
      </c>
      <c r="R827" s="48"/>
      <c r="S827" s="49" t="str">
        <f t="shared" si="31"/>
        <v>Accept</v>
      </c>
      <c r="T827" s="50"/>
      <c r="U827" s="51"/>
    </row>
    <row r="828" spans="1:21" ht="24.75" customHeight="1" x14ac:dyDescent="0.3">
      <c r="A828" s="38" t="str">
        <f>IFERROR(VLOOKUP(D828,'[1]Product Datasheet'!$A:$G,2,0),"")</f>
        <v/>
      </c>
      <c r="B828" s="39" t="str">
        <f>IFERROR(VLOOKUP(D828,'[1]Product Datasheet'!$A:$G,3,0),"")</f>
        <v/>
      </c>
      <c r="C828" s="40"/>
      <c r="D828" s="41"/>
      <c r="E828" s="41"/>
      <c r="F828" s="41"/>
      <c r="G828" s="42"/>
      <c r="H828" s="43"/>
      <c r="I828" s="42"/>
      <c r="J828" s="44"/>
      <c r="K828" s="44"/>
      <c r="L828" s="44"/>
      <c r="M828" s="45" t="str">
        <f t="shared" si="30"/>
        <v>Pass</v>
      </c>
      <c r="N828" s="46" t="str">
        <f>IFERROR(VLOOKUP(D828,'[1]Product Datasheet'!$A:$G,4,0),"")</f>
        <v/>
      </c>
      <c r="O828" s="47" t="str">
        <f>IFERROR(VLOOKUP(D828,'[1]Product Datasheet'!$A:$G,5,0),"")</f>
        <v/>
      </c>
      <c r="P828" s="47" t="str">
        <f>IFERROR(VLOOKUP(D828,'[1]Product Datasheet'!$A:$G,6,0),"")</f>
        <v/>
      </c>
      <c r="Q828" s="47" t="str">
        <f>IFERROR(VLOOKUP(D828,'[1]Product Datasheet'!$A:$G,7,0), "")</f>
        <v/>
      </c>
      <c r="R828" s="48"/>
      <c r="S828" s="49" t="str">
        <f t="shared" si="31"/>
        <v>Accept</v>
      </c>
      <c r="T828" s="50"/>
      <c r="U828" s="51"/>
    </row>
    <row r="829" spans="1:21" ht="24.75" customHeight="1" x14ac:dyDescent="0.3">
      <c r="A829" s="38" t="str">
        <f>IFERROR(VLOOKUP(D829,'[1]Product Datasheet'!$A:$G,2,0),"")</f>
        <v/>
      </c>
      <c r="B829" s="39" t="str">
        <f>IFERROR(VLOOKUP(D829,'[1]Product Datasheet'!$A:$G,3,0),"")</f>
        <v/>
      </c>
      <c r="C829" s="40"/>
      <c r="D829" s="41"/>
      <c r="E829" s="41"/>
      <c r="F829" s="41"/>
      <c r="G829" s="42"/>
      <c r="H829" s="43"/>
      <c r="I829" s="42"/>
      <c r="J829" s="44"/>
      <c r="K829" s="44"/>
      <c r="L829" s="44"/>
      <c r="M829" s="45" t="str">
        <f t="shared" si="30"/>
        <v>Pass</v>
      </c>
      <c r="N829" s="46" t="str">
        <f>IFERROR(VLOOKUP(D829,'[1]Product Datasheet'!$A:$G,4,0),"")</f>
        <v/>
      </c>
      <c r="O829" s="47" t="str">
        <f>IFERROR(VLOOKUP(D829,'[1]Product Datasheet'!$A:$G,5,0),"")</f>
        <v/>
      </c>
      <c r="P829" s="47" t="str">
        <f>IFERROR(VLOOKUP(D829,'[1]Product Datasheet'!$A:$G,6,0),"")</f>
        <v/>
      </c>
      <c r="Q829" s="47" t="str">
        <f>IFERROR(VLOOKUP(D829,'[1]Product Datasheet'!$A:$G,7,0), "")</f>
        <v/>
      </c>
      <c r="R829" s="48"/>
      <c r="S829" s="49" t="str">
        <f t="shared" si="31"/>
        <v>Accept</v>
      </c>
      <c r="T829" s="50"/>
      <c r="U829" s="51"/>
    </row>
    <row r="830" spans="1:21" ht="24.75" customHeight="1" x14ac:dyDescent="0.3">
      <c r="A830" s="38" t="str">
        <f>IFERROR(VLOOKUP(D830,'[1]Product Datasheet'!$A:$G,2,0),"")</f>
        <v/>
      </c>
      <c r="B830" s="39" t="str">
        <f>IFERROR(VLOOKUP(D830,'[1]Product Datasheet'!$A:$G,3,0),"")</f>
        <v/>
      </c>
      <c r="C830" s="40"/>
      <c r="D830" s="41"/>
      <c r="E830" s="41"/>
      <c r="F830" s="41"/>
      <c r="G830" s="42"/>
      <c r="H830" s="43"/>
      <c r="I830" s="42"/>
      <c r="J830" s="44"/>
      <c r="K830" s="44"/>
      <c r="L830" s="44"/>
      <c r="M830" s="45" t="str">
        <f t="shared" si="30"/>
        <v>Pass</v>
      </c>
      <c r="N830" s="46" t="str">
        <f>IFERROR(VLOOKUP(D830,'[1]Product Datasheet'!$A:$G,4,0),"")</f>
        <v/>
      </c>
      <c r="O830" s="47" t="str">
        <f>IFERROR(VLOOKUP(D830,'[1]Product Datasheet'!$A:$G,5,0),"")</f>
        <v/>
      </c>
      <c r="P830" s="47" t="str">
        <f>IFERROR(VLOOKUP(D830,'[1]Product Datasheet'!$A:$G,6,0),"")</f>
        <v/>
      </c>
      <c r="Q830" s="47" t="str">
        <f>IFERROR(VLOOKUP(D830,'[1]Product Datasheet'!$A:$G,7,0), "")</f>
        <v/>
      </c>
      <c r="R830" s="48"/>
      <c r="S830" s="49" t="str">
        <f t="shared" si="31"/>
        <v>Accept</v>
      </c>
      <c r="T830" s="50"/>
      <c r="U830" s="51"/>
    </row>
    <row r="831" spans="1:21" ht="24.75" customHeight="1" x14ac:dyDescent="0.3">
      <c r="A831" s="38" t="str">
        <f>IFERROR(VLOOKUP(D831,'[1]Product Datasheet'!$A:$G,2,0),"")</f>
        <v/>
      </c>
      <c r="B831" s="39" t="str">
        <f>IFERROR(VLOOKUP(D831,'[1]Product Datasheet'!$A:$G,3,0),"")</f>
        <v/>
      </c>
      <c r="C831" s="40"/>
      <c r="D831" s="41"/>
      <c r="E831" s="41"/>
      <c r="F831" s="41"/>
      <c r="G831" s="42"/>
      <c r="H831" s="43"/>
      <c r="I831" s="42"/>
      <c r="J831" s="44"/>
      <c r="K831" s="44"/>
      <c r="L831" s="44"/>
      <c r="M831" s="45" t="str">
        <f t="shared" si="30"/>
        <v>Pass</v>
      </c>
      <c r="N831" s="46" t="str">
        <f>IFERROR(VLOOKUP(D831,'[1]Product Datasheet'!$A:$G,4,0),"")</f>
        <v/>
      </c>
      <c r="O831" s="47" t="str">
        <f>IFERROR(VLOOKUP(D831,'[1]Product Datasheet'!$A:$G,5,0),"")</f>
        <v/>
      </c>
      <c r="P831" s="47" t="str">
        <f>IFERROR(VLOOKUP(D831,'[1]Product Datasheet'!$A:$G,6,0),"")</f>
        <v/>
      </c>
      <c r="Q831" s="47" t="str">
        <f>IFERROR(VLOOKUP(D831,'[1]Product Datasheet'!$A:$G,7,0), "")</f>
        <v/>
      </c>
      <c r="R831" s="48"/>
      <c r="S831" s="49" t="str">
        <f t="shared" si="31"/>
        <v>Accept</v>
      </c>
      <c r="T831" s="50"/>
      <c r="U831" s="51"/>
    </row>
    <row r="832" spans="1:21" ht="24.75" customHeight="1" x14ac:dyDescent="0.3">
      <c r="A832" s="38" t="str">
        <f>IFERROR(VLOOKUP(D832,'[1]Product Datasheet'!$A:$G,2,0),"")</f>
        <v/>
      </c>
      <c r="B832" s="39" t="str">
        <f>IFERROR(VLOOKUP(D832,'[1]Product Datasheet'!$A:$G,3,0),"")</f>
        <v/>
      </c>
      <c r="C832" s="40"/>
      <c r="D832" s="41"/>
      <c r="E832" s="41"/>
      <c r="F832" s="41"/>
      <c r="G832" s="42"/>
      <c r="H832" s="43"/>
      <c r="I832" s="42"/>
      <c r="J832" s="44"/>
      <c r="K832" s="44"/>
      <c r="L832" s="44"/>
      <c r="M832" s="45" t="str">
        <f t="shared" si="30"/>
        <v>Pass</v>
      </c>
      <c r="N832" s="46" t="str">
        <f>IFERROR(VLOOKUP(D832,'[1]Product Datasheet'!$A:$G,4,0),"")</f>
        <v/>
      </c>
      <c r="O832" s="47" t="str">
        <f>IFERROR(VLOOKUP(D832,'[1]Product Datasheet'!$A:$G,5,0),"")</f>
        <v/>
      </c>
      <c r="P832" s="47" t="str">
        <f>IFERROR(VLOOKUP(D832,'[1]Product Datasheet'!$A:$G,6,0),"")</f>
        <v/>
      </c>
      <c r="Q832" s="47" t="str">
        <f>IFERROR(VLOOKUP(D832,'[1]Product Datasheet'!$A:$G,7,0), "")</f>
        <v/>
      </c>
      <c r="R832" s="48"/>
      <c r="S832" s="49" t="str">
        <f t="shared" si="31"/>
        <v>Accept</v>
      </c>
      <c r="T832" s="50"/>
      <c r="U832" s="51"/>
    </row>
    <row r="833" spans="1:21" ht="24.75" customHeight="1" x14ac:dyDescent="0.3">
      <c r="A833" s="38" t="str">
        <f>IFERROR(VLOOKUP(D833,'[1]Product Datasheet'!$A:$G,2,0),"")</f>
        <v/>
      </c>
      <c r="B833" s="39" t="str">
        <f>IFERROR(VLOOKUP(D833,'[1]Product Datasheet'!$A:$G,3,0),"")</f>
        <v/>
      </c>
      <c r="C833" s="40"/>
      <c r="D833" s="41"/>
      <c r="E833" s="41"/>
      <c r="F833" s="41"/>
      <c r="G833" s="42"/>
      <c r="H833" s="43"/>
      <c r="I833" s="42"/>
      <c r="J833" s="44"/>
      <c r="K833" s="44"/>
      <c r="L833" s="44"/>
      <c r="M833" s="45" t="str">
        <f t="shared" si="30"/>
        <v>Pass</v>
      </c>
      <c r="N833" s="46" t="str">
        <f>IFERROR(VLOOKUP(D833,'[1]Product Datasheet'!$A:$G,4,0),"")</f>
        <v/>
      </c>
      <c r="O833" s="47" t="str">
        <f>IFERROR(VLOOKUP(D833,'[1]Product Datasheet'!$A:$G,5,0),"")</f>
        <v/>
      </c>
      <c r="P833" s="47" t="str">
        <f>IFERROR(VLOOKUP(D833,'[1]Product Datasheet'!$A:$G,6,0),"")</f>
        <v/>
      </c>
      <c r="Q833" s="47" t="str">
        <f>IFERROR(VLOOKUP(D833,'[1]Product Datasheet'!$A:$G,7,0), "")</f>
        <v/>
      </c>
      <c r="R833" s="48"/>
      <c r="S833" s="49" t="str">
        <f t="shared" si="31"/>
        <v>Accept</v>
      </c>
      <c r="T833" s="50"/>
      <c r="U833" s="51"/>
    </row>
    <row r="834" spans="1:21" ht="24.75" customHeight="1" x14ac:dyDescent="0.3">
      <c r="A834" s="38" t="str">
        <f>IFERROR(VLOOKUP(D834,'[1]Product Datasheet'!$A:$G,2,0),"")</f>
        <v/>
      </c>
      <c r="B834" s="39" t="str">
        <f>IFERROR(VLOOKUP(D834,'[1]Product Datasheet'!$A:$G,3,0),"")</f>
        <v/>
      </c>
      <c r="C834" s="40"/>
      <c r="D834" s="41"/>
      <c r="E834" s="41"/>
      <c r="F834" s="41"/>
      <c r="G834" s="42"/>
      <c r="H834" s="43"/>
      <c r="I834" s="42"/>
      <c r="J834" s="44"/>
      <c r="K834" s="44"/>
      <c r="L834" s="44"/>
      <c r="M834" s="45" t="str">
        <f t="shared" si="30"/>
        <v>Pass</v>
      </c>
      <c r="N834" s="46" t="str">
        <f>IFERROR(VLOOKUP(D834,'[1]Product Datasheet'!$A:$G,4,0),"")</f>
        <v/>
      </c>
      <c r="O834" s="47" t="str">
        <f>IFERROR(VLOOKUP(D834,'[1]Product Datasheet'!$A:$G,5,0),"")</f>
        <v/>
      </c>
      <c r="P834" s="47" t="str">
        <f>IFERROR(VLOOKUP(D834,'[1]Product Datasheet'!$A:$G,6,0),"")</f>
        <v/>
      </c>
      <c r="Q834" s="47" t="str">
        <f>IFERROR(VLOOKUP(D834,'[1]Product Datasheet'!$A:$G,7,0), "")</f>
        <v/>
      </c>
      <c r="R834" s="48"/>
      <c r="S834" s="49" t="str">
        <f t="shared" si="31"/>
        <v>Accept</v>
      </c>
      <c r="T834" s="50"/>
      <c r="U834" s="51"/>
    </row>
    <row r="835" spans="1:21" ht="24.75" customHeight="1" x14ac:dyDescent="0.3">
      <c r="A835" s="38" t="str">
        <f>IFERROR(VLOOKUP(D835,'[1]Product Datasheet'!$A:$G,2,0),"")</f>
        <v/>
      </c>
      <c r="B835" s="39" t="str">
        <f>IFERROR(VLOOKUP(D835,'[1]Product Datasheet'!$A:$G,3,0),"")</f>
        <v/>
      </c>
      <c r="C835" s="40"/>
      <c r="D835" s="41"/>
      <c r="E835" s="41"/>
      <c r="F835" s="41"/>
      <c r="G835" s="42"/>
      <c r="H835" s="43"/>
      <c r="I835" s="42"/>
      <c r="J835" s="44"/>
      <c r="K835" s="44"/>
      <c r="L835" s="44"/>
      <c r="M835" s="45" t="str">
        <f t="shared" si="30"/>
        <v>Pass</v>
      </c>
      <c r="N835" s="46" t="str">
        <f>IFERROR(VLOOKUP(D835,'[1]Product Datasheet'!$A:$G,4,0),"")</f>
        <v/>
      </c>
      <c r="O835" s="47" t="str">
        <f>IFERROR(VLOOKUP(D835,'[1]Product Datasheet'!$A:$G,5,0),"")</f>
        <v/>
      </c>
      <c r="P835" s="47" t="str">
        <f>IFERROR(VLOOKUP(D835,'[1]Product Datasheet'!$A:$G,6,0),"")</f>
        <v/>
      </c>
      <c r="Q835" s="47" t="str">
        <f>IFERROR(VLOOKUP(D835,'[1]Product Datasheet'!$A:$G,7,0), "")</f>
        <v/>
      </c>
      <c r="R835" s="48"/>
      <c r="S835" s="49" t="str">
        <f t="shared" si="31"/>
        <v>Accept</v>
      </c>
      <c r="T835" s="50"/>
      <c r="U835" s="51"/>
    </row>
    <row r="836" spans="1:21" ht="24.75" customHeight="1" x14ac:dyDescent="0.3">
      <c r="A836" s="38" t="str">
        <f>IFERROR(VLOOKUP(D836,'[1]Product Datasheet'!$A:$G,2,0),"")</f>
        <v/>
      </c>
      <c r="B836" s="39" t="str">
        <f>IFERROR(VLOOKUP(D836,'[1]Product Datasheet'!$A:$G,3,0),"")</f>
        <v/>
      </c>
      <c r="C836" s="40"/>
      <c r="D836" s="41"/>
      <c r="E836" s="41"/>
      <c r="F836" s="41"/>
      <c r="G836" s="42"/>
      <c r="H836" s="43"/>
      <c r="I836" s="42"/>
      <c r="J836" s="44"/>
      <c r="K836" s="44"/>
      <c r="L836" s="44"/>
      <c r="M836" s="45" t="str">
        <f t="shared" si="30"/>
        <v>Pass</v>
      </c>
      <c r="N836" s="46" t="str">
        <f>IFERROR(VLOOKUP(D836,'[1]Product Datasheet'!$A:$G,4,0),"")</f>
        <v/>
      </c>
      <c r="O836" s="47" t="str">
        <f>IFERROR(VLOOKUP(D836,'[1]Product Datasheet'!$A:$G,5,0),"")</f>
        <v/>
      </c>
      <c r="P836" s="47" t="str">
        <f>IFERROR(VLOOKUP(D836,'[1]Product Datasheet'!$A:$G,6,0),"")</f>
        <v/>
      </c>
      <c r="Q836" s="47" t="str">
        <f>IFERROR(VLOOKUP(D836,'[1]Product Datasheet'!$A:$G,7,0), "")</f>
        <v/>
      </c>
      <c r="R836" s="48"/>
      <c r="S836" s="49" t="str">
        <f t="shared" si="31"/>
        <v>Accept</v>
      </c>
      <c r="T836" s="50"/>
      <c r="U836" s="51"/>
    </row>
    <row r="837" spans="1:21" ht="24.75" customHeight="1" x14ac:dyDescent="0.3">
      <c r="A837" s="38" t="str">
        <f>IFERROR(VLOOKUP(D837,'[1]Product Datasheet'!$A:$G,2,0),"")</f>
        <v/>
      </c>
      <c r="B837" s="39" t="str">
        <f>IFERROR(VLOOKUP(D837,'[1]Product Datasheet'!$A:$G,3,0),"")</f>
        <v/>
      </c>
      <c r="C837" s="40"/>
      <c r="D837" s="41"/>
      <c r="E837" s="41"/>
      <c r="F837" s="41"/>
      <c r="G837" s="42"/>
      <c r="H837" s="43"/>
      <c r="I837" s="42"/>
      <c r="J837" s="44"/>
      <c r="K837" s="44"/>
      <c r="L837" s="44"/>
      <c r="M837" s="45" t="str">
        <f t="shared" si="30"/>
        <v>Pass</v>
      </c>
      <c r="N837" s="46" t="str">
        <f>IFERROR(VLOOKUP(D837,'[1]Product Datasheet'!$A:$G,4,0),"")</f>
        <v/>
      </c>
      <c r="O837" s="47" t="str">
        <f>IFERROR(VLOOKUP(D837,'[1]Product Datasheet'!$A:$G,5,0),"")</f>
        <v/>
      </c>
      <c r="P837" s="47" t="str">
        <f>IFERROR(VLOOKUP(D837,'[1]Product Datasheet'!$A:$G,6,0),"")</f>
        <v/>
      </c>
      <c r="Q837" s="47" t="str">
        <f>IFERROR(VLOOKUP(D837,'[1]Product Datasheet'!$A:$G,7,0), "")</f>
        <v/>
      </c>
      <c r="R837" s="48"/>
      <c r="S837" s="49" t="str">
        <f t="shared" si="31"/>
        <v>Accept</v>
      </c>
      <c r="T837" s="50"/>
      <c r="U837" s="51"/>
    </row>
    <row r="838" spans="1:21" ht="24.75" customHeight="1" x14ac:dyDescent="0.3">
      <c r="A838" s="38" t="str">
        <f>IFERROR(VLOOKUP(D838,'[1]Product Datasheet'!$A:$G,2,0),"")</f>
        <v/>
      </c>
      <c r="B838" s="39" t="str">
        <f>IFERROR(VLOOKUP(D838,'[1]Product Datasheet'!$A:$G,3,0),"")</f>
        <v/>
      </c>
      <c r="C838" s="40"/>
      <c r="D838" s="41"/>
      <c r="E838" s="41"/>
      <c r="F838" s="41"/>
      <c r="G838" s="42"/>
      <c r="H838" s="43"/>
      <c r="I838" s="42"/>
      <c r="J838" s="44"/>
      <c r="K838" s="44"/>
      <c r="L838" s="44"/>
      <c r="M838" s="45" t="str">
        <f t="shared" si="30"/>
        <v>Pass</v>
      </c>
      <c r="N838" s="46" t="str">
        <f>IFERROR(VLOOKUP(D838,'[1]Product Datasheet'!$A:$G,4,0),"")</f>
        <v/>
      </c>
      <c r="O838" s="47" t="str">
        <f>IFERROR(VLOOKUP(D838,'[1]Product Datasheet'!$A:$G,5,0),"")</f>
        <v/>
      </c>
      <c r="P838" s="47" t="str">
        <f>IFERROR(VLOOKUP(D838,'[1]Product Datasheet'!$A:$G,6,0),"")</f>
        <v/>
      </c>
      <c r="Q838" s="47" t="str">
        <f>IFERROR(VLOOKUP(D838,'[1]Product Datasheet'!$A:$G,7,0), "")</f>
        <v/>
      </c>
      <c r="R838" s="48"/>
      <c r="S838" s="49" t="str">
        <f t="shared" si="31"/>
        <v>Accept</v>
      </c>
      <c r="T838" s="50"/>
      <c r="U838" s="51"/>
    </row>
    <row r="839" spans="1:21" ht="24.75" customHeight="1" x14ac:dyDescent="0.3">
      <c r="A839" s="38" t="str">
        <f>IFERROR(VLOOKUP(D839,'[1]Product Datasheet'!$A:$G,2,0),"")</f>
        <v/>
      </c>
      <c r="B839" s="39" t="str">
        <f>IFERROR(VLOOKUP(D839,'[1]Product Datasheet'!$A:$G,3,0),"")</f>
        <v/>
      </c>
      <c r="C839" s="40"/>
      <c r="D839" s="41"/>
      <c r="E839" s="41"/>
      <c r="F839" s="41"/>
      <c r="G839" s="42"/>
      <c r="H839" s="43"/>
      <c r="I839" s="42"/>
      <c r="J839" s="44"/>
      <c r="K839" s="44"/>
      <c r="L839" s="44"/>
      <c r="M839" s="45" t="str">
        <f t="shared" si="30"/>
        <v>Pass</v>
      </c>
      <c r="N839" s="46" t="str">
        <f>IFERROR(VLOOKUP(D839,'[1]Product Datasheet'!$A:$G,4,0),"")</f>
        <v/>
      </c>
      <c r="O839" s="47" t="str">
        <f>IFERROR(VLOOKUP(D839,'[1]Product Datasheet'!$A:$G,5,0),"")</f>
        <v/>
      </c>
      <c r="P839" s="47" t="str">
        <f>IFERROR(VLOOKUP(D839,'[1]Product Datasheet'!$A:$G,6,0),"")</f>
        <v/>
      </c>
      <c r="Q839" s="47" t="str">
        <f>IFERROR(VLOOKUP(D839,'[1]Product Datasheet'!$A:$G,7,0), "")</f>
        <v/>
      </c>
      <c r="R839" s="48"/>
      <c r="S839" s="49" t="str">
        <f t="shared" si="31"/>
        <v>Accept</v>
      </c>
      <c r="T839" s="50"/>
      <c r="U839" s="51"/>
    </row>
    <row r="840" spans="1:21" ht="24.75" customHeight="1" x14ac:dyDescent="0.3">
      <c r="A840" s="38" t="str">
        <f>IFERROR(VLOOKUP(D840,'[1]Product Datasheet'!$A:$G,2,0),"")</f>
        <v/>
      </c>
      <c r="B840" s="39" t="str">
        <f>IFERROR(VLOOKUP(D840,'[1]Product Datasheet'!$A:$G,3,0),"")</f>
        <v/>
      </c>
      <c r="C840" s="40"/>
      <c r="D840" s="41"/>
      <c r="E840" s="41"/>
      <c r="F840" s="41"/>
      <c r="G840" s="42"/>
      <c r="H840" s="43"/>
      <c r="I840" s="42"/>
      <c r="J840" s="44"/>
      <c r="K840" s="44"/>
      <c r="L840" s="44"/>
      <c r="M840" s="45" t="str">
        <f t="shared" si="30"/>
        <v>Pass</v>
      </c>
      <c r="N840" s="46" t="str">
        <f>IFERROR(VLOOKUP(D840,'[1]Product Datasheet'!$A:$G,4,0),"")</f>
        <v/>
      </c>
      <c r="O840" s="47" t="str">
        <f>IFERROR(VLOOKUP(D840,'[1]Product Datasheet'!$A:$G,5,0),"")</f>
        <v/>
      </c>
      <c r="P840" s="47" t="str">
        <f>IFERROR(VLOOKUP(D840,'[1]Product Datasheet'!$A:$G,6,0),"")</f>
        <v/>
      </c>
      <c r="Q840" s="47" t="str">
        <f>IFERROR(VLOOKUP(D840,'[1]Product Datasheet'!$A:$G,7,0), "")</f>
        <v/>
      </c>
      <c r="R840" s="48"/>
      <c r="S840" s="49" t="str">
        <f t="shared" si="31"/>
        <v>Accept</v>
      </c>
      <c r="T840" s="50"/>
      <c r="U840" s="51"/>
    </row>
    <row r="841" spans="1:21" ht="24.75" customHeight="1" x14ac:dyDescent="0.3">
      <c r="A841" s="38" t="str">
        <f>IFERROR(VLOOKUP(D841,'[1]Product Datasheet'!$A:$G,2,0),"")</f>
        <v/>
      </c>
      <c r="B841" s="39" t="str">
        <f>IFERROR(VLOOKUP(D841,'[1]Product Datasheet'!$A:$G,3,0),"")</f>
        <v/>
      </c>
      <c r="C841" s="40"/>
      <c r="D841" s="41"/>
      <c r="E841" s="41"/>
      <c r="F841" s="41"/>
      <c r="G841" s="42"/>
      <c r="H841" s="43"/>
      <c r="I841" s="42"/>
      <c r="J841" s="44"/>
      <c r="K841" s="44"/>
      <c r="L841" s="44"/>
      <c r="M841" s="45" t="str">
        <f t="shared" ref="M841:M904" si="32">IF(AND(G841&lt;=O841,G841&gt;=N841,H841&lt;=Q841,H841&gt;=P841),"Pass","Fail")</f>
        <v>Pass</v>
      </c>
      <c r="N841" s="46" t="str">
        <f>IFERROR(VLOOKUP(D841,'[1]Product Datasheet'!$A:$G,4,0),"")</f>
        <v/>
      </c>
      <c r="O841" s="47" t="str">
        <f>IFERROR(VLOOKUP(D841,'[1]Product Datasheet'!$A:$G,5,0),"")</f>
        <v/>
      </c>
      <c r="P841" s="47" t="str">
        <f>IFERROR(VLOOKUP(D841,'[1]Product Datasheet'!$A:$G,6,0),"")</f>
        <v/>
      </c>
      <c r="Q841" s="47" t="str">
        <f>IFERROR(VLOOKUP(D841,'[1]Product Datasheet'!$A:$G,7,0), "")</f>
        <v/>
      </c>
      <c r="R841" s="48"/>
      <c r="S841" s="49" t="str">
        <f t="shared" ref="S841:S904" si="33">IFERROR(IF(AND(ROUND(H841, 2)&lt;=Q841, ROUND(G841,1)&lt;=O841), "Accept", "Reject"),"Reject")</f>
        <v>Accept</v>
      </c>
      <c r="T841" s="50"/>
      <c r="U841" s="51"/>
    </row>
    <row r="842" spans="1:21" ht="24.75" customHeight="1" x14ac:dyDescent="0.3">
      <c r="A842" s="38" t="str">
        <f>IFERROR(VLOOKUP(D842,'[1]Product Datasheet'!$A:$G,2,0),"")</f>
        <v/>
      </c>
      <c r="B842" s="39" t="str">
        <f>IFERROR(VLOOKUP(D842,'[1]Product Datasheet'!$A:$G,3,0),"")</f>
        <v/>
      </c>
      <c r="C842" s="40"/>
      <c r="D842" s="41"/>
      <c r="E842" s="41"/>
      <c r="F842" s="41"/>
      <c r="G842" s="42"/>
      <c r="H842" s="43"/>
      <c r="I842" s="42"/>
      <c r="J842" s="44"/>
      <c r="K842" s="44"/>
      <c r="L842" s="44"/>
      <c r="M842" s="45" t="str">
        <f t="shared" si="32"/>
        <v>Pass</v>
      </c>
      <c r="N842" s="46" t="str">
        <f>IFERROR(VLOOKUP(D842,'[1]Product Datasheet'!$A:$G,4,0),"")</f>
        <v/>
      </c>
      <c r="O842" s="47" t="str">
        <f>IFERROR(VLOOKUP(D842,'[1]Product Datasheet'!$A:$G,5,0),"")</f>
        <v/>
      </c>
      <c r="P842" s="47" t="str">
        <f>IFERROR(VLOOKUP(D842,'[1]Product Datasheet'!$A:$G,6,0),"")</f>
        <v/>
      </c>
      <c r="Q842" s="47" t="str">
        <f>IFERROR(VLOOKUP(D842,'[1]Product Datasheet'!$A:$G,7,0), "")</f>
        <v/>
      </c>
      <c r="R842" s="48"/>
      <c r="S842" s="49" t="str">
        <f t="shared" si="33"/>
        <v>Accept</v>
      </c>
      <c r="T842" s="50"/>
      <c r="U842" s="51"/>
    </row>
    <row r="843" spans="1:21" ht="24.75" customHeight="1" x14ac:dyDescent="0.3">
      <c r="A843" s="38" t="str">
        <f>IFERROR(VLOOKUP(D843,'[1]Product Datasheet'!$A:$G,2,0),"")</f>
        <v/>
      </c>
      <c r="B843" s="39" t="str">
        <f>IFERROR(VLOOKUP(D843,'[1]Product Datasheet'!$A:$G,3,0),"")</f>
        <v/>
      </c>
      <c r="C843" s="40"/>
      <c r="D843" s="41"/>
      <c r="E843" s="41"/>
      <c r="F843" s="41"/>
      <c r="G843" s="42"/>
      <c r="H843" s="43"/>
      <c r="I843" s="42"/>
      <c r="J843" s="44"/>
      <c r="K843" s="44"/>
      <c r="L843" s="44"/>
      <c r="M843" s="45" t="str">
        <f t="shared" si="32"/>
        <v>Pass</v>
      </c>
      <c r="N843" s="46" t="str">
        <f>IFERROR(VLOOKUP(D843,'[1]Product Datasheet'!$A:$G,4,0),"")</f>
        <v/>
      </c>
      <c r="O843" s="47" t="str">
        <f>IFERROR(VLOOKUP(D843,'[1]Product Datasheet'!$A:$G,5,0),"")</f>
        <v/>
      </c>
      <c r="P843" s="47" t="str">
        <f>IFERROR(VLOOKUP(D843,'[1]Product Datasheet'!$A:$G,6,0),"")</f>
        <v/>
      </c>
      <c r="Q843" s="47" t="str">
        <f>IFERROR(VLOOKUP(D843,'[1]Product Datasheet'!$A:$G,7,0), "")</f>
        <v/>
      </c>
      <c r="R843" s="48"/>
      <c r="S843" s="49" t="str">
        <f t="shared" si="33"/>
        <v>Accept</v>
      </c>
      <c r="T843" s="50"/>
      <c r="U843" s="51"/>
    </row>
    <row r="844" spans="1:21" ht="24.75" customHeight="1" x14ac:dyDescent="0.3">
      <c r="A844" s="38" t="str">
        <f>IFERROR(VLOOKUP(D844,'[1]Product Datasheet'!$A:$G,2,0),"")</f>
        <v/>
      </c>
      <c r="B844" s="39" t="str">
        <f>IFERROR(VLOOKUP(D844,'[1]Product Datasheet'!$A:$G,3,0),"")</f>
        <v/>
      </c>
      <c r="C844" s="40"/>
      <c r="D844" s="41"/>
      <c r="E844" s="41"/>
      <c r="F844" s="41"/>
      <c r="G844" s="42"/>
      <c r="H844" s="43"/>
      <c r="I844" s="42"/>
      <c r="J844" s="44"/>
      <c r="K844" s="44"/>
      <c r="L844" s="44"/>
      <c r="M844" s="45" t="str">
        <f t="shared" si="32"/>
        <v>Pass</v>
      </c>
      <c r="N844" s="46" t="str">
        <f>IFERROR(VLOOKUP(D844,'[1]Product Datasheet'!$A:$G,4,0),"")</f>
        <v/>
      </c>
      <c r="O844" s="47" t="str">
        <f>IFERROR(VLOOKUP(D844,'[1]Product Datasheet'!$A:$G,5,0),"")</f>
        <v/>
      </c>
      <c r="P844" s="47" t="str">
        <f>IFERROR(VLOOKUP(D844,'[1]Product Datasheet'!$A:$G,6,0),"")</f>
        <v/>
      </c>
      <c r="Q844" s="47" t="str">
        <f>IFERROR(VLOOKUP(D844,'[1]Product Datasheet'!$A:$G,7,0), "")</f>
        <v/>
      </c>
      <c r="R844" s="48"/>
      <c r="S844" s="49" t="str">
        <f t="shared" si="33"/>
        <v>Accept</v>
      </c>
      <c r="T844" s="50"/>
      <c r="U844" s="51"/>
    </row>
    <row r="845" spans="1:21" ht="24.75" customHeight="1" x14ac:dyDescent="0.3">
      <c r="A845" s="38" t="str">
        <f>IFERROR(VLOOKUP(D845,'[1]Product Datasheet'!$A:$G,2,0),"")</f>
        <v/>
      </c>
      <c r="B845" s="39" t="str">
        <f>IFERROR(VLOOKUP(D845,'[1]Product Datasheet'!$A:$G,3,0),"")</f>
        <v/>
      </c>
      <c r="C845" s="40"/>
      <c r="D845" s="41"/>
      <c r="E845" s="41"/>
      <c r="F845" s="41"/>
      <c r="G845" s="42"/>
      <c r="H845" s="43"/>
      <c r="I845" s="42"/>
      <c r="J845" s="44"/>
      <c r="K845" s="44"/>
      <c r="L845" s="44"/>
      <c r="M845" s="45" t="str">
        <f t="shared" si="32"/>
        <v>Pass</v>
      </c>
      <c r="N845" s="46" t="str">
        <f>IFERROR(VLOOKUP(D845,'[1]Product Datasheet'!$A:$G,4,0),"")</f>
        <v/>
      </c>
      <c r="O845" s="47" t="str">
        <f>IFERROR(VLOOKUP(D845,'[1]Product Datasheet'!$A:$G,5,0),"")</f>
        <v/>
      </c>
      <c r="P845" s="47" t="str">
        <f>IFERROR(VLOOKUP(D845,'[1]Product Datasheet'!$A:$G,6,0),"")</f>
        <v/>
      </c>
      <c r="Q845" s="47" t="str">
        <f>IFERROR(VLOOKUP(D845,'[1]Product Datasheet'!$A:$G,7,0), "")</f>
        <v/>
      </c>
      <c r="R845" s="48"/>
      <c r="S845" s="49" t="str">
        <f t="shared" si="33"/>
        <v>Accept</v>
      </c>
      <c r="T845" s="50"/>
      <c r="U845" s="51"/>
    </row>
    <row r="846" spans="1:21" ht="24.75" customHeight="1" x14ac:dyDescent="0.3">
      <c r="A846" s="38" t="str">
        <f>IFERROR(VLOOKUP(D846,'[1]Product Datasheet'!$A:$G,2,0),"")</f>
        <v/>
      </c>
      <c r="B846" s="39" t="str">
        <f>IFERROR(VLOOKUP(D846,'[1]Product Datasheet'!$A:$G,3,0),"")</f>
        <v/>
      </c>
      <c r="C846" s="40"/>
      <c r="D846" s="41"/>
      <c r="E846" s="41"/>
      <c r="F846" s="41"/>
      <c r="G846" s="42"/>
      <c r="H846" s="43"/>
      <c r="I846" s="42"/>
      <c r="J846" s="44"/>
      <c r="K846" s="44"/>
      <c r="L846" s="44"/>
      <c r="M846" s="45" t="str">
        <f t="shared" si="32"/>
        <v>Pass</v>
      </c>
      <c r="N846" s="46" t="str">
        <f>IFERROR(VLOOKUP(D846,'[1]Product Datasheet'!$A:$G,4,0),"")</f>
        <v/>
      </c>
      <c r="O846" s="47" t="str">
        <f>IFERROR(VLOOKUP(D846,'[1]Product Datasheet'!$A:$G,5,0),"")</f>
        <v/>
      </c>
      <c r="P846" s="47" t="str">
        <f>IFERROR(VLOOKUP(D846,'[1]Product Datasheet'!$A:$G,6,0),"")</f>
        <v/>
      </c>
      <c r="Q846" s="47" t="str">
        <f>IFERROR(VLOOKUP(D846,'[1]Product Datasheet'!$A:$G,7,0), "")</f>
        <v/>
      </c>
      <c r="R846" s="48"/>
      <c r="S846" s="49" t="str">
        <f t="shared" si="33"/>
        <v>Accept</v>
      </c>
      <c r="T846" s="50"/>
      <c r="U846" s="51"/>
    </row>
    <row r="847" spans="1:21" ht="24.75" customHeight="1" x14ac:dyDescent="0.3">
      <c r="A847" s="38" t="str">
        <f>IFERROR(VLOOKUP(D847,'[1]Product Datasheet'!$A:$G,2,0),"")</f>
        <v/>
      </c>
      <c r="B847" s="39" t="str">
        <f>IFERROR(VLOOKUP(D847,'[1]Product Datasheet'!$A:$G,3,0),"")</f>
        <v/>
      </c>
      <c r="C847" s="40"/>
      <c r="D847" s="41"/>
      <c r="E847" s="41"/>
      <c r="F847" s="41"/>
      <c r="G847" s="42"/>
      <c r="H847" s="43"/>
      <c r="I847" s="42"/>
      <c r="J847" s="44"/>
      <c r="K847" s="44"/>
      <c r="L847" s="44"/>
      <c r="M847" s="45" t="str">
        <f t="shared" si="32"/>
        <v>Pass</v>
      </c>
      <c r="N847" s="46" t="str">
        <f>IFERROR(VLOOKUP(D847,'[1]Product Datasheet'!$A:$G,4,0),"")</f>
        <v/>
      </c>
      <c r="O847" s="47" t="str">
        <f>IFERROR(VLOOKUP(D847,'[1]Product Datasheet'!$A:$G,5,0),"")</f>
        <v/>
      </c>
      <c r="P847" s="47" t="str">
        <f>IFERROR(VLOOKUP(D847,'[1]Product Datasheet'!$A:$G,6,0),"")</f>
        <v/>
      </c>
      <c r="Q847" s="47" t="str">
        <f>IFERROR(VLOOKUP(D847,'[1]Product Datasheet'!$A:$G,7,0), "")</f>
        <v/>
      </c>
      <c r="R847" s="48"/>
      <c r="S847" s="49" t="str">
        <f t="shared" si="33"/>
        <v>Accept</v>
      </c>
      <c r="T847" s="50"/>
      <c r="U847" s="51"/>
    </row>
    <row r="848" spans="1:21" ht="24.75" customHeight="1" x14ac:dyDescent="0.3">
      <c r="A848" s="38" t="str">
        <f>IFERROR(VLOOKUP(D848,'[1]Product Datasheet'!$A:$G,2,0),"")</f>
        <v/>
      </c>
      <c r="B848" s="39" t="str">
        <f>IFERROR(VLOOKUP(D848,'[1]Product Datasheet'!$A:$G,3,0),"")</f>
        <v/>
      </c>
      <c r="C848" s="40"/>
      <c r="D848" s="41"/>
      <c r="E848" s="41"/>
      <c r="F848" s="41"/>
      <c r="G848" s="42"/>
      <c r="H848" s="43"/>
      <c r="I848" s="42"/>
      <c r="J848" s="44"/>
      <c r="K848" s="44"/>
      <c r="L848" s="44"/>
      <c r="M848" s="45" t="str">
        <f t="shared" si="32"/>
        <v>Pass</v>
      </c>
      <c r="N848" s="46" t="str">
        <f>IFERROR(VLOOKUP(D848,'[1]Product Datasheet'!$A:$G,4,0),"")</f>
        <v/>
      </c>
      <c r="O848" s="47" t="str">
        <f>IFERROR(VLOOKUP(D848,'[1]Product Datasheet'!$A:$G,5,0),"")</f>
        <v/>
      </c>
      <c r="P848" s="47" t="str">
        <f>IFERROR(VLOOKUP(D848,'[1]Product Datasheet'!$A:$G,6,0),"")</f>
        <v/>
      </c>
      <c r="Q848" s="47" t="str">
        <f>IFERROR(VLOOKUP(D848,'[1]Product Datasheet'!$A:$G,7,0), "")</f>
        <v/>
      </c>
      <c r="R848" s="48"/>
      <c r="S848" s="49" t="str">
        <f t="shared" si="33"/>
        <v>Accept</v>
      </c>
      <c r="T848" s="50"/>
      <c r="U848" s="51"/>
    </row>
    <row r="849" spans="1:21" ht="24.75" customHeight="1" x14ac:dyDescent="0.3">
      <c r="A849" s="38" t="str">
        <f>IFERROR(VLOOKUP(D849,'[1]Product Datasheet'!$A:$G,2,0),"")</f>
        <v/>
      </c>
      <c r="B849" s="39" t="str">
        <f>IFERROR(VLOOKUP(D849,'[1]Product Datasheet'!$A:$G,3,0),"")</f>
        <v/>
      </c>
      <c r="C849" s="40"/>
      <c r="D849" s="41"/>
      <c r="E849" s="41"/>
      <c r="F849" s="41"/>
      <c r="G849" s="42"/>
      <c r="H849" s="43"/>
      <c r="I849" s="42"/>
      <c r="J849" s="44"/>
      <c r="K849" s="44"/>
      <c r="L849" s="44"/>
      <c r="M849" s="45" t="str">
        <f t="shared" si="32"/>
        <v>Pass</v>
      </c>
      <c r="N849" s="46" t="str">
        <f>IFERROR(VLOOKUP(D849,'[1]Product Datasheet'!$A:$G,4,0),"")</f>
        <v/>
      </c>
      <c r="O849" s="47" t="str">
        <f>IFERROR(VLOOKUP(D849,'[1]Product Datasheet'!$A:$G,5,0),"")</f>
        <v/>
      </c>
      <c r="P849" s="47" t="str">
        <f>IFERROR(VLOOKUP(D849,'[1]Product Datasheet'!$A:$G,6,0),"")</f>
        <v/>
      </c>
      <c r="Q849" s="47" t="str">
        <f>IFERROR(VLOOKUP(D849,'[1]Product Datasheet'!$A:$G,7,0), "")</f>
        <v/>
      </c>
      <c r="R849" s="48"/>
      <c r="S849" s="49" t="str">
        <f t="shared" si="33"/>
        <v>Accept</v>
      </c>
      <c r="T849" s="50"/>
      <c r="U849" s="51"/>
    </row>
    <row r="850" spans="1:21" ht="24.75" customHeight="1" x14ac:dyDescent="0.3">
      <c r="A850" s="38" t="str">
        <f>IFERROR(VLOOKUP(D850,'[1]Product Datasheet'!$A:$G,2,0),"")</f>
        <v/>
      </c>
      <c r="B850" s="39" t="str">
        <f>IFERROR(VLOOKUP(D850,'[1]Product Datasheet'!$A:$G,3,0),"")</f>
        <v/>
      </c>
      <c r="C850" s="40"/>
      <c r="D850" s="41"/>
      <c r="E850" s="41"/>
      <c r="F850" s="41"/>
      <c r="G850" s="42"/>
      <c r="H850" s="43"/>
      <c r="I850" s="42"/>
      <c r="J850" s="44"/>
      <c r="K850" s="44"/>
      <c r="L850" s="44"/>
      <c r="M850" s="45" t="str">
        <f t="shared" si="32"/>
        <v>Pass</v>
      </c>
      <c r="N850" s="46" t="str">
        <f>IFERROR(VLOOKUP(D850,'[1]Product Datasheet'!$A:$G,4,0),"")</f>
        <v/>
      </c>
      <c r="O850" s="47" t="str">
        <f>IFERROR(VLOOKUP(D850,'[1]Product Datasheet'!$A:$G,5,0),"")</f>
        <v/>
      </c>
      <c r="P850" s="47" t="str">
        <f>IFERROR(VLOOKUP(D850,'[1]Product Datasheet'!$A:$G,6,0),"")</f>
        <v/>
      </c>
      <c r="Q850" s="47" t="str">
        <f>IFERROR(VLOOKUP(D850,'[1]Product Datasheet'!$A:$G,7,0), "")</f>
        <v/>
      </c>
      <c r="R850" s="48"/>
      <c r="S850" s="49" t="str">
        <f t="shared" si="33"/>
        <v>Accept</v>
      </c>
      <c r="T850" s="50"/>
      <c r="U850" s="51"/>
    </row>
    <row r="851" spans="1:21" ht="24.75" customHeight="1" x14ac:dyDescent="0.3">
      <c r="A851" s="38" t="str">
        <f>IFERROR(VLOOKUP(D851,'[1]Product Datasheet'!$A:$G,2,0),"")</f>
        <v/>
      </c>
      <c r="B851" s="39" t="str">
        <f>IFERROR(VLOOKUP(D851,'[1]Product Datasheet'!$A:$G,3,0),"")</f>
        <v/>
      </c>
      <c r="C851" s="40"/>
      <c r="D851" s="41"/>
      <c r="E851" s="41"/>
      <c r="F851" s="41"/>
      <c r="G851" s="42"/>
      <c r="H851" s="43"/>
      <c r="I851" s="42"/>
      <c r="J851" s="44"/>
      <c r="K851" s="44"/>
      <c r="L851" s="44"/>
      <c r="M851" s="45" t="str">
        <f t="shared" si="32"/>
        <v>Pass</v>
      </c>
      <c r="N851" s="46" t="str">
        <f>IFERROR(VLOOKUP(D851,'[1]Product Datasheet'!$A:$G,4,0),"")</f>
        <v/>
      </c>
      <c r="O851" s="47" t="str">
        <f>IFERROR(VLOOKUP(D851,'[1]Product Datasheet'!$A:$G,5,0),"")</f>
        <v/>
      </c>
      <c r="P851" s="47" t="str">
        <f>IFERROR(VLOOKUP(D851,'[1]Product Datasheet'!$A:$G,6,0),"")</f>
        <v/>
      </c>
      <c r="Q851" s="47" t="str">
        <f>IFERROR(VLOOKUP(D851,'[1]Product Datasheet'!$A:$G,7,0), "")</f>
        <v/>
      </c>
      <c r="R851" s="48"/>
      <c r="S851" s="49" t="str">
        <f t="shared" si="33"/>
        <v>Accept</v>
      </c>
      <c r="T851" s="50"/>
      <c r="U851" s="51"/>
    </row>
    <row r="852" spans="1:21" ht="24.75" customHeight="1" x14ac:dyDescent="0.3">
      <c r="A852" s="38" t="str">
        <f>IFERROR(VLOOKUP(D852,'[1]Product Datasheet'!$A:$G,2,0),"")</f>
        <v/>
      </c>
      <c r="B852" s="39" t="str">
        <f>IFERROR(VLOOKUP(D852,'[1]Product Datasheet'!$A:$G,3,0),"")</f>
        <v/>
      </c>
      <c r="C852" s="40"/>
      <c r="D852" s="41"/>
      <c r="E852" s="41"/>
      <c r="F852" s="41"/>
      <c r="G852" s="42"/>
      <c r="H852" s="43"/>
      <c r="I852" s="42"/>
      <c r="J852" s="44"/>
      <c r="K852" s="44"/>
      <c r="L852" s="44"/>
      <c r="M852" s="45" t="str">
        <f t="shared" si="32"/>
        <v>Pass</v>
      </c>
      <c r="N852" s="46" t="str">
        <f>IFERROR(VLOOKUP(D852,'[1]Product Datasheet'!$A:$G,4,0),"")</f>
        <v/>
      </c>
      <c r="O852" s="47" t="str">
        <f>IFERROR(VLOOKUP(D852,'[1]Product Datasheet'!$A:$G,5,0),"")</f>
        <v/>
      </c>
      <c r="P852" s="47" t="str">
        <f>IFERROR(VLOOKUP(D852,'[1]Product Datasheet'!$A:$G,6,0),"")</f>
        <v/>
      </c>
      <c r="Q852" s="47" t="str">
        <f>IFERROR(VLOOKUP(D852,'[1]Product Datasheet'!$A:$G,7,0), "")</f>
        <v/>
      </c>
      <c r="R852" s="48"/>
      <c r="S852" s="49" t="str">
        <f t="shared" si="33"/>
        <v>Accept</v>
      </c>
      <c r="T852" s="50"/>
      <c r="U852" s="51"/>
    </row>
    <row r="853" spans="1:21" ht="24.75" customHeight="1" x14ac:dyDescent="0.3">
      <c r="A853" s="38" t="str">
        <f>IFERROR(VLOOKUP(D853,'[1]Product Datasheet'!$A:$G,2,0),"")</f>
        <v/>
      </c>
      <c r="B853" s="39" t="str">
        <f>IFERROR(VLOOKUP(D853,'[1]Product Datasheet'!$A:$G,3,0),"")</f>
        <v/>
      </c>
      <c r="C853" s="40"/>
      <c r="D853" s="41"/>
      <c r="E853" s="41"/>
      <c r="F853" s="41"/>
      <c r="G853" s="42"/>
      <c r="H853" s="43"/>
      <c r="I853" s="42"/>
      <c r="J853" s="44"/>
      <c r="K853" s="44"/>
      <c r="L853" s="44"/>
      <c r="M853" s="45" t="str">
        <f t="shared" si="32"/>
        <v>Pass</v>
      </c>
      <c r="N853" s="46" t="str">
        <f>IFERROR(VLOOKUP(D853,'[1]Product Datasheet'!$A:$G,4,0),"")</f>
        <v/>
      </c>
      <c r="O853" s="47" t="str">
        <f>IFERROR(VLOOKUP(D853,'[1]Product Datasheet'!$A:$G,5,0),"")</f>
        <v/>
      </c>
      <c r="P853" s="47" t="str">
        <f>IFERROR(VLOOKUP(D853,'[1]Product Datasheet'!$A:$G,6,0),"")</f>
        <v/>
      </c>
      <c r="Q853" s="47" t="str">
        <f>IFERROR(VLOOKUP(D853,'[1]Product Datasheet'!$A:$G,7,0), "")</f>
        <v/>
      </c>
      <c r="R853" s="48"/>
      <c r="S853" s="49" t="str">
        <f t="shared" si="33"/>
        <v>Accept</v>
      </c>
      <c r="T853" s="50"/>
      <c r="U853" s="51"/>
    </row>
    <row r="854" spans="1:21" ht="24.75" customHeight="1" x14ac:dyDescent="0.3">
      <c r="A854" s="38" t="str">
        <f>IFERROR(VLOOKUP(D854,'[1]Product Datasheet'!$A:$G,2,0),"")</f>
        <v/>
      </c>
      <c r="B854" s="39" t="str">
        <f>IFERROR(VLOOKUP(D854,'[1]Product Datasheet'!$A:$G,3,0),"")</f>
        <v/>
      </c>
      <c r="C854" s="40"/>
      <c r="D854" s="41"/>
      <c r="E854" s="41"/>
      <c r="F854" s="41"/>
      <c r="G854" s="42"/>
      <c r="H854" s="43"/>
      <c r="I854" s="42"/>
      <c r="J854" s="44"/>
      <c r="K854" s="44"/>
      <c r="L854" s="44"/>
      <c r="M854" s="45" t="str">
        <f t="shared" si="32"/>
        <v>Pass</v>
      </c>
      <c r="N854" s="46" t="str">
        <f>IFERROR(VLOOKUP(D854,'[1]Product Datasheet'!$A:$G,4,0),"")</f>
        <v/>
      </c>
      <c r="O854" s="47" t="str">
        <f>IFERROR(VLOOKUP(D854,'[1]Product Datasheet'!$A:$G,5,0),"")</f>
        <v/>
      </c>
      <c r="P854" s="47" t="str">
        <f>IFERROR(VLOOKUP(D854,'[1]Product Datasheet'!$A:$G,6,0),"")</f>
        <v/>
      </c>
      <c r="Q854" s="47" t="str">
        <f>IFERROR(VLOOKUP(D854,'[1]Product Datasheet'!$A:$G,7,0), "")</f>
        <v/>
      </c>
      <c r="R854" s="48"/>
      <c r="S854" s="49" t="str">
        <f t="shared" si="33"/>
        <v>Accept</v>
      </c>
      <c r="T854" s="50"/>
      <c r="U854" s="51"/>
    </row>
    <row r="855" spans="1:21" ht="24.75" customHeight="1" x14ac:dyDescent="0.3">
      <c r="A855" s="38" t="str">
        <f>IFERROR(VLOOKUP(D855,'[1]Product Datasheet'!$A:$G,2,0),"")</f>
        <v/>
      </c>
      <c r="B855" s="39" t="str">
        <f>IFERROR(VLOOKUP(D855,'[1]Product Datasheet'!$A:$G,3,0),"")</f>
        <v/>
      </c>
      <c r="C855" s="40"/>
      <c r="D855" s="41"/>
      <c r="E855" s="41"/>
      <c r="F855" s="41"/>
      <c r="G855" s="42"/>
      <c r="H855" s="43"/>
      <c r="I855" s="42"/>
      <c r="J855" s="44"/>
      <c r="K855" s="44"/>
      <c r="L855" s="44"/>
      <c r="M855" s="45" t="str">
        <f t="shared" si="32"/>
        <v>Pass</v>
      </c>
      <c r="N855" s="46" t="str">
        <f>IFERROR(VLOOKUP(D855,'[1]Product Datasheet'!$A:$G,4,0),"")</f>
        <v/>
      </c>
      <c r="O855" s="47" t="str">
        <f>IFERROR(VLOOKUP(D855,'[1]Product Datasheet'!$A:$G,5,0),"")</f>
        <v/>
      </c>
      <c r="P855" s="47" t="str">
        <f>IFERROR(VLOOKUP(D855,'[1]Product Datasheet'!$A:$G,6,0),"")</f>
        <v/>
      </c>
      <c r="Q855" s="47" t="str">
        <f>IFERROR(VLOOKUP(D855,'[1]Product Datasheet'!$A:$G,7,0), "")</f>
        <v/>
      </c>
      <c r="R855" s="48"/>
      <c r="S855" s="49" t="str">
        <f t="shared" si="33"/>
        <v>Accept</v>
      </c>
      <c r="T855" s="50"/>
      <c r="U855" s="51"/>
    </row>
    <row r="856" spans="1:21" ht="24.75" customHeight="1" x14ac:dyDescent="0.3">
      <c r="A856" s="38" t="str">
        <f>IFERROR(VLOOKUP(D856,'[1]Product Datasheet'!$A:$G,2,0),"")</f>
        <v/>
      </c>
      <c r="B856" s="39" t="str">
        <f>IFERROR(VLOOKUP(D856,'[1]Product Datasheet'!$A:$G,3,0),"")</f>
        <v/>
      </c>
      <c r="C856" s="40"/>
      <c r="D856" s="41"/>
      <c r="E856" s="41"/>
      <c r="F856" s="41"/>
      <c r="G856" s="42"/>
      <c r="H856" s="43"/>
      <c r="I856" s="42"/>
      <c r="J856" s="44"/>
      <c r="K856" s="44"/>
      <c r="L856" s="44"/>
      <c r="M856" s="45" t="str">
        <f t="shared" si="32"/>
        <v>Pass</v>
      </c>
      <c r="N856" s="46" t="str">
        <f>IFERROR(VLOOKUP(D856,'[1]Product Datasheet'!$A:$G,4,0),"")</f>
        <v/>
      </c>
      <c r="O856" s="47" t="str">
        <f>IFERROR(VLOOKUP(D856,'[1]Product Datasheet'!$A:$G,5,0),"")</f>
        <v/>
      </c>
      <c r="P856" s="47" t="str">
        <f>IFERROR(VLOOKUP(D856,'[1]Product Datasheet'!$A:$G,6,0),"")</f>
        <v/>
      </c>
      <c r="Q856" s="47" t="str">
        <f>IFERROR(VLOOKUP(D856,'[1]Product Datasheet'!$A:$G,7,0), "")</f>
        <v/>
      </c>
      <c r="R856" s="48"/>
      <c r="S856" s="49" t="str">
        <f t="shared" si="33"/>
        <v>Accept</v>
      </c>
      <c r="T856" s="50"/>
      <c r="U856" s="51"/>
    </row>
    <row r="857" spans="1:21" ht="24.75" customHeight="1" x14ac:dyDescent="0.3">
      <c r="A857" s="38" t="str">
        <f>IFERROR(VLOOKUP(D857,'[1]Product Datasheet'!$A:$G,2,0),"")</f>
        <v/>
      </c>
      <c r="B857" s="39" t="str">
        <f>IFERROR(VLOOKUP(D857,'[1]Product Datasheet'!$A:$G,3,0),"")</f>
        <v/>
      </c>
      <c r="C857" s="40"/>
      <c r="D857" s="41"/>
      <c r="E857" s="41"/>
      <c r="F857" s="41"/>
      <c r="G857" s="42"/>
      <c r="H857" s="43"/>
      <c r="I857" s="42"/>
      <c r="J857" s="44"/>
      <c r="K857" s="44"/>
      <c r="L857" s="44"/>
      <c r="M857" s="45" t="str">
        <f t="shared" si="32"/>
        <v>Pass</v>
      </c>
      <c r="N857" s="46" t="str">
        <f>IFERROR(VLOOKUP(D857,'[1]Product Datasheet'!$A:$G,4,0),"")</f>
        <v/>
      </c>
      <c r="O857" s="47" t="str">
        <f>IFERROR(VLOOKUP(D857,'[1]Product Datasheet'!$A:$G,5,0),"")</f>
        <v/>
      </c>
      <c r="P857" s="47" t="str">
        <f>IFERROR(VLOOKUP(D857,'[1]Product Datasheet'!$A:$G,6,0),"")</f>
        <v/>
      </c>
      <c r="Q857" s="47" t="str">
        <f>IFERROR(VLOOKUP(D857,'[1]Product Datasheet'!$A:$G,7,0), "")</f>
        <v/>
      </c>
      <c r="R857" s="48"/>
      <c r="S857" s="49" t="str">
        <f t="shared" si="33"/>
        <v>Accept</v>
      </c>
      <c r="T857" s="50"/>
      <c r="U857" s="51"/>
    </row>
    <row r="858" spans="1:21" ht="24.75" customHeight="1" x14ac:dyDescent="0.3">
      <c r="A858" s="38" t="str">
        <f>IFERROR(VLOOKUP(D858,'[1]Product Datasheet'!$A:$G,2,0),"")</f>
        <v/>
      </c>
      <c r="B858" s="39" t="str">
        <f>IFERROR(VLOOKUP(D858,'[1]Product Datasheet'!$A:$G,3,0),"")</f>
        <v/>
      </c>
      <c r="C858" s="40"/>
      <c r="D858" s="41"/>
      <c r="E858" s="41"/>
      <c r="F858" s="41"/>
      <c r="G858" s="42"/>
      <c r="H858" s="43"/>
      <c r="I858" s="42"/>
      <c r="J858" s="44"/>
      <c r="K858" s="44"/>
      <c r="L858" s="44"/>
      <c r="M858" s="45" t="str">
        <f t="shared" si="32"/>
        <v>Pass</v>
      </c>
      <c r="N858" s="46" t="str">
        <f>IFERROR(VLOOKUP(D858,'[1]Product Datasheet'!$A:$G,4,0),"")</f>
        <v/>
      </c>
      <c r="O858" s="47" t="str">
        <f>IFERROR(VLOOKUP(D858,'[1]Product Datasheet'!$A:$G,5,0),"")</f>
        <v/>
      </c>
      <c r="P858" s="47" t="str">
        <f>IFERROR(VLOOKUP(D858,'[1]Product Datasheet'!$A:$G,6,0),"")</f>
        <v/>
      </c>
      <c r="Q858" s="47" t="str">
        <f>IFERROR(VLOOKUP(D858,'[1]Product Datasheet'!$A:$G,7,0), "")</f>
        <v/>
      </c>
      <c r="R858" s="48"/>
      <c r="S858" s="49" t="str">
        <f t="shared" si="33"/>
        <v>Accept</v>
      </c>
      <c r="T858" s="50"/>
      <c r="U858" s="51"/>
    </row>
    <row r="859" spans="1:21" ht="24.75" customHeight="1" x14ac:dyDescent="0.3">
      <c r="A859" s="38" t="str">
        <f>IFERROR(VLOOKUP(D859,'[1]Product Datasheet'!$A:$G,2,0),"")</f>
        <v/>
      </c>
      <c r="B859" s="39" t="str">
        <f>IFERROR(VLOOKUP(D859,'[1]Product Datasheet'!$A:$G,3,0),"")</f>
        <v/>
      </c>
      <c r="C859" s="40"/>
      <c r="D859" s="41"/>
      <c r="E859" s="41"/>
      <c r="F859" s="41"/>
      <c r="G859" s="42"/>
      <c r="H859" s="43"/>
      <c r="I859" s="42"/>
      <c r="J859" s="44"/>
      <c r="K859" s="44"/>
      <c r="L859" s="44"/>
      <c r="M859" s="45" t="str">
        <f t="shared" si="32"/>
        <v>Pass</v>
      </c>
      <c r="N859" s="46" t="str">
        <f>IFERROR(VLOOKUP(D859,'[1]Product Datasheet'!$A:$G,4,0),"")</f>
        <v/>
      </c>
      <c r="O859" s="47" t="str">
        <f>IFERROR(VLOOKUP(D859,'[1]Product Datasheet'!$A:$G,5,0),"")</f>
        <v/>
      </c>
      <c r="P859" s="47" t="str">
        <f>IFERROR(VLOOKUP(D859,'[1]Product Datasheet'!$A:$G,6,0),"")</f>
        <v/>
      </c>
      <c r="Q859" s="47" t="str">
        <f>IFERROR(VLOOKUP(D859,'[1]Product Datasheet'!$A:$G,7,0), "")</f>
        <v/>
      </c>
      <c r="R859" s="48"/>
      <c r="S859" s="49" t="str">
        <f t="shared" si="33"/>
        <v>Accept</v>
      </c>
      <c r="T859" s="50"/>
      <c r="U859" s="51"/>
    </row>
    <row r="860" spans="1:21" ht="24.75" customHeight="1" x14ac:dyDescent="0.3">
      <c r="A860" s="38" t="str">
        <f>IFERROR(VLOOKUP(D860,'[1]Product Datasheet'!$A:$G,2,0),"")</f>
        <v/>
      </c>
      <c r="B860" s="39" t="str">
        <f>IFERROR(VLOOKUP(D860,'[1]Product Datasheet'!$A:$G,3,0),"")</f>
        <v/>
      </c>
      <c r="C860" s="40"/>
      <c r="D860" s="41"/>
      <c r="E860" s="41"/>
      <c r="F860" s="41"/>
      <c r="G860" s="42"/>
      <c r="H860" s="43"/>
      <c r="I860" s="42"/>
      <c r="J860" s="44"/>
      <c r="K860" s="44"/>
      <c r="L860" s="44"/>
      <c r="M860" s="45" t="str">
        <f t="shared" si="32"/>
        <v>Pass</v>
      </c>
      <c r="N860" s="46" t="str">
        <f>IFERROR(VLOOKUP(D860,'[1]Product Datasheet'!$A:$G,4,0),"")</f>
        <v/>
      </c>
      <c r="O860" s="47" t="str">
        <f>IFERROR(VLOOKUP(D860,'[1]Product Datasheet'!$A:$G,5,0),"")</f>
        <v/>
      </c>
      <c r="P860" s="47" t="str">
        <f>IFERROR(VLOOKUP(D860,'[1]Product Datasheet'!$A:$G,6,0),"")</f>
        <v/>
      </c>
      <c r="Q860" s="47" t="str">
        <f>IFERROR(VLOOKUP(D860,'[1]Product Datasheet'!$A:$G,7,0), "")</f>
        <v/>
      </c>
      <c r="R860" s="48"/>
      <c r="S860" s="49" t="str">
        <f t="shared" si="33"/>
        <v>Accept</v>
      </c>
      <c r="T860" s="50"/>
      <c r="U860" s="51"/>
    </row>
    <row r="861" spans="1:21" ht="24.75" customHeight="1" x14ac:dyDescent="0.3">
      <c r="A861" s="38" t="str">
        <f>IFERROR(VLOOKUP(D861,'[1]Product Datasheet'!$A:$G,2,0),"")</f>
        <v/>
      </c>
      <c r="B861" s="39" t="str">
        <f>IFERROR(VLOOKUP(D861,'[1]Product Datasheet'!$A:$G,3,0),"")</f>
        <v/>
      </c>
      <c r="C861" s="40"/>
      <c r="D861" s="41"/>
      <c r="E861" s="41"/>
      <c r="F861" s="41"/>
      <c r="G861" s="42"/>
      <c r="H861" s="43"/>
      <c r="I861" s="42"/>
      <c r="J861" s="44"/>
      <c r="K861" s="44"/>
      <c r="L861" s="44"/>
      <c r="M861" s="45" t="str">
        <f t="shared" si="32"/>
        <v>Pass</v>
      </c>
      <c r="N861" s="46" t="str">
        <f>IFERROR(VLOOKUP(D861,'[1]Product Datasheet'!$A:$G,4,0),"")</f>
        <v/>
      </c>
      <c r="O861" s="47" t="str">
        <f>IFERROR(VLOOKUP(D861,'[1]Product Datasheet'!$A:$G,5,0),"")</f>
        <v/>
      </c>
      <c r="P861" s="47" t="str">
        <f>IFERROR(VLOOKUP(D861,'[1]Product Datasheet'!$A:$G,6,0),"")</f>
        <v/>
      </c>
      <c r="Q861" s="47" t="str">
        <f>IFERROR(VLOOKUP(D861,'[1]Product Datasheet'!$A:$G,7,0), "")</f>
        <v/>
      </c>
      <c r="R861" s="48"/>
      <c r="S861" s="49" t="str">
        <f t="shared" si="33"/>
        <v>Accept</v>
      </c>
      <c r="T861" s="50"/>
      <c r="U861" s="51"/>
    </row>
    <row r="862" spans="1:21" ht="24.75" customHeight="1" x14ac:dyDescent="0.3">
      <c r="A862" s="38" t="str">
        <f>IFERROR(VLOOKUP(D862,'[1]Product Datasheet'!$A:$G,2,0),"")</f>
        <v/>
      </c>
      <c r="B862" s="39" t="str">
        <f>IFERROR(VLOOKUP(D862,'[1]Product Datasheet'!$A:$G,3,0),"")</f>
        <v/>
      </c>
      <c r="C862" s="40"/>
      <c r="D862" s="41"/>
      <c r="E862" s="41"/>
      <c r="F862" s="41"/>
      <c r="G862" s="42"/>
      <c r="H862" s="43"/>
      <c r="I862" s="42"/>
      <c r="J862" s="44"/>
      <c r="K862" s="44"/>
      <c r="L862" s="44"/>
      <c r="M862" s="45" t="str">
        <f t="shared" si="32"/>
        <v>Pass</v>
      </c>
      <c r="N862" s="46" t="str">
        <f>IFERROR(VLOOKUP(D862,'[1]Product Datasheet'!$A:$G,4,0),"")</f>
        <v/>
      </c>
      <c r="O862" s="47" t="str">
        <f>IFERROR(VLOOKUP(D862,'[1]Product Datasheet'!$A:$G,5,0),"")</f>
        <v/>
      </c>
      <c r="P862" s="47" t="str">
        <f>IFERROR(VLOOKUP(D862,'[1]Product Datasheet'!$A:$G,6,0),"")</f>
        <v/>
      </c>
      <c r="Q862" s="47" t="str">
        <f>IFERROR(VLOOKUP(D862,'[1]Product Datasheet'!$A:$G,7,0), "")</f>
        <v/>
      </c>
      <c r="R862" s="48"/>
      <c r="S862" s="49" t="str">
        <f t="shared" si="33"/>
        <v>Accept</v>
      </c>
      <c r="T862" s="50"/>
      <c r="U862" s="51"/>
    </row>
    <row r="863" spans="1:21" ht="24.75" customHeight="1" x14ac:dyDescent="0.3">
      <c r="A863" s="38" t="str">
        <f>IFERROR(VLOOKUP(D863,'[1]Product Datasheet'!$A:$G,2,0),"")</f>
        <v/>
      </c>
      <c r="B863" s="39" t="str">
        <f>IFERROR(VLOOKUP(D863,'[1]Product Datasheet'!$A:$G,3,0),"")</f>
        <v/>
      </c>
      <c r="C863" s="40"/>
      <c r="D863" s="41"/>
      <c r="E863" s="41"/>
      <c r="F863" s="41"/>
      <c r="G863" s="42"/>
      <c r="H863" s="43"/>
      <c r="I863" s="42"/>
      <c r="J863" s="44"/>
      <c r="K863" s="44"/>
      <c r="L863" s="44"/>
      <c r="M863" s="45" t="str">
        <f t="shared" si="32"/>
        <v>Pass</v>
      </c>
      <c r="N863" s="46" t="str">
        <f>IFERROR(VLOOKUP(D863,'[1]Product Datasheet'!$A:$G,4,0),"")</f>
        <v/>
      </c>
      <c r="O863" s="47" t="str">
        <f>IFERROR(VLOOKUP(D863,'[1]Product Datasheet'!$A:$G,5,0),"")</f>
        <v/>
      </c>
      <c r="P863" s="47" t="str">
        <f>IFERROR(VLOOKUP(D863,'[1]Product Datasheet'!$A:$G,6,0),"")</f>
        <v/>
      </c>
      <c r="Q863" s="47" t="str">
        <f>IFERROR(VLOOKUP(D863,'[1]Product Datasheet'!$A:$G,7,0), "")</f>
        <v/>
      </c>
      <c r="R863" s="48"/>
      <c r="S863" s="49" t="str">
        <f t="shared" si="33"/>
        <v>Accept</v>
      </c>
      <c r="T863" s="50"/>
      <c r="U863" s="51"/>
    </row>
    <row r="864" spans="1:21" ht="24.75" customHeight="1" x14ac:dyDescent="0.3">
      <c r="A864" s="38" t="str">
        <f>IFERROR(VLOOKUP(D864,'[1]Product Datasheet'!$A:$G,2,0),"")</f>
        <v/>
      </c>
      <c r="B864" s="39" t="str">
        <f>IFERROR(VLOOKUP(D864,'[1]Product Datasheet'!$A:$G,3,0),"")</f>
        <v/>
      </c>
      <c r="C864" s="40"/>
      <c r="D864" s="41"/>
      <c r="E864" s="41"/>
      <c r="F864" s="41"/>
      <c r="G864" s="42"/>
      <c r="H864" s="43"/>
      <c r="I864" s="42"/>
      <c r="J864" s="44"/>
      <c r="K864" s="44"/>
      <c r="L864" s="44"/>
      <c r="M864" s="45" t="str">
        <f t="shared" si="32"/>
        <v>Pass</v>
      </c>
      <c r="N864" s="46" t="str">
        <f>IFERROR(VLOOKUP(D864,'[1]Product Datasheet'!$A:$G,4,0),"")</f>
        <v/>
      </c>
      <c r="O864" s="47" t="str">
        <f>IFERROR(VLOOKUP(D864,'[1]Product Datasheet'!$A:$G,5,0),"")</f>
        <v/>
      </c>
      <c r="P864" s="47" t="str">
        <f>IFERROR(VLOOKUP(D864,'[1]Product Datasheet'!$A:$G,6,0),"")</f>
        <v/>
      </c>
      <c r="Q864" s="47" t="str">
        <f>IFERROR(VLOOKUP(D864,'[1]Product Datasheet'!$A:$G,7,0), "")</f>
        <v/>
      </c>
      <c r="R864" s="48"/>
      <c r="S864" s="49" t="str">
        <f t="shared" si="33"/>
        <v>Accept</v>
      </c>
      <c r="T864" s="50"/>
      <c r="U864" s="51"/>
    </row>
    <row r="865" spans="1:21" ht="24.75" customHeight="1" x14ac:dyDescent="0.3">
      <c r="A865" s="38" t="str">
        <f>IFERROR(VLOOKUP(D865,'[1]Product Datasheet'!$A:$G,2,0),"")</f>
        <v/>
      </c>
      <c r="B865" s="39" t="str">
        <f>IFERROR(VLOOKUP(D865,'[1]Product Datasheet'!$A:$G,3,0),"")</f>
        <v/>
      </c>
      <c r="C865" s="40"/>
      <c r="D865" s="41"/>
      <c r="E865" s="41"/>
      <c r="F865" s="41"/>
      <c r="G865" s="42"/>
      <c r="H865" s="43"/>
      <c r="I865" s="42"/>
      <c r="J865" s="44"/>
      <c r="K865" s="44"/>
      <c r="L865" s="44"/>
      <c r="M865" s="45" t="str">
        <f t="shared" si="32"/>
        <v>Pass</v>
      </c>
      <c r="N865" s="46" t="str">
        <f>IFERROR(VLOOKUP(D865,'[1]Product Datasheet'!$A:$G,4,0),"")</f>
        <v/>
      </c>
      <c r="O865" s="47" t="str">
        <f>IFERROR(VLOOKUP(D865,'[1]Product Datasheet'!$A:$G,5,0),"")</f>
        <v/>
      </c>
      <c r="P865" s="47" t="str">
        <f>IFERROR(VLOOKUP(D865,'[1]Product Datasheet'!$A:$G,6,0),"")</f>
        <v/>
      </c>
      <c r="Q865" s="47" t="str">
        <f>IFERROR(VLOOKUP(D865,'[1]Product Datasheet'!$A:$G,7,0), "")</f>
        <v/>
      </c>
      <c r="R865" s="48"/>
      <c r="S865" s="49" t="str">
        <f t="shared" si="33"/>
        <v>Accept</v>
      </c>
      <c r="T865" s="50"/>
      <c r="U865" s="51"/>
    </row>
    <row r="866" spans="1:21" ht="24.75" customHeight="1" x14ac:dyDescent="0.3">
      <c r="A866" s="38" t="str">
        <f>IFERROR(VLOOKUP(D866,'[1]Product Datasheet'!$A:$G,2,0),"")</f>
        <v/>
      </c>
      <c r="B866" s="39" t="str">
        <f>IFERROR(VLOOKUP(D866,'[1]Product Datasheet'!$A:$G,3,0),"")</f>
        <v/>
      </c>
      <c r="C866" s="40"/>
      <c r="D866" s="41"/>
      <c r="E866" s="41"/>
      <c r="F866" s="41"/>
      <c r="G866" s="42"/>
      <c r="H866" s="43"/>
      <c r="I866" s="42"/>
      <c r="J866" s="44"/>
      <c r="K866" s="44"/>
      <c r="L866" s="44"/>
      <c r="M866" s="45" t="str">
        <f t="shared" si="32"/>
        <v>Pass</v>
      </c>
      <c r="N866" s="46" t="str">
        <f>IFERROR(VLOOKUP(D866,'[1]Product Datasheet'!$A:$G,4,0),"")</f>
        <v/>
      </c>
      <c r="O866" s="47" t="str">
        <f>IFERROR(VLOOKUP(D866,'[1]Product Datasheet'!$A:$G,5,0),"")</f>
        <v/>
      </c>
      <c r="P866" s="47" t="str">
        <f>IFERROR(VLOOKUP(D866,'[1]Product Datasheet'!$A:$G,6,0),"")</f>
        <v/>
      </c>
      <c r="Q866" s="47" t="str">
        <f>IFERROR(VLOOKUP(D866,'[1]Product Datasheet'!$A:$G,7,0), "")</f>
        <v/>
      </c>
      <c r="R866" s="48"/>
      <c r="S866" s="49" t="str">
        <f t="shared" si="33"/>
        <v>Accept</v>
      </c>
      <c r="T866" s="50"/>
      <c r="U866" s="51"/>
    </row>
    <row r="867" spans="1:21" ht="24.75" customHeight="1" x14ac:dyDescent="0.3">
      <c r="A867" s="38" t="str">
        <f>IFERROR(VLOOKUP(D867,'[1]Product Datasheet'!$A:$G,2,0),"")</f>
        <v/>
      </c>
      <c r="B867" s="39" t="str">
        <f>IFERROR(VLOOKUP(D867,'[1]Product Datasheet'!$A:$G,3,0),"")</f>
        <v/>
      </c>
      <c r="C867" s="40"/>
      <c r="D867" s="41"/>
      <c r="E867" s="41"/>
      <c r="F867" s="41"/>
      <c r="G867" s="42"/>
      <c r="H867" s="43"/>
      <c r="I867" s="42"/>
      <c r="J867" s="44"/>
      <c r="K867" s="44"/>
      <c r="L867" s="44"/>
      <c r="M867" s="45" t="str">
        <f t="shared" si="32"/>
        <v>Pass</v>
      </c>
      <c r="N867" s="46" t="str">
        <f>IFERROR(VLOOKUP(D867,'[1]Product Datasheet'!$A:$G,4,0),"")</f>
        <v/>
      </c>
      <c r="O867" s="47" t="str">
        <f>IFERROR(VLOOKUP(D867,'[1]Product Datasheet'!$A:$G,5,0),"")</f>
        <v/>
      </c>
      <c r="P867" s="47" t="str">
        <f>IFERROR(VLOOKUP(D867,'[1]Product Datasheet'!$A:$G,6,0),"")</f>
        <v/>
      </c>
      <c r="Q867" s="47" t="str">
        <f>IFERROR(VLOOKUP(D867,'[1]Product Datasheet'!$A:$G,7,0), "")</f>
        <v/>
      </c>
      <c r="R867" s="48"/>
      <c r="S867" s="49" t="str">
        <f t="shared" si="33"/>
        <v>Accept</v>
      </c>
      <c r="T867" s="50"/>
      <c r="U867" s="51"/>
    </row>
    <row r="868" spans="1:21" ht="24.75" customHeight="1" x14ac:dyDescent="0.3">
      <c r="A868" s="38" t="str">
        <f>IFERROR(VLOOKUP(D868,'[1]Product Datasheet'!$A:$G,2,0),"")</f>
        <v/>
      </c>
      <c r="B868" s="39" t="str">
        <f>IFERROR(VLOOKUP(D868,'[1]Product Datasheet'!$A:$G,3,0),"")</f>
        <v/>
      </c>
      <c r="C868" s="40"/>
      <c r="D868" s="41"/>
      <c r="E868" s="41"/>
      <c r="F868" s="41"/>
      <c r="G868" s="42"/>
      <c r="H868" s="43"/>
      <c r="I868" s="42"/>
      <c r="J868" s="44"/>
      <c r="K868" s="44"/>
      <c r="L868" s="44"/>
      <c r="M868" s="45" t="str">
        <f t="shared" si="32"/>
        <v>Pass</v>
      </c>
      <c r="N868" s="46" t="str">
        <f>IFERROR(VLOOKUP(D868,'[1]Product Datasheet'!$A:$G,4,0),"")</f>
        <v/>
      </c>
      <c r="O868" s="47" t="str">
        <f>IFERROR(VLOOKUP(D868,'[1]Product Datasheet'!$A:$G,5,0),"")</f>
        <v/>
      </c>
      <c r="P868" s="47" t="str">
        <f>IFERROR(VLOOKUP(D868,'[1]Product Datasheet'!$A:$G,6,0),"")</f>
        <v/>
      </c>
      <c r="Q868" s="47" t="str">
        <f>IFERROR(VLOOKUP(D868,'[1]Product Datasheet'!$A:$G,7,0), "")</f>
        <v/>
      </c>
      <c r="R868" s="48"/>
      <c r="S868" s="49" t="str">
        <f t="shared" si="33"/>
        <v>Accept</v>
      </c>
      <c r="T868" s="50"/>
      <c r="U868" s="51"/>
    </row>
    <row r="869" spans="1:21" ht="24.75" customHeight="1" x14ac:dyDescent="0.3">
      <c r="A869" s="38" t="str">
        <f>IFERROR(VLOOKUP(D869,'[1]Product Datasheet'!$A:$G,2,0),"")</f>
        <v/>
      </c>
      <c r="B869" s="39" t="str">
        <f>IFERROR(VLOOKUP(D869,'[1]Product Datasheet'!$A:$G,3,0),"")</f>
        <v/>
      </c>
      <c r="C869" s="40"/>
      <c r="D869" s="41"/>
      <c r="E869" s="41"/>
      <c r="F869" s="41"/>
      <c r="G869" s="42"/>
      <c r="H869" s="43"/>
      <c r="I869" s="42"/>
      <c r="J869" s="44"/>
      <c r="K869" s="44"/>
      <c r="L869" s="44"/>
      <c r="M869" s="45" t="str">
        <f t="shared" si="32"/>
        <v>Pass</v>
      </c>
      <c r="N869" s="46" t="str">
        <f>IFERROR(VLOOKUP(D869,'[1]Product Datasheet'!$A:$G,4,0),"")</f>
        <v/>
      </c>
      <c r="O869" s="47" t="str">
        <f>IFERROR(VLOOKUP(D869,'[1]Product Datasheet'!$A:$G,5,0),"")</f>
        <v/>
      </c>
      <c r="P869" s="47" t="str">
        <f>IFERROR(VLOOKUP(D869,'[1]Product Datasheet'!$A:$G,6,0),"")</f>
        <v/>
      </c>
      <c r="Q869" s="47" t="str">
        <f>IFERROR(VLOOKUP(D869,'[1]Product Datasheet'!$A:$G,7,0), "")</f>
        <v/>
      </c>
      <c r="R869" s="48"/>
      <c r="S869" s="49" t="str">
        <f t="shared" si="33"/>
        <v>Accept</v>
      </c>
      <c r="T869" s="50"/>
      <c r="U869" s="51"/>
    </row>
    <row r="870" spans="1:21" ht="24.75" customHeight="1" x14ac:dyDescent="0.3">
      <c r="A870" s="38" t="str">
        <f>IFERROR(VLOOKUP(D870,'[1]Product Datasheet'!$A:$G,2,0),"")</f>
        <v/>
      </c>
      <c r="B870" s="39" t="str">
        <f>IFERROR(VLOOKUP(D870,'[1]Product Datasheet'!$A:$G,3,0),"")</f>
        <v/>
      </c>
      <c r="C870" s="40"/>
      <c r="D870" s="41"/>
      <c r="E870" s="41"/>
      <c r="F870" s="41"/>
      <c r="G870" s="42"/>
      <c r="H870" s="43"/>
      <c r="I870" s="42"/>
      <c r="J870" s="44"/>
      <c r="K870" s="44"/>
      <c r="L870" s="44"/>
      <c r="M870" s="45" t="str">
        <f t="shared" si="32"/>
        <v>Pass</v>
      </c>
      <c r="N870" s="46" t="str">
        <f>IFERROR(VLOOKUP(D870,'[1]Product Datasheet'!$A:$G,4,0),"")</f>
        <v/>
      </c>
      <c r="O870" s="47" t="str">
        <f>IFERROR(VLOOKUP(D870,'[1]Product Datasheet'!$A:$G,5,0),"")</f>
        <v/>
      </c>
      <c r="P870" s="47" t="str">
        <f>IFERROR(VLOOKUP(D870,'[1]Product Datasheet'!$A:$G,6,0),"")</f>
        <v/>
      </c>
      <c r="Q870" s="47" t="str">
        <f>IFERROR(VLOOKUP(D870,'[1]Product Datasheet'!$A:$G,7,0), "")</f>
        <v/>
      </c>
      <c r="R870" s="48"/>
      <c r="S870" s="49" t="str">
        <f t="shared" si="33"/>
        <v>Accept</v>
      </c>
      <c r="T870" s="50"/>
      <c r="U870" s="51"/>
    </row>
    <row r="871" spans="1:21" ht="24.75" customHeight="1" x14ac:dyDescent="0.3">
      <c r="A871" s="38" t="str">
        <f>IFERROR(VLOOKUP(D871,'[1]Product Datasheet'!$A:$G,2,0),"")</f>
        <v/>
      </c>
      <c r="B871" s="39" t="str">
        <f>IFERROR(VLOOKUP(D871,'[1]Product Datasheet'!$A:$G,3,0),"")</f>
        <v/>
      </c>
      <c r="C871" s="40"/>
      <c r="D871" s="41"/>
      <c r="E871" s="41"/>
      <c r="F871" s="41"/>
      <c r="G871" s="42"/>
      <c r="H871" s="43"/>
      <c r="I871" s="42"/>
      <c r="J871" s="44"/>
      <c r="K871" s="44"/>
      <c r="L871" s="44"/>
      <c r="M871" s="45" t="str">
        <f t="shared" si="32"/>
        <v>Pass</v>
      </c>
      <c r="N871" s="46" t="str">
        <f>IFERROR(VLOOKUP(D871,'[1]Product Datasheet'!$A:$G,4,0),"")</f>
        <v/>
      </c>
      <c r="O871" s="47" t="str">
        <f>IFERROR(VLOOKUP(D871,'[1]Product Datasheet'!$A:$G,5,0),"")</f>
        <v/>
      </c>
      <c r="P871" s="47" t="str">
        <f>IFERROR(VLOOKUP(D871,'[1]Product Datasheet'!$A:$G,6,0),"")</f>
        <v/>
      </c>
      <c r="Q871" s="47" t="str">
        <f>IFERROR(VLOOKUP(D871,'[1]Product Datasheet'!$A:$G,7,0), "")</f>
        <v/>
      </c>
      <c r="R871" s="48"/>
      <c r="S871" s="49" t="str">
        <f t="shared" si="33"/>
        <v>Accept</v>
      </c>
      <c r="T871" s="50"/>
      <c r="U871" s="51"/>
    </row>
    <row r="872" spans="1:21" ht="24.75" customHeight="1" x14ac:dyDescent="0.3">
      <c r="A872" s="38" t="str">
        <f>IFERROR(VLOOKUP(D872,'[1]Product Datasheet'!$A:$G,2,0),"")</f>
        <v/>
      </c>
      <c r="B872" s="39" t="str">
        <f>IFERROR(VLOOKUP(D872,'[1]Product Datasheet'!$A:$G,3,0),"")</f>
        <v/>
      </c>
      <c r="C872" s="40"/>
      <c r="D872" s="41"/>
      <c r="E872" s="41"/>
      <c r="F872" s="41"/>
      <c r="G872" s="42"/>
      <c r="H872" s="43"/>
      <c r="I872" s="42"/>
      <c r="J872" s="44"/>
      <c r="K872" s="44"/>
      <c r="L872" s="44"/>
      <c r="M872" s="45" t="str">
        <f t="shared" si="32"/>
        <v>Pass</v>
      </c>
      <c r="N872" s="46" t="str">
        <f>IFERROR(VLOOKUP(D872,'[1]Product Datasheet'!$A:$G,4,0),"")</f>
        <v/>
      </c>
      <c r="O872" s="47" t="str">
        <f>IFERROR(VLOOKUP(D872,'[1]Product Datasheet'!$A:$G,5,0),"")</f>
        <v/>
      </c>
      <c r="P872" s="47" t="str">
        <f>IFERROR(VLOOKUP(D872,'[1]Product Datasheet'!$A:$G,6,0),"")</f>
        <v/>
      </c>
      <c r="Q872" s="47" t="str">
        <f>IFERROR(VLOOKUP(D872,'[1]Product Datasheet'!$A:$G,7,0), "")</f>
        <v/>
      </c>
      <c r="R872" s="48"/>
      <c r="S872" s="49" t="str">
        <f t="shared" si="33"/>
        <v>Accept</v>
      </c>
      <c r="T872" s="50"/>
      <c r="U872" s="51"/>
    </row>
    <row r="873" spans="1:21" ht="24.75" customHeight="1" x14ac:dyDescent="0.3">
      <c r="A873" s="38" t="str">
        <f>IFERROR(VLOOKUP(D873,'[1]Product Datasheet'!$A:$G,2,0),"")</f>
        <v/>
      </c>
      <c r="B873" s="39" t="str">
        <f>IFERROR(VLOOKUP(D873,'[1]Product Datasheet'!$A:$G,3,0),"")</f>
        <v/>
      </c>
      <c r="C873" s="40"/>
      <c r="D873" s="41"/>
      <c r="E873" s="41"/>
      <c r="F873" s="41"/>
      <c r="G873" s="42"/>
      <c r="H873" s="43"/>
      <c r="I873" s="42"/>
      <c r="J873" s="44"/>
      <c r="K873" s="44"/>
      <c r="L873" s="44"/>
      <c r="M873" s="45" t="str">
        <f t="shared" si="32"/>
        <v>Pass</v>
      </c>
      <c r="N873" s="46" t="str">
        <f>IFERROR(VLOOKUP(D873,'[1]Product Datasheet'!$A:$G,4,0),"")</f>
        <v/>
      </c>
      <c r="O873" s="47" t="str">
        <f>IFERROR(VLOOKUP(D873,'[1]Product Datasheet'!$A:$G,5,0),"")</f>
        <v/>
      </c>
      <c r="P873" s="47" t="str">
        <f>IFERROR(VLOOKUP(D873,'[1]Product Datasheet'!$A:$G,6,0),"")</f>
        <v/>
      </c>
      <c r="Q873" s="47" t="str">
        <f>IFERROR(VLOOKUP(D873,'[1]Product Datasheet'!$A:$G,7,0), "")</f>
        <v/>
      </c>
      <c r="R873" s="48"/>
      <c r="S873" s="49" t="str">
        <f t="shared" si="33"/>
        <v>Accept</v>
      </c>
      <c r="T873" s="50"/>
      <c r="U873" s="51"/>
    </row>
    <row r="874" spans="1:21" ht="24.75" customHeight="1" x14ac:dyDescent="0.3">
      <c r="A874" s="38" t="str">
        <f>IFERROR(VLOOKUP(D874,'[1]Product Datasheet'!$A:$G,2,0),"")</f>
        <v/>
      </c>
      <c r="B874" s="39" t="str">
        <f>IFERROR(VLOOKUP(D874,'[1]Product Datasheet'!$A:$G,3,0),"")</f>
        <v/>
      </c>
      <c r="C874" s="40"/>
      <c r="D874" s="41"/>
      <c r="E874" s="41"/>
      <c r="F874" s="41"/>
      <c r="G874" s="42"/>
      <c r="H874" s="43"/>
      <c r="I874" s="42"/>
      <c r="J874" s="44"/>
      <c r="K874" s="44"/>
      <c r="L874" s="44"/>
      <c r="M874" s="45" t="str">
        <f t="shared" si="32"/>
        <v>Pass</v>
      </c>
      <c r="N874" s="46" t="str">
        <f>IFERROR(VLOOKUP(D874,'[1]Product Datasheet'!$A:$G,4,0),"")</f>
        <v/>
      </c>
      <c r="O874" s="47" t="str">
        <f>IFERROR(VLOOKUP(D874,'[1]Product Datasheet'!$A:$G,5,0),"")</f>
        <v/>
      </c>
      <c r="P874" s="47" t="str">
        <f>IFERROR(VLOOKUP(D874,'[1]Product Datasheet'!$A:$G,6,0),"")</f>
        <v/>
      </c>
      <c r="Q874" s="47" t="str">
        <f>IFERROR(VLOOKUP(D874,'[1]Product Datasheet'!$A:$G,7,0), "")</f>
        <v/>
      </c>
      <c r="R874" s="48"/>
      <c r="S874" s="49" t="str">
        <f t="shared" si="33"/>
        <v>Accept</v>
      </c>
      <c r="T874" s="50"/>
      <c r="U874" s="51"/>
    </row>
    <row r="875" spans="1:21" ht="24.75" customHeight="1" x14ac:dyDescent="0.3">
      <c r="A875" s="38" t="str">
        <f>IFERROR(VLOOKUP(D875,'[1]Product Datasheet'!$A:$G,2,0),"")</f>
        <v/>
      </c>
      <c r="B875" s="39" t="str">
        <f>IFERROR(VLOOKUP(D875,'[1]Product Datasheet'!$A:$G,3,0),"")</f>
        <v/>
      </c>
      <c r="C875" s="40"/>
      <c r="D875" s="41"/>
      <c r="E875" s="41"/>
      <c r="F875" s="41"/>
      <c r="G875" s="42"/>
      <c r="H875" s="43"/>
      <c r="I875" s="42"/>
      <c r="J875" s="44"/>
      <c r="K875" s="44"/>
      <c r="L875" s="44"/>
      <c r="M875" s="45" t="str">
        <f t="shared" si="32"/>
        <v>Pass</v>
      </c>
      <c r="N875" s="46" t="str">
        <f>IFERROR(VLOOKUP(D875,'[1]Product Datasheet'!$A:$G,4,0),"")</f>
        <v/>
      </c>
      <c r="O875" s="47" t="str">
        <f>IFERROR(VLOOKUP(D875,'[1]Product Datasheet'!$A:$G,5,0),"")</f>
        <v/>
      </c>
      <c r="P875" s="47" t="str">
        <f>IFERROR(VLOOKUP(D875,'[1]Product Datasheet'!$A:$G,6,0),"")</f>
        <v/>
      </c>
      <c r="Q875" s="47" t="str">
        <f>IFERROR(VLOOKUP(D875,'[1]Product Datasheet'!$A:$G,7,0), "")</f>
        <v/>
      </c>
      <c r="R875" s="48"/>
      <c r="S875" s="49" t="str">
        <f t="shared" si="33"/>
        <v>Accept</v>
      </c>
      <c r="T875" s="50"/>
      <c r="U875" s="51"/>
    </row>
    <row r="876" spans="1:21" ht="24.75" customHeight="1" x14ac:dyDescent="0.3">
      <c r="A876" s="38" t="str">
        <f>IFERROR(VLOOKUP(D876,'[1]Product Datasheet'!$A:$G,2,0),"")</f>
        <v/>
      </c>
      <c r="B876" s="39" t="str">
        <f>IFERROR(VLOOKUP(D876,'[1]Product Datasheet'!$A:$G,3,0),"")</f>
        <v/>
      </c>
      <c r="C876" s="40"/>
      <c r="D876" s="41"/>
      <c r="E876" s="41"/>
      <c r="F876" s="41"/>
      <c r="G876" s="42"/>
      <c r="H876" s="43"/>
      <c r="I876" s="42"/>
      <c r="J876" s="44"/>
      <c r="K876" s="44"/>
      <c r="L876" s="44"/>
      <c r="M876" s="45" t="str">
        <f t="shared" si="32"/>
        <v>Pass</v>
      </c>
      <c r="N876" s="46" t="str">
        <f>IFERROR(VLOOKUP(D876,'[1]Product Datasheet'!$A:$G,4,0),"")</f>
        <v/>
      </c>
      <c r="O876" s="47" t="str">
        <f>IFERROR(VLOOKUP(D876,'[1]Product Datasheet'!$A:$G,5,0),"")</f>
        <v/>
      </c>
      <c r="P876" s="47" t="str">
        <f>IFERROR(VLOOKUP(D876,'[1]Product Datasheet'!$A:$G,6,0),"")</f>
        <v/>
      </c>
      <c r="Q876" s="47" t="str">
        <f>IFERROR(VLOOKUP(D876,'[1]Product Datasheet'!$A:$G,7,0), "")</f>
        <v/>
      </c>
      <c r="R876" s="48"/>
      <c r="S876" s="49" t="str">
        <f t="shared" si="33"/>
        <v>Accept</v>
      </c>
      <c r="T876" s="50"/>
      <c r="U876" s="51"/>
    </row>
    <row r="877" spans="1:21" ht="24.75" customHeight="1" x14ac:dyDescent="0.3">
      <c r="A877" s="38" t="str">
        <f>IFERROR(VLOOKUP(D877,'[1]Product Datasheet'!$A:$G,2,0),"")</f>
        <v/>
      </c>
      <c r="B877" s="39" t="str">
        <f>IFERROR(VLOOKUP(D877,'[1]Product Datasheet'!$A:$G,3,0),"")</f>
        <v/>
      </c>
      <c r="C877" s="40"/>
      <c r="D877" s="41"/>
      <c r="E877" s="41"/>
      <c r="F877" s="41"/>
      <c r="G877" s="42"/>
      <c r="H877" s="43"/>
      <c r="I877" s="42"/>
      <c r="J877" s="44"/>
      <c r="K877" s="44"/>
      <c r="L877" s="44"/>
      <c r="M877" s="45" t="str">
        <f t="shared" si="32"/>
        <v>Pass</v>
      </c>
      <c r="N877" s="46" t="str">
        <f>IFERROR(VLOOKUP(D877,'[1]Product Datasheet'!$A:$G,4,0),"")</f>
        <v/>
      </c>
      <c r="O877" s="47" t="str">
        <f>IFERROR(VLOOKUP(D877,'[1]Product Datasheet'!$A:$G,5,0),"")</f>
        <v/>
      </c>
      <c r="P877" s="47" t="str">
        <f>IFERROR(VLOOKUP(D877,'[1]Product Datasheet'!$A:$G,6,0),"")</f>
        <v/>
      </c>
      <c r="Q877" s="47" t="str">
        <f>IFERROR(VLOOKUP(D877,'[1]Product Datasheet'!$A:$G,7,0), "")</f>
        <v/>
      </c>
      <c r="R877" s="48"/>
      <c r="S877" s="49" t="str">
        <f t="shared" si="33"/>
        <v>Accept</v>
      </c>
      <c r="T877" s="50"/>
      <c r="U877" s="51"/>
    </row>
    <row r="878" spans="1:21" ht="24.75" customHeight="1" x14ac:dyDescent="0.3">
      <c r="A878" s="38" t="str">
        <f>IFERROR(VLOOKUP(D878,'[1]Product Datasheet'!$A:$G,2,0),"")</f>
        <v/>
      </c>
      <c r="B878" s="39" t="str">
        <f>IFERROR(VLOOKUP(D878,'[1]Product Datasheet'!$A:$G,3,0),"")</f>
        <v/>
      </c>
      <c r="C878" s="40"/>
      <c r="D878" s="41"/>
      <c r="E878" s="41"/>
      <c r="F878" s="41"/>
      <c r="G878" s="42"/>
      <c r="H878" s="43"/>
      <c r="I878" s="42"/>
      <c r="J878" s="44"/>
      <c r="K878" s="44"/>
      <c r="L878" s="44"/>
      <c r="M878" s="45" t="str">
        <f t="shared" si="32"/>
        <v>Pass</v>
      </c>
      <c r="N878" s="46" t="str">
        <f>IFERROR(VLOOKUP(D878,'[1]Product Datasheet'!$A:$G,4,0),"")</f>
        <v/>
      </c>
      <c r="O878" s="47" t="str">
        <f>IFERROR(VLOOKUP(D878,'[1]Product Datasheet'!$A:$G,5,0),"")</f>
        <v/>
      </c>
      <c r="P878" s="47" t="str">
        <f>IFERROR(VLOOKUP(D878,'[1]Product Datasheet'!$A:$G,6,0),"")</f>
        <v/>
      </c>
      <c r="Q878" s="47" t="str">
        <f>IFERROR(VLOOKUP(D878,'[1]Product Datasheet'!$A:$G,7,0), "")</f>
        <v/>
      </c>
      <c r="R878" s="48"/>
      <c r="S878" s="49" t="str">
        <f t="shared" si="33"/>
        <v>Accept</v>
      </c>
      <c r="T878" s="50"/>
      <c r="U878" s="51"/>
    </row>
    <row r="879" spans="1:21" ht="24.75" customHeight="1" x14ac:dyDescent="0.3">
      <c r="A879" s="38" t="str">
        <f>IFERROR(VLOOKUP(D879,'[1]Product Datasheet'!$A:$G,2,0),"")</f>
        <v/>
      </c>
      <c r="B879" s="39" t="str">
        <f>IFERROR(VLOOKUP(D879,'[1]Product Datasheet'!$A:$G,3,0),"")</f>
        <v/>
      </c>
      <c r="C879" s="40"/>
      <c r="D879" s="41"/>
      <c r="E879" s="41"/>
      <c r="F879" s="41"/>
      <c r="G879" s="42"/>
      <c r="H879" s="43"/>
      <c r="I879" s="42"/>
      <c r="J879" s="44"/>
      <c r="K879" s="44"/>
      <c r="L879" s="44"/>
      <c r="M879" s="45" t="str">
        <f t="shared" si="32"/>
        <v>Pass</v>
      </c>
      <c r="N879" s="46" t="str">
        <f>IFERROR(VLOOKUP(D879,'[1]Product Datasheet'!$A:$G,4,0),"")</f>
        <v/>
      </c>
      <c r="O879" s="47" t="str">
        <f>IFERROR(VLOOKUP(D879,'[1]Product Datasheet'!$A:$G,5,0),"")</f>
        <v/>
      </c>
      <c r="P879" s="47" t="str">
        <f>IFERROR(VLOOKUP(D879,'[1]Product Datasheet'!$A:$G,6,0),"")</f>
        <v/>
      </c>
      <c r="Q879" s="47" t="str">
        <f>IFERROR(VLOOKUP(D879,'[1]Product Datasheet'!$A:$G,7,0), "")</f>
        <v/>
      </c>
      <c r="R879" s="48"/>
      <c r="S879" s="49" t="str">
        <f t="shared" si="33"/>
        <v>Accept</v>
      </c>
      <c r="T879" s="50"/>
      <c r="U879" s="51"/>
    </row>
    <row r="880" spans="1:21" ht="24.75" customHeight="1" x14ac:dyDescent="0.3">
      <c r="A880" s="38" t="str">
        <f>IFERROR(VLOOKUP(D880,'[1]Product Datasheet'!$A:$G,2,0),"")</f>
        <v/>
      </c>
      <c r="B880" s="39" t="str">
        <f>IFERROR(VLOOKUP(D880,'[1]Product Datasheet'!$A:$G,3,0),"")</f>
        <v/>
      </c>
      <c r="C880" s="40"/>
      <c r="D880" s="41"/>
      <c r="E880" s="41"/>
      <c r="F880" s="41"/>
      <c r="G880" s="42"/>
      <c r="H880" s="43"/>
      <c r="I880" s="42"/>
      <c r="J880" s="44"/>
      <c r="K880" s="44"/>
      <c r="L880" s="44"/>
      <c r="M880" s="45" t="str">
        <f t="shared" si="32"/>
        <v>Pass</v>
      </c>
      <c r="N880" s="46" t="str">
        <f>IFERROR(VLOOKUP(D880,'[1]Product Datasheet'!$A:$G,4,0),"")</f>
        <v/>
      </c>
      <c r="O880" s="47" t="str">
        <f>IFERROR(VLOOKUP(D880,'[1]Product Datasheet'!$A:$G,5,0),"")</f>
        <v/>
      </c>
      <c r="P880" s="47" t="str">
        <f>IFERROR(VLOOKUP(D880,'[1]Product Datasheet'!$A:$G,6,0),"")</f>
        <v/>
      </c>
      <c r="Q880" s="47" t="str">
        <f>IFERROR(VLOOKUP(D880,'[1]Product Datasheet'!$A:$G,7,0), "")</f>
        <v/>
      </c>
      <c r="R880" s="48"/>
      <c r="S880" s="49" t="str">
        <f t="shared" si="33"/>
        <v>Accept</v>
      </c>
      <c r="T880" s="50"/>
      <c r="U880" s="51"/>
    </row>
    <row r="881" spans="1:21" ht="24.75" customHeight="1" x14ac:dyDescent="0.3">
      <c r="A881" s="38" t="str">
        <f>IFERROR(VLOOKUP(D881,'[1]Product Datasheet'!$A:$G,2,0),"")</f>
        <v/>
      </c>
      <c r="B881" s="39" t="str">
        <f>IFERROR(VLOOKUP(D881,'[1]Product Datasheet'!$A:$G,3,0),"")</f>
        <v/>
      </c>
      <c r="C881" s="40"/>
      <c r="D881" s="41"/>
      <c r="E881" s="41"/>
      <c r="F881" s="41"/>
      <c r="G881" s="42"/>
      <c r="H881" s="43"/>
      <c r="I881" s="42"/>
      <c r="J881" s="44"/>
      <c r="K881" s="44"/>
      <c r="L881" s="44"/>
      <c r="M881" s="45" t="str">
        <f t="shared" si="32"/>
        <v>Pass</v>
      </c>
      <c r="N881" s="46" t="str">
        <f>IFERROR(VLOOKUP(D881,'[1]Product Datasheet'!$A:$G,4,0),"")</f>
        <v/>
      </c>
      <c r="O881" s="47" t="str">
        <f>IFERROR(VLOOKUP(D881,'[1]Product Datasheet'!$A:$G,5,0),"")</f>
        <v/>
      </c>
      <c r="P881" s="47" t="str">
        <f>IFERROR(VLOOKUP(D881,'[1]Product Datasheet'!$A:$G,6,0),"")</f>
        <v/>
      </c>
      <c r="Q881" s="47" t="str">
        <f>IFERROR(VLOOKUP(D881,'[1]Product Datasheet'!$A:$G,7,0), "")</f>
        <v/>
      </c>
      <c r="R881" s="48"/>
      <c r="S881" s="49" t="str">
        <f t="shared" si="33"/>
        <v>Accept</v>
      </c>
      <c r="T881" s="50"/>
      <c r="U881" s="51"/>
    </row>
    <row r="882" spans="1:21" ht="24.75" customHeight="1" x14ac:dyDescent="0.3">
      <c r="A882" s="38" t="str">
        <f>IFERROR(VLOOKUP(D882,'[1]Product Datasheet'!$A:$G,2,0),"")</f>
        <v/>
      </c>
      <c r="B882" s="39" t="str">
        <f>IFERROR(VLOOKUP(D882,'[1]Product Datasheet'!$A:$G,3,0),"")</f>
        <v/>
      </c>
      <c r="C882" s="40"/>
      <c r="D882" s="41"/>
      <c r="E882" s="41"/>
      <c r="F882" s="41"/>
      <c r="G882" s="42"/>
      <c r="H882" s="43"/>
      <c r="I882" s="42"/>
      <c r="J882" s="44"/>
      <c r="K882" s="44"/>
      <c r="L882" s="44"/>
      <c r="M882" s="45" t="str">
        <f t="shared" si="32"/>
        <v>Pass</v>
      </c>
      <c r="N882" s="46" t="str">
        <f>IFERROR(VLOOKUP(D882,'[1]Product Datasheet'!$A:$G,4,0),"")</f>
        <v/>
      </c>
      <c r="O882" s="47" t="str">
        <f>IFERROR(VLOOKUP(D882,'[1]Product Datasheet'!$A:$G,5,0),"")</f>
        <v/>
      </c>
      <c r="P882" s="47" t="str">
        <f>IFERROR(VLOOKUP(D882,'[1]Product Datasheet'!$A:$G,6,0),"")</f>
        <v/>
      </c>
      <c r="Q882" s="47" t="str">
        <f>IFERROR(VLOOKUP(D882,'[1]Product Datasheet'!$A:$G,7,0), "")</f>
        <v/>
      </c>
      <c r="R882" s="48"/>
      <c r="S882" s="49" t="str">
        <f t="shared" si="33"/>
        <v>Accept</v>
      </c>
      <c r="T882" s="50"/>
      <c r="U882" s="51"/>
    </row>
    <row r="883" spans="1:21" ht="24.75" customHeight="1" x14ac:dyDescent="0.3">
      <c r="A883" s="38" t="str">
        <f>IFERROR(VLOOKUP(D883,'[1]Product Datasheet'!$A:$G,2,0),"")</f>
        <v/>
      </c>
      <c r="B883" s="39" t="str">
        <f>IFERROR(VLOOKUP(D883,'[1]Product Datasheet'!$A:$G,3,0),"")</f>
        <v/>
      </c>
      <c r="C883" s="40"/>
      <c r="D883" s="41"/>
      <c r="E883" s="41"/>
      <c r="F883" s="41"/>
      <c r="G883" s="42"/>
      <c r="H883" s="43"/>
      <c r="I883" s="42"/>
      <c r="J883" s="44"/>
      <c r="K883" s="44"/>
      <c r="L883" s="44"/>
      <c r="M883" s="45" t="str">
        <f t="shared" si="32"/>
        <v>Pass</v>
      </c>
      <c r="N883" s="46" t="str">
        <f>IFERROR(VLOOKUP(D883,'[1]Product Datasheet'!$A:$G,4,0),"")</f>
        <v/>
      </c>
      <c r="O883" s="47" t="str">
        <f>IFERROR(VLOOKUP(D883,'[1]Product Datasheet'!$A:$G,5,0),"")</f>
        <v/>
      </c>
      <c r="P883" s="47" t="str">
        <f>IFERROR(VLOOKUP(D883,'[1]Product Datasheet'!$A:$G,6,0),"")</f>
        <v/>
      </c>
      <c r="Q883" s="47" t="str">
        <f>IFERROR(VLOOKUP(D883,'[1]Product Datasheet'!$A:$G,7,0), "")</f>
        <v/>
      </c>
      <c r="R883" s="48"/>
      <c r="S883" s="49" t="str">
        <f t="shared" si="33"/>
        <v>Accept</v>
      </c>
      <c r="T883" s="50"/>
      <c r="U883" s="51"/>
    </row>
    <row r="884" spans="1:21" ht="24.75" customHeight="1" x14ac:dyDescent="0.3">
      <c r="A884" s="38" t="str">
        <f>IFERROR(VLOOKUP(D884,'[1]Product Datasheet'!$A:$G,2,0),"")</f>
        <v/>
      </c>
      <c r="B884" s="39" t="str">
        <f>IFERROR(VLOOKUP(D884,'[1]Product Datasheet'!$A:$G,3,0),"")</f>
        <v/>
      </c>
      <c r="C884" s="40"/>
      <c r="D884" s="41"/>
      <c r="E884" s="41"/>
      <c r="F884" s="41"/>
      <c r="G884" s="42"/>
      <c r="H884" s="43"/>
      <c r="I884" s="42"/>
      <c r="J884" s="44"/>
      <c r="K884" s="44"/>
      <c r="L884" s="44"/>
      <c r="M884" s="45" t="str">
        <f t="shared" si="32"/>
        <v>Pass</v>
      </c>
      <c r="N884" s="46" t="str">
        <f>IFERROR(VLOOKUP(D884,'[1]Product Datasheet'!$A:$G,4,0),"")</f>
        <v/>
      </c>
      <c r="O884" s="47" t="str">
        <f>IFERROR(VLOOKUP(D884,'[1]Product Datasheet'!$A:$G,5,0),"")</f>
        <v/>
      </c>
      <c r="P884" s="47" t="str">
        <f>IFERROR(VLOOKUP(D884,'[1]Product Datasheet'!$A:$G,6,0),"")</f>
        <v/>
      </c>
      <c r="Q884" s="47" t="str">
        <f>IFERROR(VLOOKUP(D884,'[1]Product Datasheet'!$A:$G,7,0), "")</f>
        <v/>
      </c>
      <c r="R884" s="48"/>
      <c r="S884" s="49" t="str">
        <f t="shared" si="33"/>
        <v>Accept</v>
      </c>
      <c r="T884" s="50"/>
      <c r="U884" s="51"/>
    </row>
    <row r="885" spans="1:21" ht="24.75" customHeight="1" x14ac:dyDescent="0.3">
      <c r="A885" s="38" t="str">
        <f>IFERROR(VLOOKUP(D885,'[1]Product Datasheet'!$A:$G,2,0),"")</f>
        <v/>
      </c>
      <c r="B885" s="39" t="str">
        <f>IFERROR(VLOOKUP(D885,'[1]Product Datasheet'!$A:$G,3,0),"")</f>
        <v/>
      </c>
      <c r="C885" s="40"/>
      <c r="D885" s="41"/>
      <c r="E885" s="41"/>
      <c r="F885" s="41"/>
      <c r="G885" s="42"/>
      <c r="H885" s="43"/>
      <c r="I885" s="42"/>
      <c r="J885" s="44"/>
      <c r="K885" s="44"/>
      <c r="L885" s="44"/>
      <c r="M885" s="45" t="str">
        <f t="shared" si="32"/>
        <v>Pass</v>
      </c>
      <c r="N885" s="46" t="str">
        <f>IFERROR(VLOOKUP(D885,'[1]Product Datasheet'!$A:$G,4,0),"")</f>
        <v/>
      </c>
      <c r="O885" s="47" t="str">
        <f>IFERROR(VLOOKUP(D885,'[1]Product Datasheet'!$A:$G,5,0),"")</f>
        <v/>
      </c>
      <c r="P885" s="47" t="str">
        <f>IFERROR(VLOOKUP(D885,'[1]Product Datasheet'!$A:$G,6,0),"")</f>
        <v/>
      </c>
      <c r="Q885" s="47" t="str">
        <f>IFERROR(VLOOKUP(D885,'[1]Product Datasheet'!$A:$G,7,0), "")</f>
        <v/>
      </c>
      <c r="R885" s="48"/>
      <c r="S885" s="49" t="str">
        <f t="shared" si="33"/>
        <v>Accept</v>
      </c>
      <c r="T885" s="50"/>
      <c r="U885" s="51"/>
    </row>
    <row r="886" spans="1:21" ht="24.75" customHeight="1" x14ac:dyDescent="0.3">
      <c r="A886" s="38" t="str">
        <f>IFERROR(VLOOKUP(D886,'[1]Product Datasheet'!$A:$G,2,0),"")</f>
        <v/>
      </c>
      <c r="B886" s="39" t="str">
        <f>IFERROR(VLOOKUP(D886,'[1]Product Datasheet'!$A:$G,3,0),"")</f>
        <v/>
      </c>
      <c r="C886" s="40"/>
      <c r="D886" s="41"/>
      <c r="E886" s="41"/>
      <c r="F886" s="41"/>
      <c r="G886" s="42"/>
      <c r="H886" s="43"/>
      <c r="I886" s="42"/>
      <c r="J886" s="44"/>
      <c r="K886" s="44"/>
      <c r="L886" s="44"/>
      <c r="M886" s="45" t="str">
        <f t="shared" si="32"/>
        <v>Pass</v>
      </c>
      <c r="N886" s="46" t="str">
        <f>IFERROR(VLOOKUP(D886,'[1]Product Datasheet'!$A:$G,4,0),"")</f>
        <v/>
      </c>
      <c r="O886" s="47" t="str">
        <f>IFERROR(VLOOKUP(D886,'[1]Product Datasheet'!$A:$G,5,0),"")</f>
        <v/>
      </c>
      <c r="P886" s="47" t="str">
        <f>IFERROR(VLOOKUP(D886,'[1]Product Datasheet'!$A:$G,6,0),"")</f>
        <v/>
      </c>
      <c r="Q886" s="47" t="str">
        <f>IFERROR(VLOOKUP(D886,'[1]Product Datasheet'!$A:$G,7,0), "")</f>
        <v/>
      </c>
      <c r="R886" s="48"/>
      <c r="S886" s="49" t="str">
        <f t="shared" si="33"/>
        <v>Accept</v>
      </c>
      <c r="T886" s="50"/>
      <c r="U886" s="51"/>
    </row>
    <row r="887" spans="1:21" ht="24.75" customHeight="1" x14ac:dyDescent="0.3">
      <c r="A887" s="38" t="str">
        <f>IFERROR(VLOOKUP(D887,'[1]Product Datasheet'!$A:$G,2,0),"")</f>
        <v/>
      </c>
      <c r="B887" s="39" t="str">
        <f>IFERROR(VLOOKUP(D887,'[1]Product Datasheet'!$A:$G,3,0),"")</f>
        <v/>
      </c>
      <c r="C887" s="40"/>
      <c r="D887" s="41"/>
      <c r="E887" s="41"/>
      <c r="F887" s="41"/>
      <c r="G887" s="42"/>
      <c r="H887" s="43"/>
      <c r="I887" s="42"/>
      <c r="J887" s="44"/>
      <c r="K887" s="44"/>
      <c r="L887" s="44"/>
      <c r="M887" s="45" t="str">
        <f t="shared" si="32"/>
        <v>Pass</v>
      </c>
      <c r="N887" s="46" t="str">
        <f>IFERROR(VLOOKUP(D887,'[1]Product Datasheet'!$A:$G,4,0),"")</f>
        <v/>
      </c>
      <c r="O887" s="47" t="str">
        <f>IFERROR(VLOOKUP(D887,'[1]Product Datasheet'!$A:$G,5,0),"")</f>
        <v/>
      </c>
      <c r="P887" s="47" t="str">
        <f>IFERROR(VLOOKUP(D887,'[1]Product Datasheet'!$A:$G,6,0),"")</f>
        <v/>
      </c>
      <c r="Q887" s="47" t="str">
        <f>IFERROR(VLOOKUP(D887,'[1]Product Datasheet'!$A:$G,7,0), "")</f>
        <v/>
      </c>
      <c r="R887" s="48"/>
      <c r="S887" s="49" t="str">
        <f t="shared" si="33"/>
        <v>Accept</v>
      </c>
      <c r="T887" s="50"/>
      <c r="U887" s="51"/>
    </row>
    <row r="888" spans="1:21" ht="24.75" customHeight="1" x14ac:dyDescent="0.3">
      <c r="A888" s="38" t="str">
        <f>IFERROR(VLOOKUP(D888,'[1]Product Datasheet'!$A:$G,2,0),"")</f>
        <v/>
      </c>
      <c r="B888" s="39" t="str">
        <f>IFERROR(VLOOKUP(D888,'[1]Product Datasheet'!$A:$G,3,0),"")</f>
        <v/>
      </c>
      <c r="C888" s="40"/>
      <c r="D888" s="41"/>
      <c r="E888" s="41"/>
      <c r="F888" s="41"/>
      <c r="G888" s="42"/>
      <c r="H888" s="43"/>
      <c r="I888" s="42"/>
      <c r="J888" s="44"/>
      <c r="K888" s="44"/>
      <c r="L888" s="44"/>
      <c r="M888" s="45" t="str">
        <f t="shared" si="32"/>
        <v>Pass</v>
      </c>
      <c r="N888" s="46" t="str">
        <f>IFERROR(VLOOKUP(D888,'[1]Product Datasheet'!$A:$G,4,0),"")</f>
        <v/>
      </c>
      <c r="O888" s="47" t="str">
        <f>IFERROR(VLOOKUP(D888,'[1]Product Datasheet'!$A:$G,5,0),"")</f>
        <v/>
      </c>
      <c r="P888" s="47" t="str">
        <f>IFERROR(VLOOKUP(D888,'[1]Product Datasheet'!$A:$G,6,0),"")</f>
        <v/>
      </c>
      <c r="Q888" s="47" t="str">
        <f>IFERROR(VLOOKUP(D888,'[1]Product Datasheet'!$A:$G,7,0), "")</f>
        <v/>
      </c>
      <c r="R888" s="48"/>
      <c r="S888" s="49" t="str">
        <f t="shared" si="33"/>
        <v>Accept</v>
      </c>
      <c r="T888" s="50"/>
      <c r="U888" s="51"/>
    </row>
    <row r="889" spans="1:21" ht="24.75" customHeight="1" x14ac:dyDescent="0.3">
      <c r="A889" s="38" t="str">
        <f>IFERROR(VLOOKUP(D889,'[1]Product Datasheet'!$A:$G,2,0),"")</f>
        <v/>
      </c>
      <c r="B889" s="39" t="str">
        <f>IFERROR(VLOOKUP(D889,'[1]Product Datasheet'!$A:$G,3,0),"")</f>
        <v/>
      </c>
      <c r="C889" s="40"/>
      <c r="D889" s="41"/>
      <c r="E889" s="41"/>
      <c r="F889" s="41"/>
      <c r="G889" s="42"/>
      <c r="H889" s="43"/>
      <c r="I889" s="42"/>
      <c r="J889" s="44"/>
      <c r="K889" s="44"/>
      <c r="L889" s="44"/>
      <c r="M889" s="45" t="str">
        <f t="shared" si="32"/>
        <v>Pass</v>
      </c>
      <c r="N889" s="46" t="str">
        <f>IFERROR(VLOOKUP(D889,'[1]Product Datasheet'!$A:$G,4,0),"")</f>
        <v/>
      </c>
      <c r="O889" s="47" t="str">
        <f>IFERROR(VLOOKUP(D889,'[1]Product Datasheet'!$A:$G,5,0),"")</f>
        <v/>
      </c>
      <c r="P889" s="47" t="str">
        <f>IFERROR(VLOOKUP(D889,'[1]Product Datasheet'!$A:$G,6,0),"")</f>
        <v/>
      </c>
      <c r="Q889" s="47" t="str">
        <f>IFERROR(VLOOKUP(D889,'[1]Product Datasheet'!$A:$G,7,0), "")</f>
        <v/>
      </c>
      <c r="R889" s="48"/>
      <c r="S889" s="49" t="str">
        <f t="shared" si="33"/>
        <v>Accept</v>
      </c>
      <c r="T889" s="50"/>
      <c r="U889" s="51"/>
    </row>
    <row r="890" spans="1:21" ht="24.75" customHeight="1" x14ac:dyDescent="0.3">
      <c r="A890" s="38" t="str">
        <f>IFERROR(VLOOKUP(D890,'[1]Product Datasheet'!$A:$G,2,0),"")</f>
        <v/>
      </c>
      <c r="B890" s="39" t="str">
        <f>IFERROR(VLOOKUP(D890,'[1]Product Datasheet'!$A:$G,3,0),"")</f>
        <v/>
      </c>
      <c r="C890" s="40"/>
      <c r="D890" s="41"/>
      <c r="E890" s="41"/>
      <c r="F890" s="41"/>
      <c r="G890" s="42"/>
      <c r="H890" s="43"/>
      <c r="I890" s="42"/>
      <c r="J890" s="44"/>
      <c r="K890" s="44"/>
      <c r="L890" s="44"/>
      <c r="M890" s="45" t="str">
        <f t="shared" si="32"/>
        <v>Pass</v>
      </c>
      <c r="N890" s="46" t="str">
        <f>IFERROR(VLOOKUP(D890,'[1]Product Datasheet'!$A:$G,4,0),"")</f>
        <v/>
      </c>
      <c r="O890" s="47" t="str">
        <f>IFERROR(VLOOKUP(D890,'[1]Product Datasheet'!$A:$G,5,0),"")</f>
        <v/>
      </c>
      <c r="P890" s="47" t="str">
        <f>IFERROR(VLOOKUP(D890,'[1]Product Datasheet'!$A:$G,6,0),"")</f>
        <v/>
      </c>
      <c r="Q890" s="47" t="str">
        <f>IFERROR(VLOOKUP(D890,'[1]Product Datasheet'!$A:$G,7,0), "")</f>
        <v/>
      </c>
      <c r="R890" s="48"/>
      <c r="S890" s="49" t="str">
        <f t="shared" si="33"/>
        <v>Accept</v>
      </c>
      <c r="T890" s="50"/>
      <c r="U890" s="51"/>
    </row>
    <row r="891" spans="1:21" ht="24.75" customHeight="1" x14ac:dyDescent="0.3">
      <c r="A891" s="38" t="str">
        <f>IFERROR(VLOOKUP(D891,'[1]Product Datasheet'!$A:$G,2,0),"")</f>
        <v/>
      </c>
      <c r="B891" s="39" t="str">
        <f>IFERROR(VLOOKUP(D891,'[1]Product Datasheet'!$A:$G,3,0),"")</f>
        <v/>
      </c>
      <c r="C891" s="40"/>
      <c r="D891" s="41"/>
      <c r="E891" s="41"/>
      <c r="F891" s="41"/>
      <c r="G891" s="42"/>
      <c r="H891" s="43"/>
      <c r="I891" s="42"/>
      <c r="J891" s="44"/>
      <c r="K891" s="44"/>
      <c r="L891" s="44"/>
      <c r="M891" s="45" t="str">
        <f t="shared" si="32"/>
        <v>Pass</v>
      </c>
      <c r="N891" s="46" t="str">
        <f>IFERROR(VLOOKUP(D891,'[1]Product Datasheet'!$A:$G,4,0),"")</f>
        <v/>
      </c>
      <c r="O891" s="47" t="str">
        <f>IFERROR(VLOOKUP(D891,'[1]Product Datasheet'!$A:$G,5,0),"")</f>
        <v/>
      </c>
      <c r="P891" s="47" t="str">
        <f>IFERROR(VLOOKUP(D891,'[1]Product Datasheet'!$A:$G,6,0),"")</f>
        <v/>
      </c>
      <c r="Q891" s="47" t="str">
        <f>IFERROR(VLOOKUP(D891,'[1]Product Datasheet'!$A:$G,7,0), "")</f>
        <v/>
      </c>
      <c r="R891" s="48"/>
      <c r="S891" s="49" t="str">
        <f t="shared" si="33"/>
        <v>Accept</v>
      </c>
      <c r="T891" s="50"/>
      <c r="U891" s="51"/>
    </row>
    <row r="892" spans="1:21" ht="24.75" customHeight="1" x14ac:dyDescent="0.3">
      <c r="A892" s="38" t="str">
        <f>IFERROR(VLOOKUP(D892,'[1]Product Datasheet'!$A:$G,2,0),"")</f>
        <v/>
      </c>
      <c r="B892" s="39" t="str">
        <f>IFERROR(VLOOKUP(D892,'[1]Product Datasheet'!$A:$G,3,0),"")</f>
        <v/>
      </c>
      <c r="C892" s="40"/>
      <c r="D892" s="41"/>
      <c r="E892" s="41"/>
      <c r="F892" s="41"/>
      <c r="G892" s="42"/>
      <c r="H892" s="43"/>
      <c r="I892" s="42"/>
      <c r="J892" s="44"/>
      <c r="K892" s="44"/>
      <c r="L892" s="44"/>
      <c r="M892" s="45" t="str">
        <f t="shared" si="32"/>
        <v>Pass</v>
      </c>
      <c r="N892" s="46" t="str">
        <f>IFERROR(VLOOKUP(D892,'[1]Product Datasheet'!$A:$G,4,0),"")</f>
        <v/>
      </c>
      <c r="O892" s="47" t="str">
        <f>IFERROR(VLOOKUP(D892,'[1]Product Datasheet'!$A:$G,5,0),"")</f>
        <v/>
      </c>
      <c r="P892" s="47" t="str">
        <f>IFERROR(VLOOKUP(D892,'[1]Product Datasheet'!$A:$G,6,0),"")</f>
        <v/>
      </c>
      <c r="Q892" s="47" t="str">
        <f>IFERROR(VLOOKUP(D892,'[1]Product Datasheet'!$A:$G,7,0), "")</f>
        <v/>
      </c>
      <c r="R892" s="48"/>
      <c r="S892" s="49" t="str">
        <f t="shared" si="33"/>
        <v>Accept</v>
      </c>
      <c r="T892" s="50"/>
      <c r="U892" s="51"/>
    </row>
    <row r="893" spans="1:21" ht="24.75" customHeight="1" x14ac:dyDescent="0.3">
      <c r="A893" s="38" t="str">
        <f>IFERROR(VLOOKUP(D893,'[1]Product Datasheet'!$A:$G,2,0),"")</f>
        <v/>
      </c>
      <c r="B893" s="39" t="str">
        <f>IFERROR(VLOOKUP(D893,'[1]Product Datasheet'!$A:$G,3,0),"")</f>
        <v/>
      </c>
      <c r="C893" s="40"/>
      <c r="D893" s="41"/>
      <c r="E893" s="41"/>
      <c r="F893" s="41"/>
      <c r="G893" s="42"/>
      <c r="H893" s="43"/>
      <c r="I893" s="42"/>
      <c r="J893" s="44"/>
      <c r="K893" s="44"/>
      <c r="L893" s="44"/>
      <c r="M893" s="45" t="str">
        <f t="shared" si="32"/>
        <v>Pass</v>
      </c>
      <c r="N893" s="46" t="str">
        <f>IFERROR(VLOOKUP(D893,'[1]Product Datasheet'!$A:$G,4,0),"")</f>
        <v/>
      </c>
      <c r="O893" s="47" t="str">
        <f>IFERROR(VLOOKUP(D893,'[1]Product Datasheet'!$A:$G,5,0),"")</f>
        <v/>
      </c>
      <c r="P893" s="47" t="str">
        <f>IFERROR(VLOOKUP(D893,'[1]Product Datasheet'!$A:$G,6,0),"")</f>
        <v/>
      </c>
      <c r="Q893" s="47" t="str">
        <f>IFERROR(VLOOKUP(D893,'[1]Product Datasheet'!$A:$G,7,0), "")</f>
        <v/>
      </c>
      <c r="R893" s="48"/>
      <c r="S893" s="49" t="str">
        <f t="shared" si="33"/>
        <v>Accept</v>
      </c>
      <c r="T893" s="50"/>
      <c r="U893" s="51"/>
    </row>
    <row r="894" spans="1:21" ht="24.75" customHeight="1" x14ac:dyDescent="0.3">
      <c r="A894" s="38" t="str">
        <f>IFERROR(VLOOKUP(D894,'[1]Product Datasheet'!$A:$G,2,0),"")</f>
        <v/>
      </c>
      <c r="B894" s="39" t="str">
        <f>IFERROR(VLOOKUP(D894,'[1]Product Datasheet'!$A:$G,3,0),"")</f>
        <v/>
      </c>
      <c r="C894" s="40"/>
      <c r="D894" s="41"/>
      <c r="E894" s="41"/>
      <c r="F894" s="41"/>
      <c r="G894" s="42"/>
      <c r="H894" s="43"/>
      <c r="I894" s="42"/>
      <c r="J894" s="44"/>
      <c r="K894" s="44"/>
      <c r="L894" s="44"/>
      <c r="M894" s="45" t="str">
        <f t="shared" si="32"/>
        <v>Pass</v>
      </c>
      <c r="N894" s="46" t="str">
        <f>IFERROR(VLOOKUP(D894,'[1]Product Datasheet'!$A:$G,4,0),"")</f>
        <v/>
      </c>
      <c r="O894" s="47" t="str">
        <f>IFERROR(VLOOKUP(D894,'[1]Product Datasheet'!$A:$G,5,0),"")</f>
        <v/>
      </c>
      <c r="P894" s="47" t="str">
        <f>IFERROR(VLOOKUP(D894,'[1]Product Datasheet'!$A:$G,6,0),"")</f>
        <v/>
      </c>
      <c r="Q894" s="47" t="str">
        <f>IFERROR(VLOOKUP(D894,'[1]Product Datasheet'!$A:$G,7,0), "")</f>
        <v/>
      </c>
      <c r="R894" s="48"/>
      <c r="S894" s="49" t="str">
        <f t="shared" si="33"/>
        <v>Accept</v>
      </c>
      <c r="T894" s="50"/>
      <c r="U894" s="51"/>
    </row>
    <row r="895" spans="1:21" ht="24.75" customHeight="1" x14ac:dyDescent="0.3">
      <c r="A895" s="38" t="str">
        <f>IFERROR(VLOOKUP(D895,'[1]Product Datasheet'!$A:$G,2,0),"")</f>
        <v/>
      </c>
      <c r="B895" s="39" t="str">
        <f>IFERROR(VLOOKUP(D895,'[1]Product Datasheet'!$A:$G,3,0),"")</f>
        <v/>
      </c>
      <c r="C895" s="40"/>
      <c r="D895" s="41"/>
      <c r="E895" s="41"/>
      <c r="F895" s="41"/>
      <c r="G895" s="42"/>
      <c r="H895" s="43"/>
      <c r="I895" s="42"/>
      <c r="J895" s="44"/>
      <c r="K895" s="44"/>
      <c r="L895" s="44"/>
      <c r="M895" s="45" t="str">
        <f t="shared" si="32"/>
        <v>Pass</v>
      </c>
      <c r="N895" s="46" t="str">
        <f>IFERROR(VLOOKUP(D895,'[1]Product Datasheet'!$A:$G,4,0),"")</f>
        <v/>
      </c>
      <c r="O895" s="47" t="str">
        <f>IFERROR(VLOOKUP(D895,'[1]Product Datasheet'!$A:$G,5,0),"")</f>
        <v/>
      </c>
      <c r="P895" s="47" t="str">
        <f>IFERROR(VLOOKUP(D895,'[1]Product Datasheet'!$A:$G,6,0),"")</f>
        <v/>
      </c>
      <c r="Q895" s="47" t="str">
        <f>IFERROR(VLOOKUP(D895,'[1]Product Datasheet'!$A:$G,7,0), "")</f>
        <v/>
      </c>
      <c r="R895" s="48"/>
      <c r="S895" s="49" t="str">
        <f t="shared" si="33"/>
        <v>Accept</v>
      </c>
      <c r="T895" s="50"/>
      <c r="U895" s="51"/>
    </row>
    <row r="896" spans="1:21" ht="24.75" customHeight="1" x14ac:dyDescent="0.3">
      <c r="A896" s="38" t="str">
        <f>IFERROR(VLOOKUP(D896,'[1]Product Datasheet'!$A:$G,2,0),"")</f>
        <v/>
      </c>
      <c r="B896" s="39" t="str">
        <f>IFERROR(VLOOKUP(D896,'[1]Product Datasheet'!$A:$G,3,0),"")</f>
        <v/>
      </c>
      <c r="C896" s="40"/>
      <c r="D896" s="41"/>
      <c r="E896" s="41"/>
      <c r="F896" s="41"/>
      <c r="G896" s="42"/>
      <c r="H896" s="43"/>
      <c r="I896" s="42"/>
      <c r="J896" s="44"/>
      <c r="K896" s="44"/>
      <c r="L896" s="44"/>
      <c r="M896" s="45" t="str">
        <f t="shared" si="32"/>
        <v>Pass</v>
      </c>
      <c r="N896" s="46" t="str">
        <f>IFERROR(VLOOKUP(D896,'[1]Product Datasheet'!$A:$G,4,0),"")</f>
        <v/>
      </c>
      <c r="O896" s="47" t="str">
        <f>IFERROR(VLOOKUP(D896,'[1]Product Datasheet'!$A:$G,5,0),"")</f>
        <v/>
      </c>
      <c r="P896" s="47" t="str">
        <f>IFERROR(VLOOKUP(D896,'[1]Product Datasheet'!$A:$G,6,0),"")</f>
        <v/>
      </c>
      <c r="Q896" s="47" t="str">
        <f>IFERROR(VLOOKUP(D896,'[1]Product Datasheet'!$A:$G,7,0), "")</f>
        <v/>
      </c>
      <c r="R896" s="48"/>
      <c r="S896" s="49" t="str">
        <f t="shared" si="33"/>
        <v>Accept</v>
      </c>
      <c r="T896" s="50"/>
      <c r="U896" s="51"/>
    </row>
    <row r="897" spans="1:21" ht="24.75" customHeight="1" x14ac:dyDescent="0.3">
      <c r="A897" s="38" t="str">
        <f>IFERROR(VLOOKUP(D897,'[1]Product Datasheet'!$A:$G,2,0),"")</f>
        <v/>
      </c>
      <c r="B897" s="39" t="str">
        <f>IFERROR(VLOOKUP(D897,'[1]Product Datasheet'!$A:$G,3,0),"")</f>
        <v/>
      </c>
      <c r="C897" s="40"/>
      <c r="D897" s="41"/>
      <c r="E897" s="41"/>
      <c r="F897" s="41"/>
      <c r="G897" s="42"/>
      <c r="H897" s="43"/>
      <c r="I897" s="42"/>
      <c r="J897" s="44"/>
      <c r="K897" s="44"/>
      <c r="L897" s="44"/>
      <c r="M897" s="45" t="str">
        <f t="shared" si="32"/>
        <v>Pass</v>
      </c>
      <c r="N897" s="46" t="str">
        <f>IFERROR(VLOOKUP(D897,'[1]Product Datasheet'!$A:$G,4,0),"")</f>
        <v/>
      </c>
      <c r="O897" s="47" t="str">
        <f>IFERROR(VLOOKUP(D897,'[1]Product Datasheet'!$A:$G,5,0),"")</f>
        <v/>
      </c>
      <c r="P897" s="47" t="str">
        <f>IFERROR(VLOOKUP(D897,'[1]Product Datasheet'!$A:$G,6,0),"")</f>
        <v/>
      </c>
      <c r="Q897" s="47" t="str">
        <f>IFERROR(VLOOKUP(D897,'[1]Product Datasheet'!$A:$G,7,0), "")</f>
        <v/>
      </c>
      <c r="R897" s="48"/>
      <c r="S897" s="49" t="str">
        <f t="shared" si="33"/>
        <v>Accept</v>
      </c>
      <c r="T897" s="50"/>
      <c r="U897" s="51"/>
    </row>
    <row r="898" spans="1:21" ht="24.75" customHeight="1" x14ac:dyDescent="0.3">
      <c r="A898" s="38" t="str">
        <f>IFERROR(VLOOKUP(D898,'[1]Product Datasheet'!$A:$G,2,0),"")</f>
        <v/>
      </c>
      <c r="B898" s="39" t="str">
        <f>IFERROR(VLOOKUP(D898,'[1]Product Datasheet'!$A:$G,3,0),"")</f>
        <v/>
      </c>
      <c r="C898" s="40"/>
      <c r="D898" s="41"/>
      <c r="E898" s="41"/>
      <c r="F898" s="41"/>
      <c r="G898" s="42"/>
      <c r="H898" s="43"/>
      <c r="I898" s="42"/>
      <c r="J898" s="44"/>
      <c r="K898" s="44"/>
      <c r="L898" s="44"/>
      <c r="M898" s="45" t="str">
        <f t="shared" si="32"/>
        <v>Pass</v>
      </c>
      <c r="N898" s="46" t="str">
        <f>IFERROR(VLOOKUP(D898,'[1]Product Datasheet'!$A:$G,4,0),"")</f>
        <v/>
      </c>
      <c r="O898" s="47" t="str">
        <f>IFERROR(VLOOKUP(D898,'[1]Product Datasheet'!$A:$G,5,0),"")</f>
        <v/>
      </c>
      <c r="P898" s="47" t="str">
        <f>IFERROR(VLOOKUP(D898,'[1]Product Datasheet'!$A:$G,6,0),"")</f>
        <v/>
      </c>
      <c r="Q898" s="47" t="str">
        <f>IFERROR(VLOOKUP(D898,'[1]Product Datasheet'!$A:$G,7,0), "")</f>
        <v/>
      </c>
      <c r="R898" s="48"/>
      <c r="S898" s="49" t="str">
        <f t="shared" si="33"/>
        <v>Accept</v>
      </c>
      <c r="T898" s="50"/>
      <c r="U898" s="51"/>
    </row>
    <row r="899" spans="1:21" ht="24.75" customHeight="1" x14ac:dyDescent="0.3">
      <c r="A899" s="38" t="str">
        <f>IFERROR(VLOOKUP(D899,'[1]Product Datasheet'!$A:$G,2,0),"")</f>
        <v/>
      </c>
      <c r="B899" s="39" t="str">
        <f>IFERROR(VLOOKUP(D899,'[1]Product Datasheet'!$A:$G,3,0),"")</f>
        <v/>
      </c>
      <c r="C899" s="40"/>
      <c r="D899" s="41"/>
      <c r="E899" s="41"/>
      <c r="F899" s="41"/>
      <c r="G899" s="42"/>
      <c r="H899" s="43"/>
      <c r="I899" s="42"/>
      <c r="J899" s="44"/>
      <c r="K899" s="44"/>
      <c r="L899" s="44"/>
      <c r="M899" s="45" t="str">
        <f t="shared" si="32"/>
        <v>Pass</v>
      </c>
      <c r="N899" s="46" t="str">
        <f>IFERROR(VLOOKUP(D899,'[1]Product Datasheet'!$A:$G,4,0),"")</f>
        <v/>
      </c>
      <c r="O899" s="47" t="str">
        <f>IFERROR(VLOOKUP(D899,'[1]Product Datasheet'!$A:$G,5,0),"")</f>
        <v/>
      </c>
      <c r="P899" s="47" t="str">
        <f>IFERROR(VLOOKUP(D899,'[1]Product Datasheet'!$A:$G,6,0),"")</f>
        <v/>
      </c>
      <c r="Q899" s="47" t="str">
        <f>IFERROR(VLOOKUP(D899,'[1]Product Datasheet'!$A:$G,7,0), "")</f>
        <v/>
      </c>
      <c r="R899" s="48"/>
      <c r="S899" s="49" t="str">
        <f t="shared" si="33"/>
        <v>Accept</v>
      </c>
      <c r="T899" s="50"/>
      <c r="U899" s="51"/>
    </row>
    <row r="900" spans="1:21" ht="24.75" customHeight="1" x14ac:dyDescent="0.3">
      <c r="A900" s="38" t="str">
        <f>IFERROR(VLOOKUP(D900,'[1]Product Datasheet'!$A:$G,2,0),"")</f>
        <v/>
      </c>
      <c r="B900" s="39" t="str">
        <f>IFERROR(VLOOKUP(D900,'[1]Product Datasheet'!$A:$G,3,0),"")</f>
        <v/>
      </c>
      <c r="C900" s="40"/>
      <c r="D900" s="41"/>
      <c r="E900" s="41"/>
      <c r="F900" s="41"/>
      <c r="G900" s="42"/>
      <c r="H900" s="43"/>
      <c r="I900" s="42"/>
      <c r="J900" s="44"/>
      <c r="K900" s="44"/>
      <c r="L900" s="44"/>
      <c r="M900" s="45" t="str">
        <f t="shared" si="32"/>
        <v>Pass</v>
      </c>
      <c r="N900" s="46" t="str">
        <f>IFERROR(VLOOKUP(D900,'[1]Product Datasheet'!$A:$G,4,0),"")</f>
        <v/>
      </c>
      <c r="O900" s="47" t="str">
        <f>IFERROR(VLOOKUP(D900,'[1]Product Datasheet'!$A:$G,5,0),"")</f>
        <v/>
      </c>
      <c r="P900" s="47" t="str">
        <f>IFERROR(VLOOKUP(D900,'[1]Product Datasheet'!$A:$G,6,0),"")</f>
        <v/>
      </c>
      <c r="Q900" s="47" t="str">
        <f>IFERROR(VLOOKUP(D900,'[1]Product Datasheet'!$A:$G,7,0), "")</f>
        <v/>
      </c>
      <c r="R900" s="48"/>
      <c r="S900" s="49" t="str">
        <f t="shared" si="33"/>
        <v>Accept</v>
      </c>
      <c r="T900" s="50"/>
      <c r="U900" s="51"/>
    </row>
    <row r="901" spans="1:21" ht="24.75" customHeight="1" x14ac:dyDescent="0.3">
      <c r="A901" s="38" t="str">
        <f>IFERROR(VLOOKUP(D901,'[1]Product Datasheet'!$A:$G,2,0),"")</f>
        <v/>
      </c>
      <c r="B901" s="39" t="str">
        <f>IFERROR(VLOOKUP(D901,'[1]Product Datasheet'!$A:$G,3,0),"")</f>
        <v/>
      </c>
      <c r="C901" s="40"/>
      <c r="D901" s="41"/>
      <c r="E901" s="41"/>
      <c r="F901" s="41"/>
      <c r="G901" s="42"/>
      <c r="H901" s="43"/>
      <c r="I901" s="42"/>
      <c r="J901" s="44"/>
      <c r="K901" s="44"/>
      <c r="L901" s="44"/>
      <c r="M901" s="45" t="str">
        <f t="shared" si="32"/>
        <v>Pass</v>
      </c>
      <c r="N901" s="46" t="str">
        <f>IFERROR(VLOOKUP(D901,'[1]Product Datasheet'!$A:$G,4,0),"")</f>
        <v/>
      </c>
      <c r="O901" s="47" t="str">
        <f>IFERROR(VLOOKUP(D901,'[1]Product Datasheet'!$A:$G,5,0),"")</f>
        <v/>
      </c>
      <c r="P901" s="47" t="str">
        <f>IFERROR(VLOOKUP(D901,'[1]Product Datasheet'!$A:$G,6,0),"")</f>
        <v/>
      </c>
      <c r="Q901" s="47" t="str">
        <f>IFERROR(VLOOKUP(D901,'[1]Product Datasheet'!$A:$G,7,0), "")</f>
        <v/>
      </c>
      <c r="R901" s="48"/>
      <c r="S901" s="49" t="str">
        <f t="shared" si="33"/>
        <v>Accept</v>
      </c>
      <c r="T901" s="50"/>
      <c r="U901" s="51"/>
    </row>
    <row r="902" spans="1:21" ht="24.75" customHeight="1" x14ac:dyDescent="0.3">
      <c r="A902" s="38" t="str">
        <f>IFERROR(VLOOKUP(D902,'[1]Product Datasheet'!$A:$G,2,0),"")</f>
        <v/>
      </c>
      <c r="B902" s="39" t="str">
        <f>IFERROR(VLOOKUP(D902,'[1]Product Datasheet'!$A:$G,3,0),"")</f>
        <v/>
      </c>
      <c r="C902" s="40"/>
      <c r="D902" s="41"/>
      <c r="E902" s="41"/>
      <c r="F902" s="41"/>
      <c r="G902" s="42"/>
      <c r="H902" s="43"/>
      <c r="I902" s="42"/>
      <c r="J902" s="44"/>
      <c r="K902" s="44"/>
      <c r="L902" s="44"/>
      <c r="M902" s="45" t="str">
        <f t="shared" si="32"/>
        <v>Pass</v>
      </c>
      <c r="N902" s="46" t="str">
        <f>IFERROR(VLOOKUP(D902,'[1]Product Datasheet'!$A:$G,4,0),"")</f>
        <v/>
      </c>
      <c r="O902" s="47" t="str">
        <f>IFERROR(VLOOKUP(D902,'[1]Product Datasheet'!$A:$G,5,0),"")</f>
        <v/>
      </c>
      <c r="P902" s="47" t="str">
        <f>IFERROR(VLOOKUP(D902,'[1]Product Datasheet'!$A:$G,6,0),"")</f>
        <v/>
      </c>
      <c r="Q902" s="47" t="str">
        <f>IFERROR(VLOOKUP(D902,'[1]Product Datasheet'!$A:$G,7,0), "")</f>
        <v/>
      </c>
      <c r="R902" s="48"/>
      <c r="S902" s="49" t="str">
        <f t="shared" si="33"/>
        <v>Accept</v>
      </c>
      <c r="T902" s="50"/>
      <c r="U902" s="51"/>
    </row>
    <row r="903" spans="1:21" ht="24.75" customHeight="1" x14ac:dyDescent="0.3">
      <c r="A903" s="38" t="str">
        <f>IFERROR(VLOOKUP(D903,'[1]Product Datasheet'!$A:$G,2,0),"")</f>
        <v/>
      </c>
      <c r="B903" s="39" t="str">
        <f>IFERROR(VLOOKUP(D903,'[1]Product Datasheet'!$A:$G,3,0),"")</f>
        <v/>
      </c>
      <c r="C903" s="40"/>
      <c r="D903" s="41"/>
      <c r="E903" s="41"/>
      <c r="F903" s="41"/>
      <c r="G903" s="42"/>
      <c r="H903" s="43"/>
      <c r="I903" s="42"/>
      <c r="J903" s="44"/>
      <c r="K903" s="44"/>
      <c r="L903" s="44"/>
      <c r="M903" s="45" t="str">
        <f t="shared" si="32"/>
        <v>Pass</v>
      </c>
      <c r="N903" s="46" t="str">
        <f>IFERROR(VLOOKUP(D903,'[1]Product Datasheet'!$A:$G,4,0),"")</f>
        <v/>
      </c>
      <c r="O903" s="47" t="str">
        <f>IFERROR(VLOOKUP(D903,'[1]Product Datasheet'!$A:$G,5,0),"")</f>
        <v/>
      </c>
      <c r="P903" s="47" t="str">
        <f>IFERROR(VLOOKUP(D903,'[1]Product Datasheet'!$A:$G,6,0),"")</f>
        <v/>
      </c>
      <c r="Q903" s="47" t="str">
        <f>IFERROR(VLOOKUP(D903,'[1]Product Datasheet'!$A:$G,7,0), "")</f>
        <v/>
      </c>
      <c r="R903" s="48"/>
      <c r="S903" s="49" t="str">
        <f t="shared" si="33"/>
        <v>Accept</v>
      </c>
      <c r="T903" s="50"/>
      <c r="U903" s="51"/>
    </row>
    <row r="904" spans="1:21" ht="24.75" customHeight="1" x14ac:dyDescent="0.3">
      <c r="A904" s="38" t="str">
        <f>IFERROR(VLOOKUP(D904,'[1]Product Datasheet'!$A:$G,2,0),"")</f>
        <v/>
      </c>
      <c r="B904" s="39" t="str">
        <f>IFERROR(VLOOKUP(D904,'[1]Product Datasheet'!$A:$G,3,0),"")</f>
        <v/>
      </c>
      <c r="C904" s="40"/>
      <c r="D904" s="41"/>
      <c r="E904" s="41"/>
      <c r="F904" s="41"/>
      <c r="G904" s="42"/>
      <c r="H904" s="43"/>
      <c r="I904" s="42"/>
      <c r="J904" s="44"/>
      <c r="K904" s="44"/>
      <c r="L904" s="44"/>
      <c r="M904" s="45" t="str">
        <f t="shared" si="32"/>
        <v>Pass</v>
      </c>
      <c r="N904" s="46" t="str">
        <f>IFERROR(VLOOKUP(D904,'[1]Product Datasheet'!$A:$G,4,0),"")</f>
        <v/>
      </c>
      <c r="O904" s="47" t="str">
        <f>IFERROR(VLOOKUP(D904,'[1]Product Datasheet'!$A:$G,5,0),"")</f>
        <v/>
      </c>
      <c r="P904" s="47" t="str">
        <f>IFERROR(VLOOKUP(D904,'[1]Product Datasheet'!$A:$G,6,0),"")</f>
        <v/>
      </c>
      <c r="Q904" s="47" t="str">
        <f>IFERROR(VLOOKUP(D904,'[1]Product Datasheet'!$A:$G,7,0), "")</f>
        <v/>
      </c>
      <c r="R904" s="48"/>
      <c r="S904" s="49" t="str">
        <f t="shared" si="33"/>
        <v>Accept</v>
      </c>
      <c r="T904" s="50"/>
      <c r="U904" s="51"/>
    </row>
    <row r="905" spans="1:21" ht="24.75" customHeight="1" x14ac:dyDescent="0.3">
      <c r="A905" s="38" t="str">
        <f>IFERROR(VLOOKUP(D905,'[1]Product Datasheet'!$A:$G,2,0),"")</f>
        <v/>
      </c>
      <c r="B905" s="39" t="str">
        <f>IFERROR(VLOOKUP(D905,'[1]Product Datasheet'!$A:$G,3,0),"")</f>
        <v/>
      </c>
      <c r="C905" s="40"/>
      <c r="D905" s="41"/>
      <c r="E905" s="41"/>
      <c r="F905" s="41"/>
      <c r="G905" s="42"/>
      <c r="H905" s="43"/>
      <c r="I905" s="42"/>
      <c r="J905" s="44"/>
      <c r="K905" s="44"/>
      <c r="L905" s="44"/>
      <c r="M905" s="45" t="str">
        <f t="shared" ref="M905:M968" si="34">IF(AND(G905&lt;=O905,G905&gt;=N905,H905&lt;=Q905,H905&gt;=P905),"Pass","Fail")</f>
        <v>Pass</v>
      </c>
      <c r="N905" s="46" t="str">
        <f>IFERROR(VLOOKUP(D905,'[1]Product Datasheet'!$A:$G,4,0),"")</f>
        <v/>
      </c>
      <c r="O905" s="47" t="str">
        <f>IFERROR(VLOOKUP(D905,'[1]Product Datasheet'!$A:$G,5,0),"")</f>
        <v/>
      </c>
      <c r="P905" s="47" t="str">
        <f>IFERROR(VLOOKUP(D905,'[1]Product Datasheet'!$A:$G,6,0),"")</f>
        <v/>
      </c>
      <c r="Q905" s="47" t="str">
        <f>IFERROR(VLOOKUP(D905,'[1]Product Datasheet'!$A:$G,7,0), "")</f>
        <v/>
      </c>
      <c r="R905" s="48"/>
      <c r="S905" s="49" t="str">
        <f t="shared" ref="S905:S968" si="35">IFERROR(IF(AND(ROUND(H905, 2)&lt;=Q905, ROUND(G905,1)&lt;=O905), "Accept", "Reject"),"Reject")</f>
        <v>Accept</v>
      </c>
      <c r="T905" s="50"/>
      <c r="U905" s="51"/>
    </row>
    <row r="906" spans="1:21" ht="24.75" customHeight="1" x14ac:dyDescent="0.3">
      <c r="A906" s="38" t="str">
        <f>IFERROR(VLOOKUP(D906,'[1]Product Datasheet'!$A:$G,2,0),"")</f>
        <v/>
      </c>
      <c r="B906" s="39" t="str">
        <f>IFERROR(VLOOKUP(D906,'[1]Product Datasheet'!$A:$G,3,0),"")</f>
        <v/>
      </c>
      <c r="C906" s="40"/>
      <c r="D906" s="41"/>
      <c r="E906" s="41"/>
      <c r="F906" s="41"/>
      <c r="G906" s="42"/>
      <c r="H906" s="43"/>
      <c r="I906" s="42"/>
      <c r="J906" s="44"/>
      <c r="K906" s="44"/>
      <c r="L906" s="44"/>
      <c r="M906" s="45" t="str">
        <f t="shared" si="34"/>
        <v>Pass</v>
      </c>
      <c r="N906" s="46" t="str">
        <f>IFERROR(VLOOKUP(D906,'[1]Product Datasheet'!$A:$G,4,0),"")</f>
        <v/>
      </c>
      <c r="O906" s="47" t="str">
        <f>IFERROR(VLOOKUP(D906,'[1]Product Datasheet'!$A:$G,5,0),"")</f>
        <v/>
      </c>
      <c r="P906" s="47" t="str">
        <f>IFERROR(VLOOKUP(D906,'[1]Product Datasheet'!$A:$G,6,0),"")</f>
        <v/>
      </c>
      <c r="Q906" s="47" t="str">
        <f>IFERROR(VLOOKUP(D906,'[1]Product Datasheet'!$A:$G,7,0), "")</f>
        <v/>
      </c>
      <c r="R906" s="48"/>
      <c r="S906" s="49" t="str">
        <f t="shared" si="35"/>
        <v>Accept</v>
      </c>
      <c r="T906" s="50"/>
      <c r="U906" s="51"/>
    </row>
    <row r="907" spans="1:21" ht="24.75" customHeight="1" x14ac:dyDescent="0.3">
      <c r="A907" s="38" t="str">
        <f>IFERROR(VLOOKUP(D907,'[1]Product Datasheet'!$A:$G,2,0),"")</f>
        <v/>
      </c>
      <c r="B907" s="39" t="str">
        <f>IFERROR(VLOOKUP(D907,'[1]Product Datasheet'!$A:$G,3,0),"")</f>
        <v/>
      </c>
      <c r="C907" s="40"/>
      <c r="D907" s="41"/>
      <c r="E907" s="41"/>
      <c r="F907" s="41"/>
      <c r="G907" s="42"/>
      <c r="H907" s="43"/>
      <c r="I907" s="42"/>
      <c r="J907" s="44"/>
      <c r="K907" s="44"/>
      <c r="L907" s="44"/>
      <c r="M907" s="45" t="str">
        <f t="shared" si="34"/>
        <v>Pass</v>
      </c>
      <c r="N907" s="46" t="str">
        <f>IFERROR(VLOOKUP(D907,'[1]Product Datasheet'!$A:$G,4,0),"")</f>
        <v/>
      </c>
      <c r="O907" s="47" t="str">
        <f>IFERROR(VLOOKUP(D907,'[1]Product Datasheet'!$A:$G,5,0),"")</f>
        <v/>
      </c>
      <c r="P907" s="47" t="str">
        <f>IFERROR(VLOOKUP(D907,'[1]Product Datasheet'!$A:$G,6,0),"")</f>
        <v/>
      </c>
      <c r="Q907" s="47" t="str">
        <f>IFERROR(VLOOKUP(D907,'[1]Product Datasheet'!$A:$G,7,0), "")</f>
        <v/>
      </c>
      <c r="R907" s="48"/>
      <c r="S907" s="49" t="str">
        <f t="shared" si="35"/>
        <v>Accept</v>
      </c>
      <c r="T907" s="50"/>
      <c r="U907" s="51"/>
    </row>
    <row r="908" spans="1:21" ht="24.75" customHeight="1" x14ac:dyDescent="0.3">
      <c r="A908" s="38" t="str">
        <f>IFERROR(VLOOKUP(D908,'[1]Product Datasheet'!$A:$G,2,0),"")</f>
        <v/>
      </c>
      <c r="B908" s="39" t="str">
        <f>IFERROR(VLOOKUP(D908,'[1]Product Datasheet'!$A:$G,3,0),"")</f>
        <v/>
      </c>
      <c r="C908" s="40"/>
      <c r="D908" s="41"/>
      <c r="E908" s="41"/>
      <c r="F908" s="41"/>
      <c r="G908" s="42"/>
      <c r="H908" s="43"/>
      <c r="I908" s="42"/>
      <c r="J908" s="44"/>
      <c r="K908" s="44"/>
      <c r="L908" s="44"/>
      <c r="M908" s="45" t="str">
        <f t="shared" si="34"/>
        <v>Pass</v>
      </c>
      <c r="N908" s="46" t="str">
        <f>IFERROR(VLOOKUP(D908,'[1]Product Datasheet'!$A:$G,4,0),"")</f>
        <v/>
      </c>
      <c r="O908" s="47" t="str">
        <f>IFERROR(VLOOKUP(D908,'[1]Product Datasheet'!$A:$G,5,0),"")</f>
        <v/>
      </c>
      <c r="P908" s="47" t="str">
        <f>IFERROR(VLOOKUP(D908,'[1]Product Datasheet'!$A:$G,6,0),"")</f>
        <v/>
      </c>
      <c r="Q908" s="47" t="str">
        <f>IFERROR(VLOOKUP(D908,'[1]Product Datasheet'!$A:$G,7,0), "")</f>
        <v/>
      </c>
      <c r="R908" s="48"/>
      <c r="S908" s="49" t="str">
        <f t="shared" si="35"/>
        <v>Accept</v>
      </c>
      <c r="T908" s="50"/>
      <c r="U908" s="51"/>
    </row>
    <row r="909" spans="1:21" ht="24.75" customHeight="1" x14ac:dyDescent="0.3">
      <c r="A909" s="38" t="str">
        <f>IFERROR(VLOOKUP(D909,'[1]Product Datasheet'!$A:$G,2,0),"")</f>
        <v/>
      </c>
      <c r="B909" s="39" t="str">
        <f>IFERROR(VLOOKUP(D909,'[1]Product Datasheet'!$A:$G,3,0),"")</f>
        <v/>
      </c>
      <c r="C909" s="40"/>
      <c r="D909" s="41"/>
      <c r="E909" s="41"/>
      <c r="F909" s="41"/>
      <c r="G909" s="42"/>
      <c r="H909" s="43"/>
      <c r="I909" s="42"/>
      <c r="J909" s="44"/>
      <c r="K909" s="44"/>
      <c r="L909" s="44"/>
      <c r="M909" s="45" t="str">
        <f t="shared" si="34"/>
        <v>Pass</v>
      </c>
      <c r="N909" s="46" t="str">
        <f>IFERROR(VLOOKUP(D909,'[1]Product Datasheet'!$A:$G,4,0),"")</f>
        <v/>
      </c>
      <c r="O909" s="47" t="str">
        <f>IFERROR(VLOOKUP(D909,'[1]Product Datasheet'!$A:$G,5,0),"")</f>
        <v/>
      </c>
      <c r="P909" s="47" t="str">
        <f>IFERROR(VLOOKUP(D909,'[1]Product Datasheet'!$A:$G,6,0),"")</f>
        <v/>
      </c>
      <c r="Q909" s="47" t="str">
        <f>IFERROR(VLOOKUP(D909,'[1]Product Datasheet'!$A:$G,7,0), "")</f>
        <v/>
      </c>
      <c r="R909" s="48"/>
      <c r="S909" s="49" t="str">
        <f t="shared" si="35"/>
        <v>Accept</v>
      </c>
      <c r="T909" s="50"/>
      <c r="U909" s="51"/>
    </row>
    <row r="910" spans="1:21" ht="24.75" customHeight="1" x14ac:dyDescent="0.3">
      <c r="A910" s="38" t="str">
        <f>IFERROR(VLOOKUP(D910,'[1]Product Datasheet'!$A:$G,2,0),"")</f>
        <v/>
      </c>
      <c r="B910" s="39" t="str">
        <f>IFERROR(VLOOKUP(D910,'[1]Product Datasheet'!$A:$G,3,0),"")</f>
        <v/>
      </c>
      <c r="C910" s="40"/>
      <c r="D910" s="41"/>
      <c r="E910" s="41"/>
      <c r="F910" s="41"/>
      <c r="G910" s="42"/>
      <c r="H910" s="43"/>
      <c r="I910" s="42"/>
      <c r="J910" s="44"/>
      <c r="K910" s="44"/>
      <c r="L910" s="44"/>
      <c r="M910" s="45" t="str">
        <f t="shared" si="34"/>
        <v>Pass</v>
      </c>
      <c r="N910" s="46" t="str">
        <f>IFERROR(VLOOKUP(D910,'[1]Product Datasheet'!$A:$G,4,0),"")</f>
        <v/>
      </c>
      <c r="O910" s="47" t="str">
        <f>IFERROR(VLOOKUP(D910,'[1]Product Datasheet'!$A:$G,5,0),"")</f>
        <v/>
      </c>
      <c r="P910" s="47" t="str">
        <f>IFERROR(VLOOKUP(D910,'[1]Product Datasheet'!$A:$G,6,0),"")</f>
        <v/>
      </c>
      <c r="Q910" s="47" t="str">
        <f>IFERROR(VLOOKUP(D910,'[1]Product Datasheet'!$A:$G,7,0), "")</f>
        <v/>
      </c>
      <c r="R910" s="48"/>
      <c r="S910" s="49" t="str">
        <f t="shared" si="35"/>
        <v>Accept</v>
      </c>
      <c r="T910" s="50"/>
      <c r="U910" s="51"/>
    </row>
    <row r="911" spans="1:21" ht="24.75" customHeight="1" x14ac:dyDescent="0.3">
      <c r="A911" s="38" t="str">
        <f>IFERROR(VLOOKUP(D911,'[1]Product Datasheet'!$A:$G,2,0),"")</f>
        <v/>
      </c>
      <c r="B911" s="39" t="str">
        <f>IFERROR(VLOOKUP(D911,'[1]Product Datasheet'!$A:$G,3,0),"")</f>
        <v/>
      </c>
      <c r="C911" s="40"/>
      <c r="D911" s="41"/>
      <c r="E911" s="41"/>
      <c r="F911" s="41"/>
      <c r="G911" s="42"/>
      <c r="H911" s="43"/>
      <c r="I911" s="42"/>
      <c r="J911" s="44"/>
      <c r="K911" s="44"/>
      <c r="L911" s="44"/>
      <c r="M911" s="45" t="str">
        <f t="shared" si="34"/>
        <v>Pass</v>
      </c>
      <c r="N911" s="46" t="str">
        <f>IFERROR(VLOOKUP(D911,'[1]Product Datasheet'!$A:$G,4,0),"")</f>
        <v/>
      </c>
      <c r="O911" s="47" t="str">
        <f>IFERROR(VLOOKUP(D911,'[1]Product Datasheet'!$A:$G,5,0),"")</f>
        <v/>
      </c>
      <c r="P911" s="47" t="str">
        <f>IFERROR(VLOOKUP(D911,'[1]Product Datasheet'!$A:$G,6,0),"")</f>
        <v/>
      </c>
      <c r="Q911" s="47" t="str">
        <f>IFERROR(VLOOKUP(D911,'[1]Product Datasheet'!$A:$G,7,0), "")</f>
        <v/>
      </c>
      <c r="R911" s="48"/>
      <c r="S911" s="49" t="str">
        <f t="shared" si="35"/>
        <v>Accept</v>
      </c>
      <c r="T911" s="50"/>
      <c r="U911" s="51"/>
    </row>
    <row r="912" spans="1:21" ht="24.75" customHeight="1" x14ac:dyDescent="0.3">
      <c r="A912" s="38" t="str">
        <f>IFERROR(VLOOKUP(D912,'[1]Product Datasheet'!$A:$G,2,0),"")</f>
        <v/>
      </c>
      <c r="B912" s="39" t="str">
        <f>IFERROR(VLOOKUP(D912,'[1]Product Datasheet'!$A:$G,3,0),"")</f>
        <v/>
      </c>
      <c r="C912" s="40"/>
      <c r="D912" s="41"/>
      <c r="E912" s="41"/>
      <c r="F912" s="41"/>
      <c r="G912" s="42"/>
      <c r="H912" s="43"/>
      <c r="I912" s="42"/>
      <c r="J912" s="44"/>
      <c r="K912" s="44"/>
      <c r="L912" s="44"/>
      <c r="M912" s="45" t="str">
        <f t="shared" si="34"/>
        <v>Pass</v>
      </c>
      <c r="N912" s="46" t="str">
        <f>IFERROR(VLOOKUP(D912,'[1]Product Datasheet'!$A:$G,4,0),"")</f>
        <v/>
      </c>
      <c r="O912" s="47" t="str">
        <f>IFERROR(VLOOKUP(D912,'[1]Product Datasheet'!$A:$G,5,0),"")</f>
        <v/>
      </c>
      <c r="P912" s="47" t="str">
        <f>IFERROR(VLOOKUP(D912,'[1]Product Datasheet'!$A:$G,6,0),"")</f>
        <v/>
      </c>
      <c r="Q912" s="47" t="str">
        <f>IFERROR(VLOOKUP(D912,'[1]Product Datasheet'!$A:$G,7,0), "")</f>
        <v/>
      </c>
      <c r="R912" s="48"/>
      <c r="S912" s="49" t="str">
        <f t="shared" si="35"/>
        <v>Accept</v>
      </c>
      <c r="T912" s="50"/>
      <c r="U912" s="51"/>
    </row>
    <row r="913" spans="1:21" ht="24.75" customHeight="1" x14ac:dyDescent="0.3">
      <c r="A913" s="38" t="str">
        <f>IFERROR(VLOOKUP(D913,'[1]Product Datasheet'!$A:$G,2,0),"")</f>
        <v/>
      </c>
      <c r="B913" s="39" t="str">
        <f>IFERROR(VLOOKUP(D913,'[1]Product Datasheet'!$A:$G,3,0),"")</f>
        <v/>
      </c>
      <c r="C913" s="40"/>
      <c r="D913" s="41"/>
      <c r="E913" s="41"/>
      <c r="F913" s="41"/>
      <c r="G913" s="42"/>
      <c r="H913" s="43"/>
      <c r="I913" s="42"/>
      <c r="J913" s="44"/>
      <c r="K913" s="44"/>
      <c r="L913" s="44"/>
      <c r="M913" s="45" t="str">
        <f t="shared" si="34"/>
        <v>Pass</v>
      </c>
      <c r="N913" s="46" t="str">
        <f>IFERROR(VLOOKUP(D913,'[1]Product Datasheet'!$A:$G,4,0),"")</f>
        <v/>
      </c>
      <c r="O913" s="47" t="str">
        <f>IFERROR(VLOOKUP(D913,'[1]Product Datasheet'!$A:$G,5,0),"")</f>
        <v/>
      </c>
      <c r="P913" s="47" t="str">
        <f>IFERROR(VLOOKUP(D913,'[1]Product Datasheet'!$A:$G,6,0),"")</f>
        <v/>
      </c>
      <c r="Q913" s="47" t="str">
        <f>IFERROR(VLOOKUP(D913,'[1]Product Datasheet'!$A:$G,7,0), "")</f>
        <v/>
      </c>
      <c r="R913" s="48"/>
      <c r="S913" s="49" t="str">
        <f t="shared" si="35"/>
        <v>Accept</v>
      </c>
      <c r="T913" s="50"/>
      <c r="U913" s="51"/>
    </row>
    <row r="914" spans="1:21" ht="24.75" customHeight="1" x14ac:dyDescent="0.3">
      <c r="A914" s="38" t="str">
        <f>IFERROR(VLOOKUP(D914,'[1]Product Datasheet'!$A:$G,2,0),"")</f>
        <v/>
      </c>
      <c r="B914" s="39" t="str">
        <f>IFERROR(VLOOKUP(D914,'[1]Product Datasheet'!$A:$G,3,0),"")</f>
        <v/>
      </c>
      <c r="C914" s="40"/>
      <c r="D914" s="41"/>
      <c r="E914" s="41"/>
      <c r="F914" s="41"/>
      <c r="G914" s="42"/>
      <c r="H914" s="43"/>
      <c r="I914" s="42"/>
      <c r="J914" s="44"/>
      <c r="K914" s="44"/>
      <c r="L914" s="44"/>
      <c r="M914" s="45" t="str">
        <f t="shared" si="34"/>
        <v>Pass</v>
      </c>
      <c r="N914" s="46" t="str">
        <f>IFERROR(VLOOKUP(D914,'[1]Product Datasheet'!$A:$G,4,0),"")</f>
        <v/>
      </c>
      <c r="O914" s="47" t="str">
        <f>IFERROR(VLOOKUP(D914,'[1]Product Datasheet'!$A:$G,5,0),"")</f>
        <v/>
      </c>
      <c r="P914" s="47" t="str">
        <f>IFERROR(VLOOKUP(D914,'[1]Product Datasheet'!$A:$G,6,0),"")</f>
        <v/>
      </c>
      <c r="Q914" s="47" t="str">
        <f>IFERROR(VLOOKUP(D914,'[1]Product Datasheet'!$A:$G,7,0), "")</f>
        <v/>
      </c>
      <c r="R914" s="48"/>
      <c r="S914" s="49" t="str">
        <f t="shared" si="35"/>
        <v>Accept</v>
      </c>
      <c r="T914" s="50"/>
      <c r="U914" s="51"/>
    </row>
    <row r="915" spans="1:21" ht="24.75" customHeight="1" x14ac:dyDescent="0.3">
      <c r="A915" s="38" t="str">
        <f>IFERROR(VLOOKUP(D915,'[1]Product Datasheet'!$A:$G,2,0),"")</f>
        <v/>
      </c>
      <c r="B915" s="39" t="str">
        <f>IFERROR(VLOOKUP(D915,'[1]Product Datasheet'!$A:$G,3,0),"")</f>
        <v/>
      </c>
      <c r="C915" s="40"/>
      <c r="D915" s="41"/>
      <c r="E915" s="41"/>
      <c r="F915" s="41"/>
      <c r="G915" s="42"/>
      <c r="H915" s="43"/>
      <c r="I915" s="42"/>
      <c r="J915" s="44"/>
      <c r="K915" s="44"/>
      <c r="L915" s="44"/>
      <c r="M915" s="45" t="str">
        <f t="shared" si="34"/>
        <v>Pass</v>
      </c>
      <c r="N915" s="46" t="str">
        <f>IFERROR(VLOOKUP(D915,'[1]Product Datasheet'!$A:$G,4,0),"")</f>
        <v/>
      </c>
      <c r="O915" s="47" t="str">
        <f>IFERROR(VLOOKUP(D915,'[1]Product Datasheet'!$A:$G,5,0),"")</f>
        <v/>
      </c>
      <c r="P915" s="47" t="str">
        <f>IFERROR(VLOOKUP(D915,'[1]Product Datasheet'!$A:$G,6,0),"")</f>
        <v/>
      </c>
      <c r="Q915" s="47" t="str">
        <f>IFERROR(VLOOKUP(D915,'[1]Product Datasheet'!$A:$G,7,0), "")</f>
        <v/>
      </c>
      <c r="R915" s="48"/>
      <c r="S915" s="49" t="str">
        <f t="shared" si="35"/>
        <v>Accept</v>
      </c>
      <c r="T915" s="50"/>
      <c r="U915" s="51"/>
    </row>
    <row r="916" spans="1:21" ht="24.75" customHeight="1" x14ac:dyDescent="0.3">
      <c r="A916" s="38" t="str">
        <f>IFERROR(VLOOKUP(D916,'[1]Product Datasheet'!$A:$G,2,0),"")</f>
        <v/>
      </c>
      <c r="B916" s="39" t="str">
        <f>IFERROR(VLOOKUP(D916,'[1]Product Datasheet'!$A:$G,3,0),"")</f>
        <v/>
      </c>
      <c r="C916" s="40"/>
      <c r="D916" s="41"/>
      <c r="E916" s="41"/>
      <c r="F916" s="41"/>
      <c r="G916" s="42"/>
      <c r="H916" s="43"/>
      <c r="I916" s="42"/>
      <c r="J916" s="44"/>
      <c r="K916" s="44"/>
      <c r="L916" s="44"/>
      <c r="M916" s="45" t="str">
        <f t="shared" si="34"/>
        <v>Pass</v>
      </c>
      <c r="N916" s="46" t="str">
        <f>IFERROR(VLOOKUP(D916,'[1]Product Datasheet'!$A:$G,4,0),"")</f>
        <v/>
      </c>
      <c r="O916" s="47" t="str">
        <f>IFERROR(VLOOKUP(D916,'[1]Product Datasheet'!$A:$G,5,0),"")</f>
        <v/>
      </c>
      <c r="P916" s="47" t="str">
        <f>IFERROR(VLOOKUP(D916,'[1]Product Datasheet'!$A:$G,6,0),"")</f>
        <v/>
      </c>
      <c r="Q916" s="47" t="str">
        <f>Q914</f>
        <v/>
      </c>
      <c r="R916" s="48"/>
      <c r="S916" s="49" t="str">
        <f t="shared" si="35"/>
        <v>Accept</v>
      </c>
      <c r="T916" s="50"/>
      <c r="U916" s="51"/>
    </row>
    <row r="917" spans="1:21" ht="24.75" customHeight="1" x14ac:dyDescent="0.3">
      <c r="A917" s="38" t="str">
        <f>IFERROR(VLOOKUP(D917,'[1]Product Datasheet'!$A:$G,2,0),"")</f>
        <v/>
      </c>
      <c r="B917" s="39" t="str">
        <f>IFERROR(VLOOKUP(D917,'[1]Product Datasheet'!$A:$G,3,0),"")</f>
        <v/>
      </c>
      <c r="C917" s="40"/>
      <c r="D917" s="41"/>
      <c r="E917" s="41"/>
      <c r="F917" s="41"/>
      <c r="G917" s="42"/>
      <c r="H917" s="43"/>
      <c r="I917" s="42"/>
      <c r="J917" s="44"/>
      <c r="K917" s="44"/>
      <c r="L917" s="44"/>
      <c r="M917" s="45" t="str">
        <f t="shared" si="34"/>
        <v>Pass</v>
      </c>
      <c r="N917" s="46" t="str">
        <f>IFERROR(VLOOKUP(D917,'[1]Product Datasheet'!$A:$G,4,0),"")</f>
        <v/>
      </c>
      <c r="O917" s="47" t="str">
        <f>IFERROR(VLOOKUP(D917,'[1]Product Datasheet'!$A:$G,5,0),"")</f>
        <v/>
      </c>
      <c r="P917" s="47" t="str">
        <f>IFERROR(VLOOKUP(D917,'[1]Product Datasheet'!$A:$G,6,0),"")</f>
        <v/>
      </c>
      <c r="Q917" s="47" t="str">
        <f>IFERROR(VLOOKUP(D917,'[1]Product Datasheet'!$A:$G,7,0), "")</f>
        <v/>
      </c>
      <c r="R917" s="48"/>
      <c r="S917" s="49" t="str">
        <f t="shared" si="35"/>
        <v>Accept</v>
      </c>
      <c r="T917" s="50"/>
      <c r="U917" s="51"/>
    </row>
    <row r="918" spans="1:21" ht="24.75" customHeight="1" x14ac:dyDescent="0.3">
      <c r="A918" s="38" t="str">
        <f>IFERROR(VLOOKUP(D918,'[1]Product Datasheet'!$A:$G,2,0),"")</f>
        <v/>
      </c>
      <c r="B918" s="39" t="str">
        <f>IFERROR(VLOOKUP(D918,'[1]Product Datasheet'!$A:$G,3,0),"")</f>
        <v/>
      </c>
      <c r="C918" s="40"/>
      <c r="D918" s="41"/>
      <c r="E918" s="41"/>
      <c r="F918" s="41"/>
      <c r="G918" s="42"/>
      <c r="H918" s="43"/>
      <c r="I918" s="42"/>
      <c r="J918" s="44"/>
      <c r="K918" s="44"/>
      <c r="L918" s="44"/>
      <c r="M918" s="45" t="str">
        <f t="shared" si="34"/>
        <v>Pass</v>
      </c>
      <c r="N918" s="46" t="str">
        <f>IFERROR(VLOOKUP(D918,'[1]Product Datasheet'!$A:$G,4,0),"")</f>
        <v/>
      </c>
      <c r="O918" s="47" t="str">
        <f>IFERROR(VLOOKUP(D918,'[1]Product Datasheet'!$A:$G,5,0),"")</f>
        <v/>
      </c>
      <c r="P918" s="47" t="str">
        <f>IFERROR(VLOOKUP(D918,'[1]Product Datasheet'!$A:$G,6,0),"")</f>
        <v/>
      </c>
      <c r="Q918" s="47" t="str">
        <f>IFERROR(VLOOKUP(D918,'[1]Product Datasheet'!$A:$G,7,0), "")</f>
        <v/>
      </c>
      <c r="R918" s="48"/>
      <c r="S918" s="49" t="str">
        <f t="shared" si="35"/>
        <v>Accept</v>
      </c>
      <c r="T918" s="50"/>
      <c r="U918" s="51"/>
    </row>
    <row r="919" spans="1:21" ht="24.75" customHeight="1" x14ac:dyDescent="0.3">
      <c r="A919" s="38" t="str">
        <f>IFERROR(VLOOKUP(D919,'[1]Product Datasheet'!$A:$G,2,0),"")</f>
        <v/>
      </c>
      <c r="B919" s="39" t="str">
        <f>IFERROR(VLOOKUP(D919,'[1]Product Datasheet'!$A:$G,3,0),"")</f>
        <v/>
      </c>
      <c r="C919" s="40"/>
      <c r="D919" s="41"/>
      <c r="E919" s="41"/>
      <c r="F919" s="41"/>
      <c r="G919" s="42"/>
      <c r="H919" s="43"/>
      <c r="I919" s="42"/>
      <c r="J919" s="44"/>
      <c r="K919" s="44"/>
      <c r="L919" s="44"/>
      <c r="M919" s="45" t="str">
        <f t="shared" si="34"/>
        <v>Pass</v>
      </c>
      <c r="N919" s="46" t="str">
        <f>IFERROR(VLOOKUP(D919,'[1]Product Datasheet'!$A:$G,4,0),"")</f>
        <v/>
      </c>
      <c r="O919" s="47" t="str">
        <f>IFERROR(VLOOKUP(D919,'[1]Product Datasheet'!$A:$G,5,0),"")</f>
        <v/>
      </c>
      <c r="P919" s="47" t="str">
        <f>IFERROR(VLOOKUP(D919,'[1]Product Datasheet'!$A:$G,6,0),"")</f>
        <v/>
      </c>
      <c r="Q919" s="47" t="str">
        <f>IFERROR(VLOOKUP(D919,'[1]Product Datasheet'!$A:$G,7,0), "")</f>
        <v/>
      </c>
      <c r="R919" s="48"/>
      <c r="S919" s="49" t="str">
        <f t="shared" si="35"/>
        <v>Accept</v>
      </c>
      <c r="T919" s="50"/>
      <c r="U919" s="51"/>
    </row>
    <row r="920" spans="1:21" ht="24.75" customHeight="1" x14ac:dyDescent="0.3">
      <c r="A920" s="38" t="str">
        <f>IFERROR(VLOOKUP(D920,'[1]Product Datasheet'!$A:$G,2,0),"")</f>
        <v/>
      </c>
      <c r="B920" s="39" t="str">
        <f>IFERROR(VLOOKUP(D920,'[1]Product Datasheet'!$A:$G,3,0),"")</f>
        <v/>
      </c>
      <c r="C920" s="40"/>
      <c r="D920" s="41"/>
      <c r="E920" s="41"/>
      <c r="F920" s="41"/>
      <c r="G920" s="42"/>
      <c r="H920" s="43"/>
      <c r="I920" s="42"/>
      <c r="J920" s="44"/>
      <c r="K920" s="44"/>
      <c r="L920" s="44"/>
      <c r="M920" s="45" t="str">
        <f t="shared" si="34"/>
        <v>Pass</v>
      </c>
      <c r="N920" s="46" t="str">
        <f>IFERROR(VLOOKUP(D920,'[1]Product Datasheet'!$A:$G,4,0),"")</f>
        <v/>
      </c>
      <c r="O920" s="47" t="str">
        <f>IFERROR(VLOOKUP(D920,'[1]Product Datasheet'!$A:$G,5,0),"")</f>
        <v/>
      </c>
      <c r="P920" s="47" t="str">
        <f>IFERROR(VLOOKUP(D920,'[1]Product Datasheet'!$A:$G,6,0),"")</f>
        <v/>
      </c>
      <c r="Q920" s="47" t="str">
        <f>IFERROR(VLOOKUP(D920,'[1]Product Datasheet'!$A:$G,7,0), "")</f>
        <v/>
      </c>
      <c r="R920" s="48"/>
      <c r="S920" s="49" t="str">
        <f t="shared" si="35"/>
        <v>Accept</v>
      </c>
      <c r="T920" s="50"/>
      <c r="U920" s="51"/>
    </row>
    <row r="921" spans="1:21" ht="24.75" customHeight="1" x14ac:dyDescent="0.3">
      <c r="A921" s="38" t="str">
        <f>IFERROR(VLOOKUP(D921,'[1]Product Datasheet'!$A:$G,2,0),"")</f>
        <v/>
      </c>
      <c r="B921" s="39" t="str">
        <f>IFERROR(VLOOKUP(D921,'[1]Product Datasheet'!$A:$G,3,0),"")</f>
        <v/>
      </c>
      <c r="C921" s="40"/>
      <c r="D921" s="41"/>
      <c r="E921" s="41"/>
      <c r="F921" s="41"/>
      <c r="G921" s="42"/>
      <c r="H921" s="43"/>
      <c r="I921" s="42"/>
      <c r="J921" s="44"/>
      <c r="K921" s="44"/>
      <c r="L921" s="44"/>
      <c r="M921" s="45" t="str">
        <f t="shared" si="34"/>
        <v>Pass</v>
      </c>
      <c r="N921" s="46" t="str">
        <f>IFERROR(VLOOKUP(D921,'[1]Product Datasheet'!$A:$G,4,0),"")</f>
        <v/>
      </c>
      <c r="O921" s="47" t="str">
        <f>IFERROR(VLOOKUP(D921,'[1]Product Datasheet'!$A:$G,5,0),"")</f>
        <v/>
      </c>
      <c r="P921" s="47" t="str">
        <f>IFERROR(VLOOKUP(D921,'[1]Product Datasheet'!$A:$G,6,0),"")</f>
        <v/>
      </c>
      <c r="Q921" s="47" t="str">
        <f>IFERROR(VLOOKUP(D921,'[1]Product Datasheet'!$A:$G,7,0), "")</f>
        <v/>
      </c>
      <c r="R921" s="48"/>
      <c r="S921" s="49" t="str">
        <f t="shared" si="35"/>
        <v>Accept</v>
      </c>
      <c r="T921" s="50"/>
      <c r="U921" s="51"/>
    </row>
    <row r="922" spans="1:21" ht="24.75" customHeight="1" x14ac:dyDescent="0.3">
      <c r="A922" s="38" t="str">
        <f>IFERROR(VLOOKUP(D922,'[1]Product Datasheet'!$A:$G,2,0),"")</f>
        <v/>
      </c>
      <c r="B922" s="39" t="str">
        <f>IFERROR(VLOOKUP(D922,'[1]Product Datasheet'!$A:$G,3,0),"")</f>
        <v/>
      </c>
      <c r="C922" s="40"/>
      <c r="D922" s="41"/>
      <c r="E922" s="41"/>
      <c r="F922" s="41"/>
      <c r="G922" s="42"/>
      <c r="H922" s="43"/>
      <c r="I922" s="42"/>
      <c r="J922" s="44"/>
      <c r="K922" s="44"/>
      <c r="L922" s="44"/>
      <c r="M922" s="45" t="str">
        <f t="shared" si="34"/>
        <v>Pass</v>
      </c>
      <c r="N922" s="46" t="str">
        <f>IFERROR(VLOOKUP(D922,'[1]Product Datasheet'!$A:$G,4,0),"")</f>
        <v/>
      </c>
      <c r="O922" s="47" t="str">
        <f>IFERROR(VLOOKUP(D922,'[1]Product Datasheet'!$A:$G,5,0),"")</f>
        <v/>
      </c>
      <c r="P922" s="47" t="str">
        <f>IFERROR(VLOOKUP(D922,'[1]Product Datasheet'!$A:$G,6,0),"")</f>
        <v/>
      </c>
      <c r="Q922" s="47" t="str">
        <f>IFERROR(VLOOKUP(D922,'[1]Product Datasheet'!$A:$G,7,0), "")</f>
        <v/>
      </c>
      <c r="R922" s="48"/>
      <c r="S922" s="49" t="str">
        <f t="shared" si="35"/>
        <v>Accept</v>
      </c>
      <c r="T922" s="50"/>
      <c r="U922" s="51"/>
    </row>
    <row r="923" spans="1:21" ht="24.75" customHeight="1" x14ac:dyDescent="0.3">
      <c r="A923" s="38" t="str">
        <f>IFERROR(VLOOKUP(D923,'[1]Product Datasheet'!$A:$G,2,0),"")</f>
        <v/>
      </c>
      <c r="B923" s="39" t="str">
        <f>IFERROR(VLOOKUP(D923,'[1]Product Datasheet'!$A:$G,3,0),"")</f>
        <v/>
      </c>
      <c r="C923" s="40"/>
      <c r="D923" s="41"/>
      <c r="E923" s="41"/>
      <c r="F923" s="41"/>
      <c r="G923" s="42"/>
      <c r="H923" s="43"/>
      <c r="I923" s="42"/>
      <c r="J923" s="44"/>
      <c r="K923" s="44"/>
      <c r="L923" s="44"/>
      <c r="M923" s="45" t="str">
        <f t="shared" si="34"/>
        <v>Pass</v>
      </c>
      <c r="N923" s="46" t="str">
        <f>IFERROR(VLOOKUP(D923,'[1]Product Datasheet'!$A:$G,4,0),"")</f>
        <v/>
      </c>
      <c r="O923" s="47" t="str">
        <f>IFERROR(VLOOKUP(D923,'[1]Product Datasheet'!$A:$G,5,0),"")</f>
        <v/>
      </c>
      <c r="P923" s="47" t="str">
        <f>IFERROR(VLOOKUP(D923,'[1]Product Datasheet'!$A:$G,6,0),"")</f>
        <v/>
      </c>
      <c r="Q923" s="47" t="str">
        <f>IFERROR(VLOOKUP(D923,'[1]Product Datasheet'!$A:$G,7,0), "")</f>
        <v/>
      </c>
      <c r="R923" s="48"/>
      <c r="S923" s="49" t="str">
        <f t="shared" si="35"/>
        <v>Accept</v>
      </c>
      <c r="T923" s="50"/>
      <c r="U923" s="51"/>
    </row>
    <row r="924" spans="1:21" ht="24.75" customHeight="1" x14ac:dyDescent="0.3">
      <c r="A924" s="38" t="str">
        <f>IFERROR(VLOOKUP(D924,'[1]Product Datasheet'!$A:$G,2,0),"")</f>
        <v/>
      </c>
      <c r="B924" s="39" t="str">
        <f>IFERROR(VLOOKUP(D924,'[1]Product Datasheet'!$A:$G,3,0),"")</f>
        <v/>
      </c>
      <c r="C924" s="40"/>
      <c r="D924" s="41"/>
      <c r="E924" s="41"/>
      <c r="F924" s="41"/>
      <c r="G924" s="42"/>
      <c r="H924" s="43"/>
      <c r="I924" s="42"/>
      <c r="J924" s="44"/>
      <c r="K924" s="44"/>
      <c r="L924" s="44"/>
      <c r="M924" s="45" t="str">
        <f t="shared" si="34"/>
        <v>Pass</v>
      </c>
      <c r="N924" s="46" t="str">
        <f>IFERROR(VLOOKUP(D924,'[1]Product Datasheet'!$A:$G,4,0),"")</f>
        <v/>
      </c>
      <c r="O924" s="47" t="str">
        <f>IFERROR(VLOOKUP(D924,'[1]Product Datasheet'!$A:$G,5,0),"")</f>
        <v/>
      </c>
      <c r="P924" s="47" t="str">
        <f>IFERROR(VLOOKUP(D924,'[1]Product Datasheet'!$A:$G,6,0),"")</f>
        <v/>
      </c>
      <c r="Q924" s="47" t="str">
        <f>IFERROR(VLOOKUP(D924,'[1]Product Datasheet'!$A:$G,7,0), "")</f>
        <v/>
      </c>
      <c r="R924" s="48"/>
      <c r="S924" s="49" t="str">
        <f t="shared" si="35"/>
        <v>Accept</v>
      </c>
      <c r="T924" s="50"/>
      <c r="U924" s="51"/>
    </row>
    <row r="925" spans="1:21" ht="24.75" customHeight="1" x14ac:dyDescent="0.3">
      <c r="A925" s="38" t="str">
        <f>IFERROR(VLOOKUP(D925,'[1]Product Datasheet'!$A:$G,2,0),"")</f>
        <v/>
      </c>
      <c r="B925" s="39" t="str">
        <f>IFERROR(VLOOKUP(D925,'[1]Product Datasheet'!$A:$G,3,0),"")</f>
        <v/>
      </c>
      <c r="C925" s="40"/>
      <c r="D925" s="41"/>
      <c r="E925" s="41"/>
      <c r="F925" s="41"/>
      <c r="G925" s="42"/>
      <c r="H925" s="43"/>
      <c r="I925" s="42"/>
      <c r="J925" s="44"/>
      <c r="K925" s="44"/>
      <c r="L925" s="44"/>
      <c r="M925" s="45" t="str">
        <f t="shared" si="34"/>
        <v>Pass</v>
      </c>
      <c r="N925" s="46" t="str">
        <f>IFERROR(VLOOKUP(D925,'[1]Product Datasheet'!$A:$G,4,0),"")</f>
        <v/>
      </c>
      <c r="O925" s="47" t="str">
        <f>IFERROR(VLOOKUP(D925,'[1]Product Datasheet'!$A:$G,5,0),"")</f>
        <v/>
      </c>
      <c r="P925" s="47" t="str">
        <f>IFERROR(VLOOKUP(D925,'[1]Product Datasheet'!$A:$G,6,0),"")</f>
        <v/>
      </c>
      <c r="Q925" s="47" t="str">
        <f>IFERROR(VLOOKUP(D925,'[1]Product Datasheet'!$A:$G,7,0), "")</f>
        <v/>
      </c>
      <c r="R925" s="48"/>
      <c r="S925" s="49" t="str">
        <f t="shared" si="35"/>
        <v>Accept</v>
      </c>
      <c r="T925" s="50"/>
      <c r="U925" s="51"/>
    </row>
    <row r="926" spans="1:21" ht="24.75" customHeight="1" x14ac:dyDescent="0.3">
      <c r="A926" s="38" t="str">
        <f>IFERROR(VLOOKUP(D926,'[1]Product Datasheet'!$A:$G,2,0),"")</f>
        <v/>
      </c>
      <c r="B926" s="39" t="str">
        <f>IFERROR(VLOOKUP(D926,'[1]Product Datasheet'!$A:$G,3,0),"")</f>
        <v/>
      </c>
      <c r="C926" s="40"/>
      <c r="D926" s="41"/>
      <c r="E926" s="41"/>
      <c r="F926" s="41"/>
      <c r="G926" s="42"/>
      <c r="H926" s="43"/>
      <c r="I926" s="42"/>
      <c r="J926" s="44"/>
      <c r="K926" s="44"/>
      <c r="L926" s="44"/>
      <c r="M926" s="45" t="str">
        <f t="shared" si="34"/>
        <v>Pass</v>
      </c>
      <c r="N926" s="46" t="str">
        <f>IFERROR(VLOOKUP(D926,'[1]Product Datasheet'!$A:$G,4,0),"")</f>
        <v/>
      </c>
      <c r="O926" s="47" t="str">
        <f>IFERROR(VLOOKUP(D926,'[1]Product Datasheet'!$A:$G,5,0),"")</f>
        <v/>
      </c>
      <c r="P926" s="47" t="str">
        <f>IFERROR(VLOOKUP(D926,'[1]Product Datasheet'!$A:$G,6,0),"")</f>
        <v/>
      </c>
      <c r="Q926" s="47" t="str">
        <f>IFERROR(VLOOKUP(D926,'[1]Product Datasheet'!$A:$G,7,0), "")</f>
        <v/>
      </c>
      <c r="R926" s="48"/>
      <c r="S926" s="49" t="str">
        <f t="shared" si="35"/>
        <v>Accept</v>
      </c>
      <c r="T926" s="50"/>
      <c r="U926" s="51"/>
    </row>
    <row r="927" spans="1:21" ht="24.75" customHeight="1" x14ac:dyDescent="0.3">
      <c r="A927" s="38" t="str">
        <f>IFERROR(VLOOKUP(D927,'[1]Product Datasheet'!$A:$G,2,0),"")</f>
        <v/>
      </c>
      <c r="B927" s="39" t="str">
        <f>IFERROR(VLOOKUP(D927,'[1]Product Datasheet'!$A:$G,3,0),"")</f>
        <v/>
      </c>
      <c r="C927" s="40"/>
      <c r="D927" s="41"/>
      <c r="E927" s="41"/>
      <c r="F927" s="41"/>
      <c r="G927" s="42"/>
      <c r="H927" s="43"/>
      <c r="I927" s="42"/>
      <c r="J927" s="44"/>
      <c r="K927" s="44"/>
      <c r="L927" s="44"/>
      <c r="M927" s="45" t="str">
        <f t="shared" si="34"/>
        <v>Pass</v>
      </c>
      <c r="N927" s="46" t="str">
        <f>IFERROR(VLOOKUP(D927,'[1]Product Datasheet'!$A:$G,4,0),"")</f>
        <v/>
      </c>
      <c r="O927" s="47" t="str">
        <f>IFERROR(VLOOKUP(D927,'[1]Product Datasheet'!$A:$G,5,0),"")</f>
        <v/>
      </c>
      <c r="P927" s="47" t="str">
        <f>IFERROR(VLOOKUP(D927,'[1]Product Datasheet'!$A:$G,6,0),"")</f>
        <v/>
      </c>
      <c r="Q927" s="47" t="str">
        <f>IFERROR(VLOOKUP(D927,'[1]Product Datasheet'!$A:$G,7,0), "")</f>
        <v/>
      </c>
      <c r="R927" s="48"/>
      <c r="S927" s="49" t="str">
        <f t="shared" si="35"/>
        <v>Accept</v>
      </c>
      <c r="T927" s="50"/>
      <c r="U927" s="51"/>
    </row>
    <row r="928" spans="1:21" ht="24.75" customHeight="1" x14ac:dyDescent="0.3">
      <c r="A928" s="38" t="str">
        <f>IFERROR(VLOOKUP(D928,'[1]Product Datasheet'!$A:$G,2,0),"")</f>
        <v/>
      </c>
      <c r="B928" s="39" t="str">
        <f>IFERROR(VLOOKUP(D928,'[1]Product Datasheet'!$A:$G,3,0),"")</f>
        <v/>
      </c>
      <c r="C928" s="40"/>
      <c r="D928" s="41"/>
      <c r="E928" s="41"/>
      <c r="F928" s="41"/>
      <c r="G928" s="42"/>
      <c r="H928" s="43"/>
      <c r="I928" s="42"/>
      <c r="J928" s="44"/>
      <c r="K928" s="44"/>
      <c r="L928" s="44"/>
      <c r="M928" s="45" t="str">
        <f t="shared" si="34"/>
        <v>Pass</v>
      </c>
      <c r="N928" s="46" t="str">
        <f>IFERROR(VLOOKUP(D928,'[1]Product Datasheet'!$A:$G,4,0),"")</f>
        <v/>
      </c>
      <c r="O928" s="47" t="str">
        <f>IFERROR(VLOOKUP(D928,'[1]Product Datasheet'!$A:$G,5,0),"")</f>
        <v/>
      </c>
      <c r="P928" s="47" t="str">
        <f>IFERROR(VLOOKUP(D928,'[1]Product Datasheet'!$A:$G,6,0),"")</f>
        <v/>
      </c>
      <c r="Q928" s="47" t="str">
        <f>IFERROR(VLOOKUP(D928,'[1]Product Datasheet'!$A:$G,7,0), "")</f>
        <v/>
      </c>
      <c r="R928" s="48"/>
      <c r="S928" s="49" t="str">
        <f t="shared" si="35"/>
        <v>Accept</v>
      </c>
      <c r="T928" s="50"/>
      <c r="U928" s="51"/>
    </row>
    <row r="929" spans="1:21" ht="24.75" customHeight="1" x14ac:dyDescent="0.3">
      <c r="A929" s="38" t="str">
        <f>IFERROR(VLOOKUP(D929,'[1]Product Datasheet'!$A:$G,2,0),"")</f>
        <v/>
      </c>
      <c r="B929" s="39" t="str">
        <f>IFERROR(VLOOKUP(D929,'[1]Product Datasheet'!$A:$G,3,0),"")</f>
        <v/>
      </c>
      <c r="C929" s="40"/>
      <c r="D929" s="41"/>
      <c r="E929" s="41"/>
      <c r="F929" s="41"/>
      <c r="G929" s="42"/>
      <c r="H929" s="43"/>
      <c r="I929" s="42"/>
      <c r="J929" s="44"/>
      <c r="K929" s="44"/>
      <c r="L929" s="44"/>
      <c r="M929" s="45" t="str">
        <f t="shared" si="34"/>
        <v>Pass</v>
      </c>
      <c r="N929" s="46" t="str">
        <f>IFERROR(VLOOKUP(D929,'[1]Product Datasheet'!$A:$G,4,0),"")</f>
        <v/>
      </c>
      <c r="O929" s="47" t="str">
        <f>IFERROR(VLOOKUP(D929,'[1]Product Datasheet'!$A:$G,5,0),"")</f>
        <v/>
      </c>
      <c r="P929" s="47" t="str">
        <f>IFERROR(VLOOKUP(D929,'[1]Product Datasheet'!$A:$G,6,0),"")</f>
        <v/>
      </c>
      <c r="Q929" s="47" t="str">
        <f>IFERROR(VLOOKUP(D929,'[1]Product Datasheet'!$A:$G,7,0), "")</f>
        <v/>
      </c>
      <c r="R929" s="48"/>
      <c r="S929" s="49" t="str">
        <f t="shared" si="35"/>
        <v>Accept</v>
      </c>
      <c r="T929" s="50"/>
      <c r="U929" s="51"/>
    </row>
    <row r="930" spans="1:21" ht="24.75" customHeight="1" x14ac:dyDescent="0.3">
      <c r="A930" s="38" t="str">
        <f>IFERROR(VLOOKUP(D930,'[1]Product Datasheet'!$A:$G,2,0),"")</f>
        <v/>
      </c>
      <c r="B930" s="39" t="str">
        <f>IFERROR(VLOOKUP(D930,'[1]Product Datasheet'!$A:$G,3,0),"")</f>
        <v/>
      </c>
      <c r="C930" s="40"/>
      <c r="D930" s="41"/>
      <c r="E930" s="41"/>
      <c r="F930" s="41"/>
      <c r="G930" s="42"/>
      <c r="H930" s="43"/>
      <c r="I930" s="42"/>
      <c r="J930" s="44"/>
      <c r="K930" s="44"/>
      <c r="L930" s="44"/>
      <c r="M930" s="45" t="str">
        <f t="shared" si="34"/>
        <v>Pass</v>
      </c>
      <c r="N930" s="46" t="str">
        <f>IFERROR(VLOOKUP(D930,'[1]Product Datasheet'!$A:$G,4,0),"")</f>
        <v/>
      </c>
      <c r="O930" s="47" t="str">
        <f>IFERROR(VLOOKUP(D930,'[1]Product Datasheet'!$A:$G,5,0),"")</f>
        <v/>
      </c>
      <c r="P930" s="47" t="str">
        <f>IFERROR(VLOOKUP(D930,'[1]Product Datasheet'!$A:$G,6,0),"")</f>
        <v/>
      </c>
      <c r="Q930" s="47" t="str">
        <f>IFERROR(VLOOKUP(D930,'[1]Product Datasheet'!$A:$G,7,0), "")</f>
        <v/>
      </c>
      <c r="R930" s="48"/>
      <c r="S930" s="49" t="str">
        <f t="shared" si="35"/>
        <v>Accept</v>
      </c>
      <c r="T930" s="50"/>
      <c r="U930" s="51"/>
    </row>
    <row r="931" spans="1:21" ht="24.75" customHeight="1" x14ac:dyDescent="0.3">
      <c r="A931" s="38" t="str">
        <f>IFERROR(VLOOKUP(D931,'[1]Product Datasheet'!$A:$G,2,0),"")</f>
        <v/>
      </c>
      <c r="B931" s="39" t="str">
        <f>IFERROR(VLOOKUP(D931,'[1]Product Datasheet'!$A:$G,3,0),"")</f>
        <v/>
      </c>
      <c r="C931" s="40"/>
      <c r="D931" s="41"/>
      <c r="E931" s="41"/>
      <c r="F931" s="41"/>
      <c r="G931" s="42"/>
      <c r="H931" s="43"/>
      <c r="I931" s="42"/>
      <c r="J931" s="44"/>
      <c r="K931" s="44"/>
      <c r="L931" s="44"/>
      <c r="M931" s="45" t="str">
        <f t="shared" si="34"/>
        <v>Pass</v>
      </c>
      <c r="N931" s="46" t="str">
        <f>IFERROR(VLOOKUP(D931,'[1]Product Datasheet'!$A:$G,4,0),"")</f>
        <v/>
      </c>
      <c r="O931" s="47" t="str">
        <f>IFERROR(VLOOKUP(D931,'[1]Product Datasheet'!$A:$G,5,0),"")</f>
        <v/>
      </c>
      <c r="P931" s="47" t="str">
        <f>IFERROR(VLOOKUP(D931,'[1]Product Datasheet'!$A:$G,6,0),"")</f>
        <v/>
      </c>
      <c r="Q931" s="47" t="str">
        <f>IFERROR(VLOOKUP(D931,'[1]Product Datasheet'!$A:$G,7,0), "")</f>
        <v/>
      </c>
      <c r="R931" s="48"/>
      <c r="S931" s="49" t="str">
        <f t="shared" si="35"/>
        <v>Accept</v>
      </c>
      <c r="T931" s="50"/>
      <c r="U931" s="51"/>
    </row>
    <row r="932" spans="1:21" ht="24.75" customHeight="1" x14ac:dyDescent="0.3">
      <c r="A932" s="38" t="str">
        <f>IFERROR(VLOOKUP(D932,'[1]Product Datasheet'!$A:$G,2,0),"")</f>
        <v/>
      </c>
      <c r="B932" s="39" t="str">
        <f>IFERROR(VLOOKUP(D932,'[1]Product Datasheet'!$A:$G,3,0),"")</f>
        <v/>
      </c>
      <c r="C932" s="40"/>
      <c r="D932" s="41"/>
      <c r="E932" s="41"/>
      <c r="F932" s="41"/>
      <c r="G932" s="42"/>
      <c r="H932" s="43"/>
      <c r="I932" s="42"/>
      <c r="J932" s="44"/>
      <c r="K932" s="44"/>
      <c r="L932" s="44"/>
      <c r="M932" s="45" t="str">
        <f t="shared" si="34"/>
        <v>Pass</v>
      </c>
      <c r="N932" s="46" t="str">
        <f>IFERROR(VLOOKUP(D932,'[1]Product Datasheet'!$A:$G,4,0),"")</f>
        <v/>
      </c>
      <c r="O932" s="47" t="str">
        <f>IFERROR(VLOOKUP(D932,'[1]Product Datasheet'!$A:$G,5,0),"")</f>
        <v/>
      </c>
      <c r="P932" s="47" t="str">
        <f>IFERROR(VLOOKUP(D932,'[1]Product Datasheet'!$A:$G,6,0),"")</f>
        <v/>
      </c>
      <c r="Q932" s="47" t="str">
        <f>IFERROR(VLOOKUP(D932,'[1]Product Datasheet'!$A:$G,7,0), "")</f>
        <v/>
      </c>
      <c r="R932" s="48"/>
      <c r="S932" s="49" t="str">
        <f t="shared" si="35"/>
        <v>Accept</v>
      </c>
      <c r="T932" s="50"/>
      <c r="U932" s="51"/>
    </row>
    <row r="933" spans="1:21" ht="24.75" customHeight="1" x14ac:dyDescent="0.3">
      <c r="A933" s="38" t="str">
        <f>IFERROR(VLOOKUP(D933,'[1]Product Datasheet'!$A:$G,2,0),"")</f>
        <v/>
      </c>
      <c r="B933" s="39" t="str">
        <f>IFERROR(VLOOKUP(D933,'[1]Product Datasheet'!$A:$G,3,0),"")</f>
        <v/>
      </c>
      <c r="C933" s="40"/>
      <c r="D933" s="41"/>
      <c r="E933" s="41"/>
      <c r="F933" s="41"/>
      <c r="G933" s="42"/>
      <c r="H933" s="43"/>
      <c r="I933" s="42"/>
      <c r="J933" s="44"/>
      <c r="K933" s="44"/>
      <c r="L933" s="44"/>
      <c r="M933" s="45" t="str">
        <f t="shared" si="34"/>
        <v>Pass</v>
      </c>
      <c r="N933" s="46" t="str">
        <f>IFERROR(VLOOKUP(D933,'[1]Product Datasheet'!$A:$G,4,0),"")</f>
        <v/>
      </c>
      <c r="O933" s="47" t="str">
        <f>IFERROR(VLOOKUP(D933,'[1]Product Datasheet'!$A:$G,5,0),"")</f>
        <v/>
      </c>
      <c r="P933" s="47" t="str">
        <f>IFERROR(VLOOKUP(D933,'[1]Product Datasheet'!$A:$G,6,0),"")</f>
        <v/>
      </c>
      <c r="Q933" s="47" t="str">
        <f>IFERROR(VLOOKUP(D933,'[1]Product Datasheet'!$A:$G,7,0), "")</f>
        <v/>
      </c>
      <c r="R933" s="48"/>
      <c r="S933" s="49" t="str">
        <f t="shared" si="35"/>
        <v>Accept</v>
      </c>
      <c r="T933" s="50"/>
      <c r="U933" s="51"/>
    </row>
    <row r="934" spans="1:21" ht="24.75" customHeight="1" x14ac:dyDescent="0.3">
      <c r="A934" s="38" t="str">
        <f>IFERROR(VLOOKUP(D934,'[1]Product Datasheet'!$A:$G,2,0),"")</f>
        <v/>
      </c>
      <c r="B934" s="39" t="str">
        <f>IFERROR(VLOOKUP(D934,'[1]Product Datasheet'!$A:$G,3,0),"")</f>
        <v/>
      </c>
      <c r="C934" s="40"/>
      <c r="D934" s="41"/>
      <c r="E934" s="41"/>
      <c r="F934" s="41"/>
      <c r="G934" s="42"/>
      <c r="H934" s="43"/>
      <c r="I934" s="42"/>
      <c r="J934" s="44"/>
      <c r="K934" s="44"/>
      <c r="L934" s="44"/>
      <c r="M934" s="45" t="str">
        <f t="shared" si="34"/>
        <v>Pass</v>
      </c>
      <c r="N934" s="46" t="str">
        <f>IFERROR(VLOOKUP(D934,'[1]Product Datasheet'!$A:$G,4,0),"")</f>
        <v/>
      </c>
      <c r="O934" s="47" t="str">
        <f>IFERROR(VLOOKUP(D934,'[1]Product Datasheet'!$A:$G,5,0),"")</f>
        <v/>
      </c>
      <c r="P934" s="47" t="str">
        <f>IFERROR(VLOOKUP(D934,'[1]Product Datasheet'!$A:$G,6,0),"")</f>
        <v/>
      </c>
      <c r="Q934" s="47" t="str">
        <f>IFERROR(VLOOKUP(D934,'[1]Product Datasheet'!$A:$G,7,0), "")</f>
        <v/>
      </c>
      <c r="R934" s="48"/>
      <c r="S934" s="49" t="str">
        <f t="shared" si="35"/>
        <v>Accept</v>
      </c>
      <c r="T934" s="50"/>
      <c r="U934" s="51"/>
    </row>
    <row r="935" spans="1:21" ht="24.75" customHeight="1" x14ac:dyDescent="0.3">
      <c r="A935" s="38" t="str">
        <f>IFERROR(VLOOKUP(D935,'[1]Product Datasheet'!$A:$G,2,0),"")</f>
        <v/>
      </c>
      <c r="B935" s="39" t="str">
        <f>IFERROR(VLOOKUP(D935,'[1]Product Datasheet'!$A:$G,3,0),"")</f>
        <v/>
      </c>
      <c r="C935" s="40"/>
      <c r="D935" s="41"/>
      <c r="E935" s="41"/>
      <c r="F935" s="41"/>
      <c r="G935" s="42"/>
      <c r="H935" s="43"/>
      <c r="I935" s="42"/>
      <c r="J935" s="44"/>
      <c r="K935" s="44"/>
      <c r="L935" s="44"/>
      <c r="M935" s="45" t="str">
        <f t="shared" si="34"/>
        <v>Pass</v>
      </c>
      <c r="N935" s="46" t="str">
        <f>IFERROR(VLOOKUP(D935,'[1]Product Datasheet'!$A:$G,4,0),"")</f>
        <v/>
      </c>
      <c r="O935" s="47" t="str">
        <f>IFERROR(VLOOKUP(D935,'[1]Product Datasheet'!$A:$G,5,0),"")</f>
        <v/>
      </c>
      <c r="P935" s="47" t="str">
        <f>IFERROR(VLOOKUP(D935,'[1]Product Datasheet'!$A:$G,6,0),"")</f>
        <v/>
      </c>
      <c r="Q935" s="47" t="str">
        <f>IFERROR(VLOOKUP(D935,'[1]Product Datasheet'!$A:$G,7,0), "")</f>
        <v/>
      </c>
      <c r="R935" s="48"/>
      <c r="S935" s="49" t="str">
        <f t="shared" si="35"/>
        <v>Accept</v>
      </c>
      <c r="T935" s="50"/>
      <c r="U935" s="51"/>
    </row>
    <row r="936" spans="1:21" ht="24.75" customHeight="1" x14ac:dyDescent="0.3">
      <c r="A936" s="38" t="str">
        <f>IFERROR(VLOOKUP(D936,'[1]Product Datasheet'!$A:$G,2,0),"")</f>
        <v/>
      </c>
      <c r="B936" s="39" t="str">
        <f>IFERROR(VLOOKUP(D936,'[1]Product Datasheet'!$A:$G,3,0),"")</f>
        <v/>
      </c>
      <c r="C936" s="40"/>
      <c r="D936" s="41"/>
      <c r="E936" s="41"/>
      <c r="F936" s="41"/>
      <c r="G936" s="42"/>
      <c r="H936" s="43"/>
      <c r="I936" s="42"/>
      <c r="J936" s="44"/>
      <c r="K936" s="44"/>
      <c r="L936" s="44"/>
      <c r="M936" s="45" t="str">
        <f t="shared" si="34"/>
        <v>Pass</v>
      </c>
      <c r="N936" s="46" t="str">
        <f>IFERROR(VLOOKUP(D936,'[1]Product Datasheet'!$A:$G,4,0),"")</f>
        <v/>
      </c>
      <c r="O936" s="47" t="str">
        <f>IFERROR(VLOOKUP(D936,'[1]Product Datasheet'!$A:$G,5,0),"")</f>
        <v/>
      </c>
      <c r="P936" s="47" t="str">
        <f>IFERROR(VLOOKUP(D936,'[1]Product Datasheet'!$A:$G,6,0),"")</f>
        <v/>
      </c>
      <c r="Q936" s="47" t="str">
        <f>IFERROR(VLOOKUP(D936,'[1]Product Datasheet'!$A:$G,7,0), "")</f>
        <v/>
      </c>
      <c r="R936" s="48"/>
      <c r="S936" s="49" t="str">
        <f t="shared" si="35"/>
        <v>Accept</v>
      </c>
      <c r="T936" s="50"/>
      <c r="U936" s="51"/>
    </row>
    <row r="937" spans="1:21" ht="24.75" customHeight="1" x14ac:dyDescent="0.3">
      <c r="A937" s="38" t="str">
        <f>IFERROR(VLOOKUP(D937,'[1]Product Datasheet'!$A:$G,2,0),"")</f>
        <v/>
      </c>
      <c r="B937" s="39" t="str">
        <f>IFERROR(VLOOKUP(D937,'[1]Product Datasheet'!$A:$G,3,0),"")</f>
        <v/>
      </c>
      <c r="C937" s="40"/>
      <c r="D937" s="41"/>
      <c r="E937" s="41"/>
      <c r="F937" s="41"/>
      <c r="G937" s="42"/>
      <c r="H937" s="43"/>
      <c r="I937" s="42"/>
      <c r="J937" s="44"/>
      <c r="K937" s="44"/>
      <c r="L937" s="44"/>
      <c r="M937" s="45" t="str">
        <f t="shared" si="34"/>
        <v>Pass</v>
      </c>
      <c r="N937" s="46" t="str">
        <f>IFERROR(VLOOKUP(D937,'[1]Product Datasheet'!$A:$G,4,0),"")</f>
        <v/>
      </c>
      <c r="O937" s="47" t="str">
        <f>IFERROR(VLOOKUP(D937,'[1]Product Datasheet'!$A:$G,5,0),"")</f>
        <v/>
      </c>
      <c r="P937" s="47" t="str">
        <f>IFERROR(VLOOKUP(D937,'[1]Product Datasheet'!$A:$G,6,0),"")</f>
        <v/>
      </c>
      <c r="Q937" s="47" t="str">
        <f>IFERROR(VLOOKUP(D937,'[1]Product Datasheet'!$A:$G,7,0), "")</f>
        <v/>
      </c>
      <c r="R937" s="48"/>
      <c r="S937" s="49" t="str">
        <f t="shared" si="35"/>
        <v>Accept</v>
      </c>
      <c r="T937" s="50"/>
      <c r="U937" s="51"/>
    </row>
    <row r="938" spans="1:21" ht="24.75" customHeight="1" x14ac:dyDescent="0.3">
      <c r="A938" s="38" t="str">
        <f>IFERROR(VLOOKUP(D938,'[1]Product Datasheet'!$A:$G,2,0),"")</f>
        <v/>
      </c>
      <c r="B938" s="39" t="str">
        <f>IFERROR(VLOOKUP(D938,'[1]Product Datasheet'!$A:$G,3,0),"")</f>
        <v/>
      </c>
      <c r="C938" s="40"/>
      <c r="D938" s="41"/>
      <c r="E938" s="41"/>
      <c r="F938" s="41"/>
      <c r="G938" s="42"/>
      <c r="H938" s="43"/>
      <c r="I938" s="42"/>
      <c r="J938" s="44"/>
      <c r="K938" s="44"/>
      <c r="L938" s="44"/>
      <c r="M938" s="45" t="str">
        <f t="shared" si="34"/>
        <v>Pass</v>
      </c>
      <c r="N938" s="46" t="str">
        <f>IFERROR(VLOOKUP(D938,'[1]Product Datasheet'!$A:$G,4,0),"")</f>
        <v/>
      </c>
      <c r="O938" s="47" t="str">
        <f>IFERROR(VLOOKUP(D938,'[1]Product Datasheet'!$A:$G,5,0),"")</f>
        <v/>
      </c>
      <c r="P938" s="47" t="str">
        <f>IFERROR(VLOOKUP(D938,'[1]Product Datasheet'!$A:$G,6,0),"")</f>
        <v/>
      </c>
      <c r="Q938" s="47" t="str">
        <f>IFERROR(VLOOKUP(D938,'[1]Product Datasheet'!$A:$G,7,0), "")</f>
        <v/>
      </c>
      <c r="R938" s="48"/>
      <c r="S938" s="49" t="str">
        <f t="shared" si="35"/>
        <v>Accept</v>
      </c>
      <c r="T938" s="50"/>
      <c r="U938" s="51"/>
    </row>
    <row r="939" spans="1:21" ht="24.75" customHeight="1" x14ac:dyDescent="0.3">
      <c r="A939" s="38" t="str">
        <f>IFERROR(VLOOKUP(D939,'[1]Product Datasheet'!$A:$G,2,0),"")</f>
        <v/>
      </c>
      <c r="B939" s="39" t="str">
        <f>IFERROR(VLOOKUP(D939,'[1]Product Datasheet'!$A:$G,3,0),"")</f>
        <v/>
      </c>
      <c r="C939" s="40"/>
      <c r="D939" s="41"/>
      <c r="E939" s="41"/>
      <c r="F939" s="41"/>
      <c r="G939" s="42"/>
      <c r="H939" s="43"/>
      <c r="I939" s="42"/>
      <c r="J939" s="44"/>
      <c r="K939" s="44"/>
      <c r="L939" s="44"/>
      <c r="M939" s="45" t="str">
        <f t="shared" si="34"/>
        <v>Pass</v>
      </c>
      <c r="N939" s="46" t="str">
        <f>IFERROR(VLOOKUP(D939,'[1]Product Datasheet'!$A:$G,4,0),"")</f>
        <v/>
      </c>
      <c r="O939" s="47" t="str">
        <f>IFERROR(VLOOKUP(D939,'[1]Product Datasheet'!$A:$G,5,0),"")</f>
        <v/>
      </c>
      <c r="P939" s="47" t="str">
        <f>IFERROR(VLOOKUP(D939,'[1]Product Datasheet'!$A:$G,6,0),"")</f>
        <v/>
      </c>
      <c r="Q939" s="47" t="str">
        <f>IFERROR(VLOOKUP(D939,'[1]Product Datasheet'!$A:$G,7,0), "")</f>
        <v/>
      </c>
      <c r="R939" s="48"/>
      <c r="S939" s="49" t="str">
        <f t="shared" si="35"/>
        <v>Accept</v>
      </c>
      <c r="T939" s="50"/>
      <c r="U939" s="51"/>
    </row>
    <row r="940" spans="1:21" ht="24.75" customHeight="1" x14ac:dyDescent="0.3">
      <c r="A940" s="38" t="str">
        <f>IFERROR(VLOOKUP(D940,'[1]Product Datasheet'!$A:$G,2,0),"")</f>
        <v/>
      </c>
      <c r="B940" s="39" t="str">
        <f>IFERROR(VLOOKUP(D940,'[1]Product Datasheet'!$A:$G,3,0),"")</f>
        <v/>
      </c>
      <c r="C940" s="40"/>
      <c r="D940" s="41"/>
      <c r="E940" s="41"/>
      <c r="F940" s="41"/>
      <c r="G940" s="42"/>
      <c r="H940" s="43"/>
      <c r="I940" s="42"/>
      <c r="J940" s="44"/>
      <c r="K940" s="44"/>
      <c r="L940" s="44"/>
      <c r="M940" s="45" t="str">
        <f t="shared" si="34"/>
        <v>Pass</v>
      </c>
      <c r="N940" s="46" t="str">
        <f>IFERROR(VLOOKUP(D940,'[1]Product Datasheet'!$A:$G,4,0),"")</f>
        <v/>
      </c>
      <c r="O940" s="47" t="str">
        <f>IFERROR(VLOOKUP(D940,'[1]Product Datasheet'!$A:$G,5,0),"")</f>
        <v/>
      </c>
      <c r="P940" s="47" t="str">
        <f>IFERROR(VLOOKUP(D940,'[1]Product Datasheet'!$A:$G,6,0),"")</f>
        <v/>
      </c>
      <c r="Q940" s="47" t="str">
        <f>IFERROR(VLOOKUP(D940,'[1]Product Datasheet'!$A:$G,7,0), "")</f>
        <v/>
      </c>
      <c r="R940" s="48"/>
      <c r="S940" s="49" t="str">
        <f t="shared" si="35"/>
        <v>Accept</v>
      </c>
      <c r="T940" s="50"/>
      <c r="U940" s="51"/>
    </row>
    <row r="941" spans="1:21" ht="24.75" customHeight="1" x14ac:dyDescent="0.3">
      <c r="A941" s="38" t="str">
        <f>IFERROR(VLOOKUP(D941,'[1]Product Datasheet'!$A:$G,2,0),"")</f>
        <v/>
      </c>
      <c r="B941" s="39" t="str">
        <f>IFERROR(VLOOKUP(D941,'[1]Product Datasheet'!$A:$G,3,0),"")</f>
        <v/>
      </c>
      <c r="C941" s="40"/>
      <c r="D941" s="41"/>
      <c r="E941" s="41"/>
      <c r="F941" s="41"/>
      <c r="G941" s="42"/>
      <c r="H941" s="43"/>
      <c r="I941" s="42"/>
      <c r="J941" s="44"/>
      <c r="K941" s="44"/>
      <c r="L941" s="44"/>
      <c r="M941" s="45" t="str">
        <f t="shared" si="34"/>
        <v>Pass</v>
      </c>
      <c r="N941" s="46" t="str">
        <f>IFERROR(VLOOKUP(D941,'[1]Product Datasheet'!$A:$G,4,0),"")</f>
        <v/>
      </c>
      <c r="O941" s="47" t="str">
        <f>IFERROR(VLOOKUP(D941,'[1]Product Datasheet'!$A:$G,5,0),"")</f>
        <v/>
      </c>
      <c r="P941" s="47" t="str">
        <f>IFERROR(VLOOKUP(D941,'[1]Product Datasheet'!$A:$G,6,0),"")</f>
        <v/>
      </c>
      <c r="Q941" s="47" t="str">
        <f>IFERROR(VLOOKUP(D941,'[1]Product Datasheet'!$A:$G,7,0), "")</f>
        <v/>
      </c>
      <c r="R941" s="48"/>
      <c r="S941" s="49" t="str">
        <f t="shared" si="35"/>
        <v>Accept</v>
      </c>
      <c r="T941" s="50"/>
      <c r="U941" s="51"/>
    </row>
    <row r="942" spans="1:21" ht="24.75" customHeight="1" x14ac:dyDescent="0.3">
      <c r="A942" s="38" t="str">
        <f>IFERROR(VLOOKUP(D942,'[1]Product Datasheet'!$A:$G,2,0),"")</f>
        <v/>
      </c>
      <c r="B942" s="39" t="str">
        <f>IFERROR(VLOOKUP(D942,'[1]Product Datasheet'!$A:$G,3,0),"")</f>
        <v/>
      </c>
      <c r="C942" s="40"/>
      <c r="D942" s="41"/>
      <c r="E942" s="41"/>
      <c r="F942" s="41"/>
      <c r="G942" s="42"/>
      <c r="H942" s="43"/>
      <c r="I942" s="42"/>
      <c r="J942" s="44"/>
      <c r="K942" s="44"/>
      <c r="L942" s="44"/>
      <c r="M942" s="45" t="str">
        <f t="shared" si="34"/>
        <v>Pass</v>
      </c>
      <c r="N942" s="46" t="str">
        <f>IFERROR(VLOOKUP(D942,'[1]Product Datasheet'!$A:$G,4,0),"")</f>
        <v/>
      </c>
      <c r="O942" s="47" t="str">
        <f>IFERROR(VLOOKUP(D942,'[1]Product Datasheet'!$A:$G,5,0),"")</f>
        <v/>
      </c>
      <c r="P942" s="47" t="str">
        <f>IFERROR(VLOOKUP(D942,'[1]Product Datasheet'!$A:$G,6,0),"")</f>
        <v/>
      </c>
      <c r="Q942" s="47" t="str">
        <f>IFERROR(VLOOKUP(D942,'[1]Product Datasheet'!$A:$G,7,0), "")</f>
        <v/>
      </c>
      <c r="R942" s="48"/>
      <c r="S942" s="49" t="str">
        <f t="shared" si="35"/>
        <v>Accept</v>
      </c>
      <c r="T942" s="50"/>
      <c r="U942" s="51"/>
    </row>
    <row r="943" spans="1:21" ht="24.75" customHeight="1" x14ac:dyDescent="0.3">
      <c r="A943" s="38" t="str">
        <f>IFERROR(VLOOKUP(D943,'[1]Product Datasheet'!$A:$G,2,0),"")</f>
        <v/>
      </c>
      <c r="B943" s="39" t="str">
        <f>IFERROR(VLOOKUP(D943,'[1]Product Datasheet'!$A:$G,3,0),"")</f>
        <v/>
      </c>
      <c r="C943" s="40"/>
      <c r="D943" s="41"/>
      <c r="E943" s="41"/>
      <c r="F943" s="41"/>
      <c r="G943" s="42"/>
      <c r="H943" s="43"/>
      <c r="I943" s="42"/>
      <c r="J943" s="44"/>
      <c r="K943" s="44"/>
      <c r="L943" s="44"/>
      <c r="M943" s="45" t="str">
        <f t="shared" si="34"/>
        <v>Pass</v>
      </c>
      <c r="N943" s="46" t="str">
        <f>IFERROR(VLOOKUP(D943,'[1]Product Datasheet'!$A:$G,4,0),"")</f>
        <v/>
      </c>
      <c r="O943" s="47" t="str">
        <f>IFERROR(VLOOKUP(D943,'[1]Product Datasheet'!$A:$G,5,0),"")</f>
        <v/>
      </c>
      <c r="P943" s="47" t="str">
        <f>IFERROR(VLOOKUP(D943,'[1]Product Datasheet'!$A:$G,6,0),"")</f>
        <v/>
      </c>
      <c r="Q943" s="47" t="str">
        <f>IFERROR(VLOOKUP(D943,'[1]Product Datasheet'!$A:$G,7,0), "")</f>
        <v/>
      </c>
      <c r="R943" s="48"/>
      <c r="S943" s="49" t="str">
        <f t="shared" si="35"/>
        <v>Accept</v>
      </c>
      <c r="T943" s="50"/>
      <c r="U943" s="51"/>
    </row>
    <row r="944" spans="1:21" ht="24.75" customHeight="1" x14ac:dyDescent="0.3">
      <c r="A944" s="38" t="str">
        <f>IFERROR(VLOOKUP(D944,'[1]Product Datasheet'!$A:$G,2,0),"")</f>
        <v/>
      </c>
      <c r="B944" s="39" t="str">
        <f>IFERROR(VLOOKUP(D944,'[1]Product Datasheet'!$A:$G,3,0),"")</f>
        <v/>
      </c>
      <c r="C944" s="40"/>
      <c r="D944" s="41"/>
      <c r="E944" s="41"/>
      <c r="F944" s="41"/>
      <c r="G944" s="42"/>
      <c r="H944" s="43"/>
      <c r="I944" s="42"/>
      <c r="J944" s="44"/>
      <c r="K944" s="44"/>
      <c r="L944" s="44"/>
      <c r="M944" s="45" t="str">
        <f t="shared" si="34"/>
        <v>Pass</v>
      </c>
      <c r="N944" s="46" t="str">
        <f>IFERROR(VLOOKUP(D944,'[1]Product Datasheet'!$A:$G,4,0),"")</f>
        <v/>
      </c>
      <c r="O944" s="47" t="str">
        <f>IFERROR(VLOOKUP(D944,'[1]Product Datasheet'!$A:$G,5,0),"")</f>
        <v/>
      </c>
      <c r="P944" s="47" t="str">
        <f>IFERROR(VLOOKUP(D944,'[1]Product Datasheet'!$A:$G,6,0),"")</f>
        <v/>
      </c>
      <c r="Q944" s="47" t="str">
        <f>IFERROR(VLOOKUP(D944,'[1]Product Datasheet'!$A:$G,7,0), "")</f>
        <v/>
      </c>
      <c r="R944" s="48"/>
      <c r="S944" s="49" t="str">
        <f t="shared" si="35"/>
        <v>Accept</v>
      </c>
      <c r="T944" s="50"/>
      <c r="U944" s="51"/>
    </row>
    <row r="945" spans="1:21" ht="24.75" customHeight="1" x14ac:dyDescent="0.3">
      <c r="A945" s="38" t="str">
        <f>IFERROR(VLOOKUP(D945,'[1]Product Datasheet'!$A:$G,2,0),"")</f>
        <v/>
      </c>
      <c r="B945" s="39" t="str">
        <f>IFERROR(VLOOKUP(D945,'[1]Product Datasheet'!$A:$G,3,0),"")</f>
        <v/>
      </c>
      <c r="C945" s="40"/>
      <c r="D945" s="41"/>
      <c r="E945" s="41"/>
      <c r="F945" s="41"/>
      <c r="G945" s="42"/>
      <c r="H945" s="43"/>
      <c r="I945" s="42"/>
      <c r="J945" s="44"/>
      <c r="K945" s="44"/>
      <c r="L945" s="44"/>
      <c r="M945" s="45" t="str">
        <f t="shared" si="34"/>
        <v>Pass</v>
      </c>
      <c r="N945" s="46" t="str">
        <f>IFERROR(VLOOKUP(D945,'[1]Product Datasheet'!$A:$G,4,0),"")</f>
        <v/>
      </c>
      <c r="O945" s="47" t="str">
        <f>IFERROR(VLOOKUP(D945,'[1]Product Datasheet'!$A:$G,5,0),"")</f>
        <v/>
      </c>
      <c r="P945" s="47" t="str">
        <f>IFERROR(VLOOKUP(D945,'[1]Product Datasheet'!$A:$G,6,0),"")</f>
        <v/>
      </c>
      <c r="Q945" s="47" t="str">
        <f>IFERROR(VLOOKUP(D945,'[1]Product Datasheet'!$A:$G,7,0), "")</f>
        <v/>
      </c>
      <c r="R945" s="48"/>
      <c r="S945" s="49" t="str">
        <f t="shared" si="35"/>
        <v>Accept</v>
      </c>
      <c r="T945" s="50"/>
      <c r="U945" s="51"/>
    </row>
    <row r="946" spans="1:21" ht="24.75" customHeight="1" x14ac:dyDescent="0.3">
      <c r="A946" s="38" t="str">
        <f>IFERROR(VLOOKUP(D946,'[1]Product Datasheet'!$A:$G,2,0),"")</f>
        <v/>
      </c>
      <c r="B946" s="39" t="str">
        <f>IFERROR(VLOOKUP(D946,'[1]Product Datasheet'!$A:$G,3,0),"")</f>
        <v/>
      </c>
      <c r="C946" s="40"/>
      <c r="D946" s="41"/>
      <c r="E946" s="41"/>
      <c r="F946" s="41"/>
      <c r="G946" s="42"/>
      <c r="H946" s="43"/>
      <c r="I946" s="42"/>
      <c r="J946" s="44"/>
      <c r="K946" s="44"/>
      <c r="L946" s="44"/>
      <c r="M946" s="45" t="str">
        <f t="shared" si="34"/>
        <v>Pass</v>
      </c>
      <c r="N946" s="46" t="str">
        <f>IFERROR(VLOOKUP(D946,'[1]Product Datasheet'!$A:$G,4,0),"")</f>
        <v/>
      </c>
      <c r="O946" s="47" t="str">
        <f>IFERROR(VLOOKUP(D946,'[1]Product Datasheet'!$A:$G,5,0),"")</f>
        <v/>
      </c>
      <c r="P946" s="47" t="str">
        <f>IFERROR(VLOOKUP(D946,'[1]Product Datasheet'!$A:$G,6,0),"")</f>
        <v/>
      </c>
      <c r="Q946" s="47" t="str">
        <f>IFERROR(VLOOKUP(D946,'[1]Product Datasheet'!$A:$G,7,0), "")</f>
        <v/>
      </c>
      <c r="R946" s="48"/>
      <c r="S946" s="49" t="str">
        <f t="shared" si="35"/>
        <v>Accept</v>
      </c>
      <c r="T946" s="50"/>
      <c r="U946" s="51"/>
    </row>
    <row r="947" spans="1:21" ht="24.75" customHeight="1" x14ac:dyDescent="0.3">
      <c r="A947" s="38" t="str">
        <f>IFERROR(VLOOKUP(D947,'[1]Product Datasheet'!$A:$G,2,0),"")</f>
        <v/>
      </c>
      <c r="B947" s="39" t="str">
        <f>IFERROR(VLOOKUP(D947,'[1]Product Datasheet'!$A:$G,3,0),"")</f>
        <v/>
      </c>
      <c r="C947" s="40"/>
      <c r="D947" s="41"/>
      <c r="E947" s="41"/>
      <c r="F947" s="41"/>
      <c r="G947" s="42"/>
      <c r="H947" s="43"/>
      <c r="I947" s="42"/>
      <c r="J947" s="44"/>
      <c r="K947" s="44"/>
      <c r="L947" s="44"/>
      <c r="M947" s="45" t="str">
        <f t="shared" si="34"/>
        <v>Pass</v>
      </c>
      <c r="N947" s="46" t="str">
        <f>IFERROR(VLOOKUP(D947,'[1]Product Datasheet'!$A:$G,4,0),"")</f>
        <v/>
      </c>
      <c r="O947" s="47" t="str">
        <f>IFERROR(VLOOKUP(D947,'[1]Product Datasheet'!$A:$G,5,0),"")</f>
        <v/>
      </c>
      <c r="P947" s="47" t="str">
        <f>IFERROR(VLOOKUP(D947,'[1]Product Datasheet'!$A:$G,6,0),"")</f>
        <v/>
      </c>
      <c r="Q947" s="47" t="str">
        <f>IFERROR(VLOOKUP(D947,'[1]Product Datasheet'!$A:$G,7,0), "")</f>
        <v/>
      </c>
      <c r="R947" s="48"/>
      <c r="S947" s="49" t="str">
        <f t="shared" si="35"/>
        <v>Accept</v>
      </c>
      <c r="T947" s="50"/>
      <c r="U947" s="51"/>
    </row>
    <row r="948" spans="1:21" ht="24.75" customHeight="1" x14ac:dyDescent="0.3">
      <c r="A948" s="38" t="str">
        <f>IFERROR(VLOOKUP(D948,'[1]Product Datasheet'!$A:$G,2,0),"")</f>
        <v/>
      </c>
      <c r="B948" s="39" t="str">
        <f>IFERROR(VLOOKUP(D948,'[1]Product Datasheet'!$A:$G,3,0),"")</f>
        <v/>
      </c>
      <c r="C948" s="40"/>
      <c r="D948" s="41"/>
      <c r="E948" s="41"/>
      <c r="F948" s="41"/>
      <c r="G948" s="42"/>
      <c r="H948" s="43"/>
      <c r="I948" s="42"/>
      <c r="J948" s="44"/>
      <c r="K948" s="44"/>
      <c r="L948" s="44"/>
      <c r="M948" s="45" t="str">
        <f t="shared" si="34"/>
        <v>Pass</v>
      </c>
      <c r="N948" s="46" t="str">
        <f>IFERROR(VLOOKUP(D948,'[1]Product Datasheet'!$A:$G,4,0),"")</f>
        <v/>
      </c>
      <c r="O948" s="47" t="str">
        <f>IFERROR(VLOOKUP(D948,'[1]Product Datasheet'!$A:$G,5,0),"")</f>
        <v/>
      </c>
      <c r="P948" s="47" t="str">
        <f>IFERROR(VLOOKUP(D948,'[1]Product Datasheet'!$A:$G,6,0),"")</f>
        <v/>
      </c>
      <c r="Q948" s="47" t="str">
        <f>IFERROR(VLOOKUP(D948,'[1]Product Datasheet'!$A:$G,7,0), "")</f>
        <v/>
      </c>
      <c r="R948" s="48"/>
      <c r="S948" s="49" t="str">
        <f t="shared" si="35"/>
        <v>Accept</v>
      </c>
      <c r="T948" s="50"/>
      <c r="U948" s="51"/>
    </row>
    <row r="949" spans="1:21" ht="24.75" customHeight="1" x14ac:dyDescent="0.3">
      <c r="A949" s="38" t="str">
        <f>IFERROR(VLOOKUP(D949,'[1]Product Datasheet'!$A:$G,2,0),"")</f>
        <v/>
      </c>
      <c r="B949" s="39" t="str">
        <f>IFERROR(VLOOKUP(D949,'[1]Product Datasheet'!$A:$G,3,0),"")</f>
        <v/>
      </c>
      <c r="C949" s="40"/>
      <c r="D949" s="41"/>
      <c r="E949" s="41"/>
      <c r="F949" s="41"/>
      <c r="G949" s="42"/>
      <c r="H949" s="43"/>
      <c r="I949" s="42"/>
      <c r="J949" s="44"/>
      <c r="K949" s="44"/>
      <c r="L949" s="44"/>
      <c r="M949" s="45" t="str">
        <f t="shared" si="34"/>
        <v>Pass</v>
      </c>
      <c r="N949" s="46" t="str">
        <f>IFERROR(VLOOKUP(D949,'[1]Product Datasheet'!$A:$G,4,0),"")</f>
        <v/>
      </c>
      <c r="O949" s="47" t="str">
        <f>IFERROR(VLOOKUP(D949,'[1]Product Datasheet'!$A:$G,5,0),"")</f>
        <v/>
      </c>
      <c r="P949" s="47" t="str">
        <f>IFERROR(VLOOKUP(D949,'[1]Product Datasheet'!$A:$G,6,0),"")</f>
        <v/>
      </c>
      <c r="Q949" s="47" t="str">
        <f>IFERROR(VLOOKUP(D949,'[1]Product Datasheet'!$A:$G,7,0), "")</f>
        <v/>
      </c>
      <c r="R949" s="48"/>
      <c r="S949" s="49" t="str">
        <f t="shared" si="35"/>
        <v>Accept</v>
      </c>
      <c r="T949" s="50"/>
      <c r="U949" s="51"/>
    </row>
    <row r="950" spans="1:21" ht="24.75" customHeight="1" x14ac:dyDescent="0.3">
      <c r="A950" s="38" t="str">
        <f>IFERROR(VLOOKUP(D950,'[1]Product Datasheet'!$A:$G,2,0),"")</f>
        <v/>
      </c>
      <c r="B950" s="39" t="str">
        <f>IFERROR(VLOOKUP(D950,'[1]Product Datasheet'!$A:$G,3,0),"")</f>
        <v/>
      </c>
      <c r="C950" s="40"/>
      <c r="D950" s="41"/>
      <c r="E950" s="41"/>
      <c r="F950" s="41"/>
      <c r="G950" s="42"/>
      <c r="H950" s="43"/>
      <c r="I950" s="42"/>
      <c r="J950" s="44"/>
      <c r="K950" s="44"/>
      <c r="L950" s="44"/>
      <c r="M950" s="45" t="str">
        <f t="shared" si="34"/>
        <v>Pass</v>
      </c>
      <c r="N950" s="46" t="str">
        <f>IFERROR(VLOOKUP(D950,'[1]Product Datasheet'!$A:$G,4,0),"")</f>
        <v/>
      </c>
      <c r="O950" s="47" t="str">
        <f>IFERROR(VLOOKUP(D950,'[1]Product Datasheet'!$A:$G,5,0),"")</f>
        <v/>
      </c>
      <c r="P950" s="47" t="str">
        <f>IFERROR(VLOOKUP(D950,'[1]Product Datasheet'!$A:$G,6,0),"")</f>
        <v/>
      </c>
      <c r="Q950" s="47" t="str">
        <f>IFERROR(VLOOKUP(D950,'[1]Product Datasheet'!$A:$G,7,0), "")</f>
        <v/>
      </c>
      <c r="R950" s="48"/>
      <c r="S950" s="49" t="str">
        <f t="shared" si="35"/>
        <v>Accept</v>
      </c>
      <c r="T950" s="50"/>
      <c r="U950" s="51"/>
    </row>
    <row r="951" spans="1:21" ht="24.75" customHeight="1" x14ac:dyDescent="0.3">
      <c r="A951" s="38" t="str">
        <f>IFERROR(VLOOKUP(D951,'[1]Product Datasheet'!$A:$G,2,0),"")</f>
        <v/>
      </c>
      <c r="B951" s="39" t="str">
        <f>IFERROR(VLOOKUP(D951,'[1]Product Datasheet'!$A:$G,3,0),"")</f>
        <v/>
      </c>
      <c r="C951" s="40"/>
      <c r="D951" s="41"/>
      <c r="E951" s="41"/>
      <c r="F951" s="41"/>
      <c r="G951" s="42"/>
      <c r="H951" s="43"/>
      <c r="I951" s="42"/>
      <c r="J951" s="44"/>
      <c r="K951" s="44"/>
      <c r="L951" s="44"/>
      <c r="M951" s="45" t="str">
        <f t="shared" si="34"/>
        <v>Pass</v>
      </c>
      <c r="N951" s="46" t="str">
        <f>IFERROR(VLOOKUP(D951,'[1]Product Datasheet'!$A:$G,4,0),"")</f>
        <v/>
      </c>
      <c r="O951" s="47" t="str">
        <f>IFERROR(VLOOKUP(D951,'[1]Product Datasheet'!$A:$G,5,0),"")</f>
        <v/>
      </c>
      <c r="P951" s="47" t="str">
        <f>IFERROR(VLOOKUP(D951,'[1]Product Datasheet'!$A:$G,6,0),"")</f>
        <v/>
      </c>
      <c r="Q951" s="47" t="str">
        <f>IFERROR(VLOOKUP(D951,'[1]Product Datasheet'!$A:$G,7,0), "")</f>
        <v/>
      </c>
      <c r="R951" s="48"/>
      <c r="S951" s="49" t="str">
        <f t="shared" si="35"/>
        <v>Accept</v>
      </c>
      <c r="T951" s="50"/>
      <c r="U951" s="51"/>
    </row>
    <row r="952" spans="1:21" ht="24.75" customHeight="1" x14ac:dyDescent="0.3">
      <c r="A952" s="38" t="str">
        <f>IFERROR(VLOOKUP(D952,'[1]Product Datasheet'!$A:$G,2,0),"")</f>
        <v/>
      </c>
      <c r="B952" s="39" t="str">
        <f>IFERROR(VLOOKUP(D952,'[1]Product Datasheet'!$A:$G,3,0),"")</f>
        <v/>
      </c>
      <c r="C952" s="40"/>
      <c r="D952" s="41"/>
      <c r="E952" s="41"/>
      <c r="F952" s="41"/>
      <c r="G952" s="42"/>
      <c r="H952" s="43"/>
      <c r="I952" s="42"/>
      <c r="J952" s="44"/>
      <c r="K952" s="44"/>
      <c r="L952" s="44"/>
      <c r="M952" s="45" t="str">
        <f t="shared" si="34"/>
        <v>Pass</v>
      </c>
      <c r="N952" s="46" t="str">
        <f>IFERROR(VLOOKUP(D952,'[1]Product Datasheet'!$A:$G,4,0),"")</f>
        <v/>
      </c>
      <c r="O952" s="47" t="str">
        <f>IFERROR(VLOOKUP(D952,'[1]Product Datasheet'!$A:$G,5,0),"")</f>
        <v/>
      </c>
      <c r="P952" s="47" t="str">
        <f>IFERROR(VLOOKUP(D952,'[1]Product Datasheet'!$A:$G,6,0),"")</f>
        <v/>
      </c>
      <c r="Q952" s="47" t="str">
        <f>IFERROR(VLOOKUP(D952,'[1]Product Datasheet'!$A:$G,7,0), "")</f>
        <v/>
      </c>
      <c r="R952" s="48"/>
      <c r="S952" s="49" t="str">
        <f t="shared" si="35"/>
        <v>Accept</v>
      </c>
      <c r="T952" s="50"/>
      <c r="U952" s="51"/>
    </row>
    <row r="953" spans="1:21" ht="24.75" customHeight="1" x14ac:dyDescent="0.3">
      <c r="A953" s="38" t="str">
        <f>IFERROR(VLOOKUP(D953,'[1]Product Datasheet'!$A:$G,2,0),"")</f>
        <v/>
      </c>
      <c r="B953" s="39" t="str">
        <f>IFERROR(VLOOKUP(D953,'[1]Product Datasheet'!$A:$G,3,0),"")</f>
        <v/>
      </c>
      <c r="C953" s="40"/>
      <c r="D953" s="41"/>
      <c r="E953" s="41"/>
      <c r="F953" s="41"/>
      <c r="G953" s="42"/>
      <c r="H953" s="43"/>
      <c r="I953" s="42"/>
      <c r="J953" s="44"/>
      <c r="K953" s="44"/>
      <c r="L953" s="44"/>
      <c r="M953" s="45" t="str">
        <f t="shared" si="34"/>
        <v>Pass</v>
      </c>
      <c r="N953" s="46" t="str">
        <f>IFERROR(VLOOKUP(D953,'[1]Product Datasheet'!$A:$G,4,0),"")</f>
        <v/>
      </c>
      <c r="O953" s="47" t="str">
        <f>IFERROR(VLOOKUP(D953,'[1]Product Datasheet'!$A:$G,5,0),"")</f>
        <v/>
      </c>
      <c r="P953" s="47" t="str">
        <f>IFERROR(VLOOKUP(D953,'[1]Product Datasheet'!$A:$G,6,0),"")</f>
        <v/>
      </c>
      <c r="Q953" s="47" t="str">
        <f>IFERROR(VLOOKUP(D953,'[1]Product Datasheet'!$A:$G,7,0), "")</f>
        <v/>
      </c>
      <c r="R953" s="48"/>
      <c r="S953" s="49" t="str">
        <f t="shared" si="35"/>
        <v>Accept</v>
      </c>
      <c r="T953" s="50"/>
      <c r="U953" s="51"/>
    </row>
    <row r="954" spans="1:21" ht="24.75" customHeight="1" x14ac:dyDescent="0.3">
      <c r="A954" s="38" t="str">
        <f>IFERROR(VLOOKUP(D954,'[1]Product Datasheet'!$A:$G,2,0),"")</f>
        <v/>
      </c>
      <c r="B954" s="39" t="str">
        <f>IFERROR(VLOOKUP(D954,'[1]Product Datasheet'!$A:$G,3,0),"")</f>
        <v/>
      </c>
      <c r="C954" s="40"/>
      <c r="D954" s="41"/>
      <c r="E954" s="41"/>
      <c r="F954" s="41"/>
      <c r="G954" s="42"/>
      <c r="H954" s="43"/>
      <c r="I954" s="42"/>
      <c r="J954" s="44"/>
      <c r="K954" s="44"/>
      <c r="L954" s="44"/>
      <c r="M954" s="45" t="str">
        <f t="shared" si="34"/>
        <v>Pass</v>
      </c>
      <c r="N954" s="46" t="str">
        <f>IFERROR(VLOOKUP(D954,'[1]Product Datasheet'!$A:$G,4,0),"")</f>
        <v/>
      </c>
      <c r="O954" s="47" t="str">
        <f>IFERROR(VLOOKUP(D954,'[1]Product Datasheet'!$A:$G,5,0),"")</f>
        <v/>
      </c>
      <c r="P954" s="47" t="str">
        <f>IFERROR(VLOOKUP(D954,'[1]Product Datasheet'!$A:$G,6,0),"")</f>
        <v/>
      </c>
      <c r="Q954" s="47" t="str">
        <f>IFERROR(VLOOKUP(D954,'[1]Product Datasheet'!$A:$G,7,0), "")</f>
        <v/>
      </c>
      <c r="R954" s="48"/>
      <c r="S954" s="49" t="str">
        <f t="shared" si="35"/>
        <v>Accept</v>
      </c>
      <c r="T954" s="50"/>
      <c r="U954" s="51"/>
    </row>
    <row r="955" spans="1:21" ht="24.75" customHeight="1" x14ac:dyDescent="0.3">
      <c r="A955" s="38" t="str">
        <f>IFERROR(VLOOKUP(D955,'[1]Product Datasheet'!$A:$G,2,0),"")</f>
        <v/>
      </c>
      <c r="B955" s="39" t="str">
        <f>IFERROR(VLOOKUP(D955,'[1]Product Datasheet'!$A:$G,3,0),"")</f>
        <v/>
      </c>
      <c r="C955" s="40"/>
      <c r="D955" s="41"/>
      <c r="E955" s="41"/>
      <c r="F955" s="41"/>
      <c r="G955" s="42"/>
      <c r="H955" s="43"/>
      <c r="I955" s="42"/>
      <c r="J955" s="44"/>
      <c r="K955" s="44"/>
      <c r="L955" s="44"/>
      <c r="M955" s="45" t="str">
        <f t="shared" si="34"/>
        <v>Pass</v>
      </c>
      <c r="N955" s="46" t="str">
        <f>IFERROR(VLOOKUP(D955,'[1]Product Datasheet'!$A:$G,4,0),"")</f>
        <v/>
      </c>
      <c r="O955" s="47" t="str">
        <f>IFERROR(VLOOKUP(D955,'[1]Product Datasheet'!$A:$G,5,0),"")</f>
        <v/>
      </c>
      <c r="P955" s="47" t="str">
        <f>IFERROR(VLOOKUP(D955,'[1]Product Datasheet'!$A:$G,6,0),"")</f>
        <v/>
      </c>
      <c r="Q955" s="47" t="str">
        <f>IFERROR(VLOOKUP(D955,'[1]Product Datasheet'!$A:$G,7,0), "")</f>
        <v/>
      </c>
      <c r="R955" s="48"/>
      <c r="S955" s="49" t="str">
        <f t="shared" si="35"/>
        <v>Accept</v>
      </c>
      <c r="T955" s="50"/>
      <c r="U955" s="51"/>
    </row>
    <row r="956" spans="1:21" ht="24.75" customHeight="1" x14ac:dyDescent="0.3">
      <c r="A956" s="38" t="str">
        <f>IFERROR(VLOOKUP(D956,'[1]Product Datasheet'!$A:$G,2,0),"")</f>
        <v/>
      </c>
      <c r="B956" s="39" t="str">
        <f>IFERROR(VLOOKUP(D956,'[1]Product Datasheet'!$A:$G,3,0),"")</f>
        <v/>
      </c>
      <c r="C956" s="40"/>
      <c r="D956" s="41"/>
      <c r="E956" s="41"/>
      <c r="F956" s="41"/>
      <c r="G956" s="42"/>
      <c r="H956" s="43"/>
      <c r="I956" s="42"/>
      <c r="J956" s="44"/>
      <c r="K956" s="44"/>
      <c r="L956" s="44"/>
      <c r="M956" s="45" t="str">
        <f t="shared" si="34"/>
        <v>Pass</v>
      </c>
      <c r="N956" s="46" t="str">
        <f>IFERROR(VLOOKUP(D956,'[1]Product Datasheet'!$A:$G,4,0),"")</f>
        <v/>
      </c>
      <c r="O956" s="47" t="str">
        <f>IFERROR(VLOOKUP(D956,'[1]Product Datasheet'!$A:$G,5,0),"")</f>
        <v/>
      </c>
      <c r="P956" s="47" t="str">
        <f>IFERROR(VLOOKUP(D956,'[1]Product Datasheet'!$A:$G,6,0),"")</f>
        <v/>
      </c>
      <c r="Q956" s="47" t="str">
        <f>IFERROR(VLOOKUP(D956,'[1]Product Datasheet'!$A:$G,7,0), "")</f>
        <v/>
      </c>
      <c r="R956" s="48"/>
      <c r="S956" s="49" t="str">
        <f t="shared" si="35"/>
        <v>Accept</v>
      </c>
      <c r="T956" s="50"/>
      <c r="U956" s="51"/>
    </row>
    <row r="957" spans="1:21" ht="24.75" customHeight="1" x14ac:dyDescent="0.3">
      <c r="A957" s="38" t="str">
        <f>IFERROR(VLOOKUP(D957,'[1]Product Datasheet'!$A:$G,2,0),"")</f>
        <v/>
      </c>
      <c r="B957" s="39" t="str">
        <f>IFERROR(VLOOKUP(D957,'[1]Product Datasheet'!$A:$G,3,0),"")</f>
        <v/>
      </c>
      <c r="C957" s="40"/>
      <c r="D957" s="41"/>
      <c r="E957" s="41"/>
      <c r="F957" s="41"/>
      <c r="G957" s="42"/>
      <c r="H957" s="43"/>
      <c r="I957" s="42"/>
      <c r="J957" s="44"/>
      <c r="K957" s="44"/>
      <c r="L957" s="44"/>
      <c r="M957" s="45" t="str">
        <f t="shared" si="34"/>
        <v>Pass</v>
      </c>
      <c r="N957" s="46" t="str">
        <f>IFERROR(VLOOKUP(D957,'[1]Product Datasheet'!$A:$G,4,0),"")</f>
        <v/>
      </c>
      <c r="O957" s="47" t="str">
        <f>IFERROR(VLOOKUP(D957,'[1]Product Datasheet'!$A:$G,5,0),"")</f>
        <v/>
      </c>
      <c r="P957" s="47" t="str">
        <f>IFERROR(VLOOKUP(D957,'[1]Product Datasheet'!$A:$G,6,0),"")</f>
        <v/>
      </c>
      <c r="Q957" s="47" t="str">
        <f>IFERROR(VLOOKUP(D957,'[1]Product Datasheet'!$A:$G,7,0), "")</f>
        <v/>
      </c>
      <c r="R957" s="48"/>
      <c r="S957" s="49" t="str">
        <f t="shared" si="35"/>
        <v>Accept</v>
      </c>
      <c r="T957" s="50"/>
      <c r="U957" s="51"/>
    </row>
    <row r="958" spans="1:21" ht="24.75" customHeight="1" x14ac:dyDescent="0.3">
      <c r="A958" s="38" t="str">
        <f>IFERROR(VLOOKUP(D958,'[1]Product Datasheet'!$A:$G,2,0),"")</f>
        <v/>
      </c>
      <c r="B958" s="39" t="str">
        <f>IFERROR(VLOOKUP(D958,'[1]Product Datasheet'!$A:$G,3,0),"")</f>
        <v/>
      </c>
      <c r="C958" s="40"/>
      <c r="D958" s="41"/>
      <c r="E958" s="41"/>
      <c r="F958" s="41"/>
      <c r="G958" s="42"/>
      <c r="H958" s="43"/>
      <c r="I958" s="42"/>
      <c r="J958" s="44"/>
      <c r="K958" s="44"/>
      <c r="L958" s="44"/>
      <c r="M958" s="45" t="str">
        <f t="shared" si="34"/>
        <v>Pass</v>
      </c>
      <c r="N958" s="46" t="str">
        <f>IFERROR(VLOOKUP(D958,'[1]Product Datasheet'!$A:$G,4,0),"")</f>
        <v/>
      </c>
      <c r="O958" s="47" t="str">
        <f>IFERROR(VLOOKUP(D958,'[1]Product Datasheet'!$A:$G,5,0),"")</f>
        <v/>
      </c>
      <c r="P958" s="47" t="str">
        <f>IFERROR(VLOOKUP(D958,'[1]Product Datasheet'!$A:$G,6,0),"")</f>
        <v/>
      </c>
      <c r="Q958" s="47" t="str">
        <f>IFERROR(VLOOKUP(D958,'[1]Product Datasheet'!$A:$G,7,0), "")</f>
        <v/>
      </c>
      <c r="R958" s="48"/>
      <c r="S958" s="49" t="str">
        <f t="shared" si="35"/>
        <v>Accept</v>
      </c>
      <c r="T958" s="50"/>
      <c r="U958" s="51"/>
    </row>
    <row r="959" spans="1:21" ht="24.75" customHeight="1" x14ac:dyDescent="0.3">
      <c r="A959" s="38" t="str">
        <f>IFERROR(VLOOKUP(D959,'[1]Product Datasheet'!$A:$G,2,0),"")</f>
        <v/>
      </c>
      <c r="B959" s="39" t="str">
        <f>IFERROR(VLOOKUP(D959,'[1]Product Datasheet'!$A:$G,3,0),"")</f>
        <v/>
      </c>
      <c r="C959" s="40"/>
      <c r="D959" s="41"/>
      <c r="E959" s="41"/>
      <c r="F959" s="41"/>
      <c r="G959" s="42"/>
      <c r="H959" s="43"/>
      <c r="I959" s="42"/>
      <c r="J959" s="44"/>
      <c r="K959" s="44"/>
      <c r="L959" s="44"/>
      <c r="M959" s="45" t="str">
        <f t="shared" si="34"/>
        <v>Pass</v>
      </c>
      <c r="N959" s="46" t="str">
        <f>IFERROR(VLOOKUP(D959,'[1]Product Datasheet'!$A:$G,4,0),"")</f>
        <v/>
      </c>
      <c r="O959" s="47" t="str">
        <f>IFERROR(VLOOKUP(D959,'[1]Product Datasheet'!$A:$G,5,0),"")</f>
        <v/>
      </c>
      <c r="P959" s="47" t="str">
        <f>IFERROR(VLOOKUP(D959,'[1]Product Datasheet'!$A:$G,6,0),"")</f>
        <v/>
      </c>
      <c r="Q959" s="47" t="str">
        <f>IFERROR(VLOOKUP(D959,'[1]Product Datasheet'!$A:$G,7,0), "")</f>
        <v/>
      </c>
      <c r="R959" s="48"/>
      <c r="S959" s="49" t="str">
        <f t="shared" si="35"/>
        <v>Accept</v>
      </c>
      <c r="T959" s="50"/>
      <c r="U959" s="51"/>
    </row>
    <row r="960" spans="1:21" ht="24.75" customHeight="1" x14ac:dyDescent="0.3">
      <c r="A960" s="38" t="str">
        <f>IFERROR(VLOOKUP(D960,'[1]Product Datasheet'!$A:$G,2,0),"")</f>
        <v/>
      </c>
      <c r="B960" s="39" t="str">
        <f>IFERROR(VLOOKUP(D960,'[1]Product Datasheet'!$A:$G,3,0),"")</f>
        <v/>
      </c>
      <c r="C960" s="40"/>
      <c r="D960" s="41"/>
      <c r="E960" s="41"/>
      <c r="F960" s="41"/>
      <c r="G960" s="42"/>
      <c r="H960" s="43"/>
      <c r="I960" s="42"/>
      <c r="J960" s="44"/>
      <c r="K960" s="44"/>
      <c r="L960" s="44"/>
      <c r="M960" s="45" t="str">
        <f t="shared" si="34"/>
        <v>Pass</v>
      </c>
      <c r="N960" s="46" t="str">
        <f>IFERROR(VLOOKUP(D960,'[1]Product Datasheet'!$A:$G,4,0),"")</f>
        <v/>
      </c>
      <c r="O960" s="47" t="str">
        <f>IFERROR(VLOOKUP(D960,'[1]Product Datasheet'!$A:$G,5,0),"")</f>
        <v/>
      </c>
      <c r="P960" s="47" t="str">
        <f>IFERROR(VLOOKUP(D960,'[1]Product Datasheet'!$A:$G,6,0),"")</f>
        <v/>
      </c>
      <c r="Q960" s="47" t="str">
        <f>IFERROR(VLOOKUP(D960,'[1]Product Datasheet'!$A:$G,7,0), "")</f>
        <v/>
      </c>
      <c r="R960" s="48"/>
      <c r="S960" s="49" t="str">
        <f t="shared" si="35"/>
        <v>Accept</v>
      </c>
      <c r="T960" s="50"/>
      <c r="U960" s="51"/>
    </row>
    <row r="961" spans="1:21" ht="24.75" customHeight="1" x14ac:dyDescent="0.3">
      <c r="A961" s="38" t="str">
        <f>IFERROR(VLOOKUP(D961,'[1]Product Datasheet'!$A:$G,2,0),"")</f>
        <v/>
      </c>
      <c r="B961" s="39" t="str">
        <f>IFERROR(VLOOKUP(D961,'[1]Product Datasheet'!$A:$G,3,0),"")</f>
        <v/>
      </c>
      <c r="C961" s="40"/>
      <c r="D961" s="41"/>
      <c r="E961" s="41"/>
      <c r="F961" s="41"/>
      <c r="G961" s="42"/>
      <c r="H961" s="43"/>
      <c r="I961" s="42"/>
      <c r="J961" s="44"/>
      <c r="K961" s="44"/>
      <c r="L961" s="44"/>
      <c r="M961" s="45" t="str">
        <f t="shared" si="34"/>
        <v>Pass</v>
      </c>
      <c r="N961" s="46" t="str">
        <f>IFERROR(VLOOKUP(D961,'[1]Product Datasheet'!$A:$G,4,0),"")</f>
        <v/>
      </c>
      <c r="O961" s="47" t="str">
        <f>IFERROR(VLOOKUP(D961,'[1]Product Datasheet'!$A:$G,5,0),"")</f>
        <v/>
      </c>
      <c r="P961" s="47" t="str">
        <f>IFERROR(VLOOKUP(D961,'[1]Product Datasheet'!$A:$G,6,0),"")</f>
        <v/>
      </c>
      <c r="Q961" s="47" t="str">
        <f>IFERROR(VLOOKUP(D961,'[1]Product Datasheet'!$A:$G,7,0), "")</f>
        <v/>
      </c>
      <c r="R961" s="48"/>
      <c r="S961" s="49" t="str">
        <f t="shared" si="35"/>
        <v>Accept</v>
      </c>
      <c r="T961" s="50"/>
      <c r="U961" s="51"/>
    </row>
    <row r="962" spans="1:21" ht="24.75" customHeight="1" x14ac:dyDescent="0.3">
      <c r="A962" s="38" t="str">
        <f>IFERROR(VLOOKUP(D962,'[1]Product Datasheet'!$A:$G,2,0),"")</f>
        <v/>
      </c>
      <c r="B962" s="39" t="str">
        <f>IFERROR(VLOOKUP(D962,'[1]Product Datasheet'!$A:$G,3,0),"")</f>
        <v/>
      </c>
      <c r="C962" s="40"/>
      <c r="D962" s="41"/>
      <c r="E962" s="41"/>
      <c r="F962" s="41"/>
      <c r="G962" s="42"/>
      <c r="H962" s="43"/>
      <c r="I962" s="42"/>
      <c r="J962" s="44"/>
      <c r="K962" s="44"/>
      <c r="L962" s="44"/>
      <c r="M962" s="45" t="str">
        <f t="shared" si="34"/>
        <v>Pass</v>
      </c>
      <c r="N962" s="46" t="str">
        <f>IFERROR(VLOOKUP(D962,'[1]Product Datasheet'!$A:$G,4,0),"")</f>
        <v/>
      </c>
      <c r="O962" s="47" t="str">
        <f>IFERROR(VLOOKUP(D962,'[1]Product Datasheet'!$A:$G,5,0),"")</f>
        <v/>
      </c>
      <c r="P962" s="47" t="str">
        <f>IFERROR(VLOOKUP(D962,'[1]Product Datasheet'!$A:$G,6,0),"")</f>
        <v/>
      </c>
      <c r="Q962" s="47" t="str">
        <f>IFERROR(VLOOKUP(D962,'[1]Product Datasheet'!$A:$G,7,0), "")</f>
        <v/>
      </c>
      <c r="R962" s="48"/>
      <c r="S962" s="49" t="str">
        <f t="shared" si="35"/>
        <v>Accept</v>
      </c>
      <c r="T962" s="50"/>
      <c r="U962" s="51"/>
    </row>
    <row r="963" spans="1:21" ht="24.75" customHeight="1" x14ac:dyDescent="0.3">
      <c r="A963" s="38" t="str">
        <f>IFERROR(VLOOKUP(D963,'[1]Product Datasheet'!$A:$G,2,0),"")</f>
        <v/>
      </c>
      <c r="B963" s="39" t="str">
        <f>IFERROR(VLOOKUP(D963,'[1]Product Datasheet'!$A:$G,3,0),"")</f>
        <v/>
      </c>
      <c r="C963" s="40"/>
      <c r="D963" s="41"/>
      <c r="E963" s="41"/>
      <c r="F963" s="41"/>
      <c r="G963" s="42"/>
      <c r="H963" s="43"/>
      <c r="I963" s="42"/>
      <c r="J963" s="44"/>
      <c r="K963" s="44"/>
      <c r="L963" s="44"/>
      <c r="M963" s="45" t="str">
        <f t="shared" si="34"/>
        <v>Pass</v>
      </c>
      <c r="N963" s="46" t="str">
        <f>IFERROR(VLOOKUP(D963,'[1]Product Datasheet'!$A:$G,4,0),"")</f>
        <v/>
      </c>
      <c r="O963" s="47" t="str">
        <f>IFERROR(VLOOKUP(D963,'[1]Product Datasheet'!$A:$G,5,0),"")</f>
        <v/>
      </c>
      <c r="P963" s="47" t="str">
        <f>IFERROR(VLOOKUP(D963,'[1]Product Datasheet'!$A:$G,6,0),"")</f>
        <v/>
      </c>
      <c r="Q963" s="47" t="str">
        <f>IFERROR(VLOOKUP(D963,'[1]Product Datasheet'!$A:$G,7,0), "")</f>
        <v/>
      </c>
      <c r="R963" s="48"/>
      <c r="S963" s="49" t="str">
        <f t="shared" si="35"/>
        <v>Accept</v>
      </c>
      <c r="T963" s="50"/>
      <c r="U963" s="51"/>
    </row>
    <row r="964" spans="1:21" ht="24.75" customHeight="1" x14ac:dyDescent="0.3">
      <c r="A964" s="38" t="str">
        <f>IFERROR(VLOOKUP(D964,'[1]Product Datasheet'!$A:$G,2,0),"")</f>
        <v/>
      </c>
      <c r="B964" s="39" t="str">
        <f>IFERROR(VLOOKUP(D964,'[1]Product Datasheet'!$A:$G,3,0),"")</f>
        <v/>
      </c>
      <c r="C964" s="40"/>
      <c r="D964" s="41"/>
      <c r="E964" s="41"/>
      <c r="F964" s="41"/>
      <c r="G964" s="42"/>
      <c r="H964" s="43"/>
      <c r="I964" s="42"/>
      <c r="J964" s="44"/>
      <c r="K964" s="44"/>
      <c r="L964" s="44"/>
      <c r="M964" s="45" t="str">
        <f t="shared" si="34"/>
        <v>Pass</v>
      </c>
      <c r="N964" s="46" t="str">
        <f>IFERROR(VLOOKUP(D964,'[1]Product Datasheet'!$A:$G,4,0),"")</f>
        <v/>
      </c>
      <c r="O964" s="47" t="str">
        <f>IFERROR(VLOOKUP(D964,'[1]Product Datasheet'!$A:$G,5,0),"")</f>
        <v/>
      </c>
      <c r="P964" s="47" t="str">
        <f>IFERROR(VLOOKUP(D964,'[1]Product Datasheet'!$A:$G,6,0),"")</f>
        <v/>
      </c>
      <c r="Q964" s="47" t="str">
        <f>IFERROR(VLOOKUP(D964,'[1]Product Datasheet'!$A:$G,7,0), "")</f>
        <v/>
      </c>
      <c r="R964" s="48"/>
      <c r="S964" s="49" t="str">
        <f t="shared" si="35"/>
        <v>Accept</v>
      </c>
      <c r="T964" s="50"/>
      <c r="U964" s="51"/>
    </row>
    <row r="965" spans="1:21" ht="24.75" customHeight="1" x14ac:dyDescent="0.3">
      <c r="A965" s="38" t="str">
        <f>IFERROR(VLOOKUP(D965,'[1]Product Datasheet'!$A:$G,2,0),"")</f>
        <v/>
      </c>
      <c r="B965" s="39" t="str">
        <f>IFERROR(VLOOKUP(D965,'[1]Product Datasheet'!$A:$G,3,0),"")</f>
        <v/>
      </c>
      <c r="C965" s="40"/>
      <c r="D965" s="41"/>
      <c r="E965" s="41"/>
      <c r="F965" s="41"/>
      <c r="G965" s="42"/>
      <c r="H965" s="43"/>
      <c r="I965" s="42"/>
      <c r="J965" s="44"/>
      <c r="K965" s="44"/>
      <c r="L965" s="44"/>
      <c r="M965" s="45" t="str">
        <f t="shared" si="34"/>
        <v>Pass</v>
      </c>
      <c r="N965" s="46" t="str">
        <f>IFERROR(VLOOKUP(D965,'[1]Product Datasheet'!$A:$G,4,0),"")</f>
        <v/>
      </c>
      <c r="O965" s="47" t="str">
        <f>IFERROR(VLOOKUP(D965,'[1]Product Datasheet'!$A:$G,5,0),"")</f>
        <v/>
      </c>
      <c r="P965" s="47" t="str">
        <f>IFERROR(VLOOKUP(D965,'[1]Product Datasheet'!$A:$G,6,0),"")</f>
        <v/>
      </c>
      <c r="Q965" s="47" t="str">
        <f>IFERROR(VLOOKUP(D965,'[1]Product Datasheet'!$A:$G,7,0), "")</f>
        <v/>
      </c>
      <c r="R965" s="48"/>
      <c r="S965" s="49" t="str">
        <f t="shared" si="35"/>
        <v>Accept</v>
      </c>
      <c r="T965" s="50"/>
      <c r="U965" s="51"/>
    </row>
    <row r="966" spans="1:21" ht="24.75" customHeight="1" x14ac:dyDescent="0.3">
      <c r="A966" s="38" t="str">
        <f>IFERROR(VLOOKUP(D966,'[1]Product Datasheet'!$A:$G,2,0),"")</f>
        <v/>
      </c>
      <c r="B966" s="39" t="str">
        <f>IFERROR(VLOOKUP(D966,'[1]Product Datasheet'!$A:$G,3,0),"")</f>
        <v/>
      </c>
      <c r="C966" s="40"/>
      <c r="D966" s="41"/>
      <c r="E966" s="41"/>
      <c r="F966" s="41"/>
      <c r="G966" s="42"/>
      <c r="H966" s="43"/>
      <c r="I966" s="42"/>
      <c r="J966" s="44"/>
      <c r="K966" s="44"/>
      <c r="L966" s="44"/>
      <c r="M966" s="45" t="str">
        <f t="shared" si="34"/>
        <v>Pass</v>
      </c>
      <c r="N966" s="46" t="str">
        <f>IFERROR(VLOOKUP(D966,'[1]Product Datasheet'!$A:$G,4,0),"")</f>
        <v/>
      </c>
      <c r="O966" s="47" t="str">
        <f>IFERROR(VLOOKUP(D966,'[1]Product Datasheet'!$A:$G,5,0),"")</f>
        <v/>
      </c>
      <c r="P966" s="47" t="str">
        <f>IFERROR(VLOOKUP(D966,'[1]Product Datasheet'!$A:$G,6,0),"")</f>
        <v/>
      </c>
      <c r="Q966" s="47" t="str">
        <f>IFERROR(VLOOKUP(D966,'[1]Product Datasheet'!$A:$G,7,0), "")</f>
        <v/>
      </c>
      <c r="R966" s="48"/>
      <c r="S966" s="49" t="str">
        <f t="shared" si="35"/>
        <v>Accept</v>
      </c>
      <c r="T966" s="50"/>
      <c r="U966" s="51"/>
    </row>
    <row r="967" spans="1:21" ht="24.75" customHeight="1" x14ac:dyDescent="0.3">
      <c r="A967" s="38" t="str">
        <f>IFERROR(VLOOKUP(D967,'[1]Product Datasheet'!$A:$G,2,0),"")</f>
        <v/>
      </c>
      <c r="B967" s="39" t="str">
        <f>IFERROR(VLOOKUP(D967,'[1]Product Datasheet'!$A:$G,3,0),"")</f>
        <v/>
      </c>
      <c r="C967" s="40"/>
      <c r="D967" s="41"/>
      <c r="E967" s="41"/>
      <c r="F967" s="41"/>
      <c r="G967" s="42"/>
      <c r="H967" s="43"/>
      <c r="I967" s="42"/>
      <c r="J967" s="44"/>
      <c r="K967" s="44"/>
      <c r="L967" s="44"/>
      <c r="M967" s="45" t="str">
        <f t="shared" si="34"/>
        <v>Pass</v>
      </c>
      <c r="N967" s="46" t="str">
        <f>IFERROR(VLOOKUP(D967,'[1]Product Datasheet'!$A:$G,4,0),"")</f>
        <v/>
      </c>
      <c r="O967" s="47" t="str">
        <f>IFERROR(VLOOKUP(D967,'[1]Product Datasheet'!$A:$G,5,0),"")</f>
        <v/>
      </c>
      <c r="P967" s="47" t="str">
        <f>IFERROR(VLOOKUP(D967,'[1]Product Datasheet'!$A:$G,6,0),"")</f>
        <v/>
      </c>
      <c r="Q967" s="47" t="str">
        <f>IFERROR(VLOOKUP(D967,'[1]Product Datasheet'!$A:$G,7,0), "")</f>
        <v/>
      </c>
      <c r="R967" s="48"/>
      <c r="S967" s="49" t="str">
        <f t="shared" si="35"/>
        <v>Accept</v>
      </c>
      <c r="T967" s="50"/>
      <c r="U967" s="51"/>
    </row>
    <row r="968" spans="1:21" ht="24.75" customHeight="1" x14ac:dyDescent="0.3">
      <c r="A968" s="38" t="str">
        <f>IFERROR(VLOOKUP(D968,'[1]Product Datasheet'!$A:$G,2,0),"")</f>
        <v/>
      </c>
      <c r="B968" s="39" t="str">
        <f>IFERROR(VLOOKUP(D968,'[1]Product Datasheet'!$A:$G,3,0),"")</f>
        <v/>
      </c>
      <c r="C968" s="40"/>
      <c r="D968" s="41"/>
      <c r="E968" s="41"/>
      <c r="F968" s="41"/>
      <c r="G968" s="42"/>
      <c r="H968" s="43"/>
      <c r="I968" s="42"/>
      <c r="J968" s="44"/>
      <c r="K968" s="44"/>
      <c r="L968" s="44"/>
      <c r="M968" s="45" t="str">
        <f t="shared" si="34"/>
        <v>Pass</v>
      </c>
      <c r="N968" s="46" t="str">
        <f>IFERROR(VLOOKUP(D968,'[1]Product Datasheet'!$A:$G,4,0),"")</f>
        <v/>
      </c>
      <c r="O968" s="47" t="str">
        <f>IFERROR(VLOOKUP(D968,'[1]Product Datasheet'!$A:$G,5,0),"")</f>
        <v/>
      </c>
      <c r="P968" s="47" t="str">
        <f>IFERROR(VLOOKUP(D968,'[1]Product Datasheet'!$A:$G,6,0),"")</f>
        <v/>
      </c>
      <c r="Q968" s="47" t="str">
        <f>IFERROR(VLOOKUP(D968,'[1]Product Datasheet'!$A:$G,7,0), "")</f>
        <v/>
      </c>
      <c r="R968" s="48"/>
      <c r="S968" s="49" t="str">
        <f t="shared" si="35"/>
        <v>Accept</v>
      </c>
      <c r="T968" s="50"/>
      <c r="U968" s="51"/>
    </row>
    <row r="969" spans="1:21" ht="24.75" customHeight="1" x14ac:dyDescent="0.3">
      <c r="A969" s="38" t="str">
        <f>IFERROR(VLOOKUP(D969,'[1]Product Datasheet'!$A:$G,2,0),"")</f>
        <v/>
      </c>
      <c r="B969" s="39" t="str">
        <f>IFERROR(VLOOKUP(D969,'[1]Product Datasheet'!$A:$G,3,0),"")</f>
        <v/>
      </c>
      <c r="C969" s="40"/>
      <c r="D969" s="41"/>
      <c r="E969" s="41"/>
      <c r="F969" s="41"/>
      <c r="G969" s="42"/>
      <c r="H969" s="43"/>
      <c r="I969" s="42"/>
      <c r="J969" s="44"/>
      <c r="K969" s="44"/>
      <c r="L969" s="44"/>
      <c r="M969" s="45" t="str">
        <f t="shared" ref="M969:M1000" si="36">IF(AND(G969&lt;=O969,G969&gt;=N969,H969&lt;=Q969,H969&gt;=P969),"Pass","Fail")</f>
        <v>Pass</v>
      </c>
      <c r="N969" s="46" t="str">
        <f>IFERROR(VLOOKUP(D969,'[1]Product Datasheet'!$A:$G,4,0),"")</f>
        <v/>
      </c>
      <c r="O969" s="47" t="str">
        <f>IFERROR(VLOOKUP(D969,'[1]Product Datasheet'!$A:$G,5,0),"")</f>
        <v/>
      </c>
      <c r="P969" s="47" t="str">
        <f>IFERROR(VLOOKUP(D969,'[1]Product Datasheet'!$A:$G,6,0),"")</f>
        <v/>
      </c>
      <c r="Q969" s="47" t="str">
        <f>IFERROR(VLOOKUP(D969,'[1]Product Datasheet'!$A:$G,7,0), "")</f>
        <v/>
      </c>
      <c r="R969" s="48"/>
      <c r="S969" s="49" t="str">
        <f t="shared" ref="S969:S1000" si="37">IFERROR(IF(AND(ROUND(H969, 2)&lt;=Q969, ROUND(G969,1)&lt;=O969), "Accept", "Reject"),"Reject")</f>
        <v>Accept</v>
      </c>
      <c r="T969" s="50"/>
      <c r="U969" s="51"/>
    </row>
    <row r="970" spans="1:21" ht="24.75" customHeight="1" x14ac:dyDescent="0.3">
      <c r="A970" s="38" t="str">
        <f>IFERROR(VLOOKUP(D970,'[1]Product Datasheet'!$A:$G,2,0),"")</f>
        <v/>
      </c>
      <c r="B970" s="39" t="str">
        <f>IFERROR(VLOOKUP(D970,'[1]Product Datasheet'!$A:$G,3,0),"")</f>
        <v/>
      </c>
      <c r="C970" s="40"/>
      <c r="D970" s="41"/>
      <c r="E970" s="41"/>
      <c r="F970" s="41"/>
      <c r="G970" s="42"/>
      <c r="H970" s="43"/>
      <c r="I970" s="42"/>
      <c r="J970" s="44"/>
      <c r="K970" s="44"/>
      <c r="L970" s="44"/>
      <c r="M970" s="45" t="str">
        <f t="shared" si="36"/>
        <v>Pass</v>
      </c>
      <c r="N970" s="46" t="str">
        <f>IFERROR(VLOOKUP(D970,'[1]Product Datasheet'!$A:$G,4,0),"")</f>
        <v/>
      </c>
      <c r="O970" s="47" t="str">
        <f>IFERROR(VLOOKUP(D970,'[1]Product Datasheet'!$A:$G,5,0),"")</f>
        <v/>
      </c>
      <c r="P970" s="47" t="str">
        <f>IFERROR(VLOOKUP(D970,'[1]Product Datasheet'!$A:$G,6,0),"")</f>
        <v/>
      </c>
      <c r="Q970" s="47" t="str">
        <f>IFERROR(VLOOKUP(D970,'[1]Product Datasheet'!$A:$G,7,0), "")</f>
        <v/>
      </c>
      <c r="R970" s="48"/>
      <c r="S970" s="49" t="str">
        <f t="shared" si="37"/>
        <v>Accept</v>
      </c>
      <c r="T970" s="50"/>
      <c r="U970" s="51"/>
    </row>
    <row r="971" spans="1:21" ht="24.75" customHeight="1" x14ac:dyDescent="0.3">
      <c r="A971" s="38" t="str">
        <f>IFERROR(VLOOKUP(D971,'[1]Product Datasheet'!$A:$G,2,0),"")</f>
        <v/>
      </c>
      <c r="B971" s="39" t="str">
        <f>IFERROR(VLOOKUP(D971,'[1]Product Datasheet'!$A:$G,3,0),"")</f>
        <v/>
      </c>
      <c r="C971" s="40"/>
      <c r="D971" s="41"/>
      <c r="E971" s="41"/>
      <c r="F971" s="41"/>
      <c r="G971" s="42"/>
      <c r="H971" s="43"/>
      <c r="I971" s="42"/>
      <c r="J971" s="44"/>
      <c r="K971" s="44"/>
      <c r="L971" s="44"/>
      <c r="M971" s="45" t="str">
        <f t="shared" si="36"/>
        <v>Pass</v>
      </c>
      <c r="N971" s="46" t="str">
        <f>IFERROR(VLOOKUP(D971,'[1]Product Datasheet'!$A:$G,4,0),"")</f>
        <v/>
      </c>
      <c r="O971" s="47" t="str">
        <f>IFERROR(VLOOKUP(D971,'[1]Product Datasheet'!$A:$G,5,0),"")</f>
        <v/>
      </c>
      <c r="P971" s="47" t="str">
        <f>IFERROR(VLOOKUP(D971,'[1]Product Datasheet'!$A:$G,6,0),"")</f>
        <v/>
      </c>
      <c r="Q971" s="47" t="str">
        <f>IFERROR(VLOOKUP(D971,'[1]Product Datasheet'!$A:$G,7,0), "")</f>
        <v/>
      </c>
      <c r="R971" s="48"/>
      <c r="S971" s="49" t="str">
        <f t="shared" si="37"/>
        <v>Accept</v>
      </c>
      <c r="T971" s="50"/>
      <c r="U971" s="51"/>
    </row>
    <row r="972" spans="1:21" ht="24.75" customHeight="1" x14ac:dyDescent="0.3">
      <c r="A972" s="38" t="str">
        <f>IFERROR(VLOOKUP(D972,'[1]Product Datasheet'!$A:$G,2,0),"")</f>
        <v/>
      </c>
      <c r="B972" s="39" t="str">
        <f>IFERROR(VLOOKUP(D972,'[1]Product Datasheet'!$A:$G,3,0),"")</f>
        <v/>
      </c>
      <c r="C972" s="40"/>
      <c r="D972" s="41"/>
      <c r="E972" s="41"/>
      <c r="F972" s="41"/>
      <c r="G972" s="42"/>
      <c r="H972" s="43"/>
      <c r="I972" s="42"/>
      <c r="J972" s="44"/>
      <c r="K972" s="44"/>
      <c r="L972" s="44"/>
      <c r="M972" s="45" t="str">
        <f t="shared" si="36"/>
        <v>Pass</v>
      </c>
      <c r="N972" s="46" t="str">
        <f>IFERROR(VLOOKUP(D972,'[1]Product Datasheet'!$A:$G,4,0),"")</f>
        <v/>
      </c>
      <c r="O972" s="47" t="str">
        <f>IFERROR(VLOOKUP(D972,'[1]Product Datasheet'!$A:$G,5,0),"")</f>
        <v/>
      </c>
      <c r="P972" s="47" t="str">
        <f>IFERROR(VLOOKUP(D972,'[1]Product Datasheet'!$A:$G,6,0),"")</f>
        <v/>
      </c>
      <c r="Q972" s="47" t="str">
        <f>IFERROR(VLOOKUP(D972,'[1]Product Datasheet'!$A:$G,7,0), "")</f>
        <v/>
      </c>
      <c r="R972" s="48"/>
      <c r="S972" s="49" t="str">
        <f t="shared" si="37"/>
        <v>Accept</v>
      </c>
      <c r="T972" s="50"/>
      <c r="U972" s="51"/>
    </row>
    <row r="973" spans="1:21" ht="24.75" customHeight="1" x14ac:dyDescent="0.3">
      <c r="A973" s="38" t="str">
        <f>IFERROR(VLOOKUP(D973,'[1]Product Datasheet'!$A:$G,2,0),"")</f>
        <v/>
      </c>
      <c r="B973" s="39" t="str">
        <f>IFERROR(VLOOKUP(D973,'[1]Product Datasheet'!$A:$G,3,0),"")</f>
        <v/>
      </c>
      <c r="C973" s="40"/>
      <c r="D973" s="41"/>
      <c r="E973" s="41"/>
      <c r="F973" s="41"/>
      <c r="G973" s="42"/>
      <c r="H973" s="43"/>
      <c r="I973" s="42"/>
      <c r="J973" s="44"/>
      <c r="K973" s="44"/>
      <c r="L973" s="44"/>
      <c r="M973" s="45" t="str">
        <f t="shared" si="36"/>
        <v>Pass</v>
      </c>
      <c r="N973" s="46" t="str">
        <f>IFERROR(VLOOKUP(D973,'[1]Product Datasheet'!$A:$G,4,0),"")</f>
        <v/>
      </c>
      <c r="O973" s="47" t="str">
        <f>IFERROR(VLOOKUP(D973,'[1]Product Datasheet'!$A:$G,5,0),"")</f>
        <v/>
      </c>
      <c r="P973" s="47" t="str">
        <f>IFERROR(VLOOKUP(D973,'[1]Product Datasheet'!$A:$G,6,0),"")</f>
        <v/>
      </c>
      <c r="Q973" s="47" t="str">
        <f>IFERROR(VLOOKUP(D973,'[1]Product Datasheet'!$A:$G,7,0), "")</f>
        <v/>
      </c>
      <c r="R973" s="48"/>
      <c r="S973" s="49" t="str">
        <f t="shared" si="37"/>
        <v>Accept</v>
      </c>
      <c r="T973" s="50"/>
      <c r="U973" s="51"/>
    </row>
    <row r="974" spans="1:21" ht="24.75" customHeight="1" x14ac:dyDescent="0.3">
      <c r="A974" s="38" t="str">
        <f>IFERROR(VLOOKUP(D974,'[1]Product Datasheet'!$A:$G,2,0),"")</f>
        <v/>
      </c>
      <c r="B974" s="39" t="str">
        <f>IFERROR(VLOOKUP(D974,'[1]Product Datasheet'!$A:$G,3,0),"")</f>
        <v/>
      </c>
      <c r="C974" s="40"/>
      <c r="D974" s="41"/>
      <c r="E974" s="41"/>
      <c r="F974" s="41"/>
      <c r="G974" s="42"/>
      <c r="H974" s="43"/>
      <c r="I974" s="42"/>
      <c r="J974" s="44"/>
      <c r="K974" s="44"/>
      <c r="L974" s="44"/>
      <c r="M974" s="45" t="str">
        <f t="shared" si="36"/>
        <v>Pass</v>
      </c>
      <c r="N974" s="46" t="str">
        <f>IFERROR(VLOOKUP(D974,'[1]Product Datasheet'!$A:$G,4,0),"")</f>
        <v/>
      </c>
      <c r="O974" s="47" t="str">
        <f>IFERROR(VLOOKUP(D974,'[1]Product Datasheet'!$A:$G,5,0),"")</f>
        <v/>
      </c>
      <c r="P974" s="47" t="str">
        <f>IFERROR(VLOOKUP(D974,'[1]Product Datasheet'!$A:$G,6,0),"")</f>
        <v/>
      </c>
      <c r="Q974" s="47" t="str">
        <f>IFERROR(VLOOKUP(D974,'[1]Product Datasheet'!$A:$G,7,0), "")</f>
        <v/>
      </c>
      <c r="R974" s="48"/>
      <c r="S974" s="49" t="str">
        <f t="shared" si="37"/>
        <v>Accept</v>
      </c>
      <c r="T974" s="50"/>
      <c r="U974" s="51"/>
    </row>
    <row r="975" spans="1:21" ht="24.75" customHeight="1" x14ac:dyDescent="0.3">
      <c r="A975" s="38" t="str">
        <f>IFERROR(VLOOKUP(D975,'[1]Product Datasheet'!$A:$G,2,0),"")</f>
        <v/>
      </c>
      <c r="B975" s="39" t="str">
        <f>IFERROR(VLOOKUP(D975,'[1]Product Datasheet'!$A:$G,3,0),"")</f>
        <v/>
      </c>
      <c r="C975" s="40"/>
      <c r="D975" s="41"/>
      <c r="E975" s="41"/>
      <c r="F975" s="41"/>
      <c r="G975" s="42"/>
      <c r="H975" s="43"/>
      <c r="I975" s="42"/>
      <c r="J975" s="44"/>
      <c r="K975" s="44"/>
      <c r="L975" s="44"/>
      <c r="M975" s="45" t="str">
        <f t="shared" si="36"/>
        <v>Pass</v>
      </c>
      <c r="N975" s="46" t="str">
        <f>IFERROR(VLOOKUP(D975,'[1]Product Datasheet'!$A:$G,4,0),"")</f>
        <v/>
      </c>
      <c r="O975" s="47" t="str">
        <f>IFERROR(VLOOKUP(D975,'[1]Product Datasheet'!$A:$G,5,0),"")</f>
        <v/>
      </c>
      <c r="P975" s="47" t="str">
        <f>IFERROR(VLOOKUP(D975,'[1]Product Datasheet'!$A:$G,6,0),"")</f>
        <v/>
      </c>
      <c r="Q975" s="47" t="str">
        <f>IFERROR(VLOOKUP(D975,'[1]Product Datasheet'!$A:$G,7,0), "")</f>
        <v/>
      </c>
      <c r="R975" s="48"/>
      <c r="S975" s="49" t="str">
        <f t="shared" si="37"/>
        <v>Accept</v>
      </c>
      <c r="T975" s="50"/>
      <c r="U975" s="51"/>
    </row>
    <row r="976" spans="1:21" ht="24.75" customHeight="1" x14ac:dyDescent="0.3">
      <c r="A976" s="38" t="str">
        <f>IFERROR(VLOOKUP(D976,'[1]Product Datasheet'!$A:$G,2,0),"")</f>
        <v/>
      </c>
      <c r="B976" s="39" t="str">
        <f>IFERROR(VLOOKUP(D976,'[1]Product Datasheet'!$A:$G,3,0),"")</f>
        <v/>
      </c>
      <c r="C976" s="40"/>
      <c r="D976" s="41"/>
      <c r="E976" s="41"/>
      <c r="F976" s="41"/>
      <c r="G976" s="42"/>
      <c r="H976" s="43"/>
      <c r="I976" s="42"/>
      <c r="J976" s="44"/>
      <c r="K976" s="44"/>
      <c r="L976" s="44"/>
      <c r="M976" s="45" t="str">
        <f t="shared" si="36"/>
        <v>Pass</v>
      </c>
      <c r="N976" s="46" t="str">
        <f>IFERROR(VLOOKUP(D976,'[1]Product Datasheet'!$A:$G,4,0),"")</f>
        <v/>
      </c>
      <c r="O976" s="47" t="str">
        <f>IFERROR(VLOOKUP(D976,'[1]Product Datasheet'!$A:$G,5,0),"")</f>
        <v/>
      </c>
      <c r="P976" s="47" t="str">
        <f>IFERROR(VLOOKUP(D976,'[1]Product Datasheet'!$A:$G,6,0),"")</f>
        <v/>
      </c>
      <c r="Q976" s="47" t="str">
        <f>IFERROR(VLOOKUP(D976,'[1]Product Datasheet'!$A:$G,7,0), "")</f>
        <v/>
      </c>
      <c r="R976" s="48"/>
      <c r="S976" s="49" t="str">
        <f t="shared" si="37"/>
        <v>Accept</v>
      </c>
      <c r="T976" s="50"/>
      <c r="U976" s="51"/>
    </row>
    <row r="977" spans="1:21" ht="24.75" customHeight="1" x14ac:dyDescent="0.3">
      <c r="A977" s="38" t="str">
        <f>IFERROR(VLOOKUP(D977,'[1]Product Datasheet'!$A:$G,2,0),"")</f>
        <v/>
      </c>
      <c r="B977" s="39" t="str">
        <f>IFERROR(VLOOKUP(D977,'[1]Product Datasheet'!$A:$G,3,0),"")</f>
        <v/>
      </c>
      <c r="C977" s="40"/>
      <c r="D977" s="41"/>
      <c r="E977" s="41"/>
      <c r="F977" s="41"/>
      <c r="G977" s="42"/>
      <c r="H977" s="43"/>
      <c r="I977" s="42"/>
      <c r="J977" s="44"/>
      <c r="K977" s="44"/>
      <c r="L977" s="44"/>
      <c r="M977" s="45" t="str">
        <f t="shared" si="36"/>
        <v>Pass</v>
      </c>
      <c r="N977" s="46" t="str">
        <f>IFERROR(VLOOKUP(D977,'[1]Product Datasheet'!$A:$G,4,0),"")</f>
        <v/>
      </c>
      <c r="O977" s="47" t="str">
        <f>IFERROR(VLOOKUP(D977,'[1]Product Datasheet'!$A:$G,5,0),"")</f>
        <v/>
      </c>
      <c r="P977" s="47" t="str">
        <f>IFERROR(VLOOKUP(D977,'[1]Product Datasheet'!$A:$G,6,0),"")</f>
        <v/>
      </c>
      <c r="Q977" s="47" t="str">
        <f>IFERROR(VLOOKUP(D977,'[1]Product Datasheet'!$A:$G,7,0), "")</f>
        <v/>
      </c>
      <c r="R977" s="48"/>
      <c r="S977" s="49" t="str">
        <f t="shared" si="37"/>
        <v>Accept</v>
      </c>
      <c r="T977" s="50"/>
      <c r="U977" s="51"/>
    </row>
    <row r="978" spans="1:21" ht="24.75" customHeight="1" x14ac:dyDescent="0.3">
      <c r="A978" s="38" t="str">
        <f>IFERROR(VLOOKUP(D978,'[1]Product Datasheet'!$A:$G,2,0),"")</f>
        <v/>
      </c>
      <c r="B978" s="39" t="str">
        <f>IFERROR(VLOOKUP(D978,'[1]Product Datasheet'!$A:$G,3,0),"")</f>
        <v/>
      </c>
      <c r="C978" s="40"/>
      <c r="D978" s="41"/>
      <c r="E978" s="41"/>
      <c r="F978" s="41"/>
      <c r="G978" s="42"/>
      <c r="H978" s="43"/>
      <c r="I978" s="42"/>
      <c r="J978" s="44"/>
      <c r="K978" s="44"/>
      <c r="L978" s="44"/>
      <c r="M978" s="45" t="str">
        <f t="shared" si="36"/>
        <v>Pass</v>
      </c>
      <c r="N978" s="46" t="str">
        <f>IFERROR(VLOOKUP(D978,'[1]Product Datasheet'!$A:$G,4,0),"")</f>
        <v/>
      </c>
      <c r="O978" s="47" t="str">
        <f>IFERROR(VLOOKUP(D978,'[1]Product Datasheet'!$A:$G,5,0),"")</f>
        <v/>
      </c>
      <c r="P978" s="47" t="str">
        <f>IFERROR(VLOOKUP(D978,'[1]Product Datasheet'!$A:$G,6,0),"")</f>
        <v/>
      </c>
      <c r="Q978" s="47" t="str">
        <f>IFERROR(VLOOKUP(D978,'[1]Product Datasheet'!$A:$G,7,0), "")</f>
        <v/>
      </c>
      <c r="R978" s="48"/>
      <c r="S978" s="49" t="str">
        <f t="shared" si="37"/>
        <v>Accept</v>
      </c>
      <c r="T978" s="50"/>
      <c r="U978" s="51"/>
    </row>
    <row r="979" spans="1:21" ht="24.75" customHeight="1" x14ac:dyDescent="0.3">
      <c r="A979" s="38" t="str">
        <f>IFERROR(VLOOKUP(D979,'[1]Product Datasheet'!$A:$G,2,0),"")</f>
        <v/>
      </c>
      <c r="B979" s="39" t="str">
        <f>IFERROR(VLOOKUP(D979,'[1]Product Datasheet'!$A:$G,3,0),"")</f>
        <v/>
      </c>
      <c r="C979" s="40"/>
      <c r="D979" s="41"/>
      <c r="E979" s="41"/>
      <c r="F979" s="41"/>
      <c r="G979" s="42"/>
      <c r="H979" s="43"/>
      <c r="I979" s="42"/>
      <c r="J979" s="44"/>
      <c r="K979" s="44"/>
      <c r="L979" s="44"/>
      <c r="M979" s="45" t="str">
        <f t="shared" si="36"/>
        <v>Pass</v>
      </c>
      <c r="N979" s="46" t="str">
        <f>IFERROR(VLOOKUP(D979,'[1]Product Datasheet'!$A:$G,4,0),"")</f>
        <v/>
      </c>
      <c r="O979" s="47" t="str">
        <f>IFERROR(VLOOKUP(D979,'[1]Product Datasheet'!$A:$G,5,0),"")</f>
        <v/>
      </c>
      <c r="P979" s="47" t="str">
        <f>IFERROR(VLOOKUP(D979,'[1]Product Datasheet'!$A:$G,6,0),"")</f>
        <v/>
      </c>
      <c r="Q979" s="47" t="str">
        <f>IFERROR(VLOOKUP(D979,'[1]Product Datasheet'!$A:$G,7,0), "")</f>
        <v/>
      </c>
      <c r="R979" s="48"/>
      <c r="S979" s="49" t="str">
        <f t="shared" si="37"/>
        <v>Accept</v>
      </c>
      <c r="T979" s="50"/>
      <c r="U979" s="51"/>
    </row>
    <row r="980" spans="1:21" ht="24.75" customHeight="1" x14ac:dyDescent="0.3">
      <c r="A980" s="38" t="str">
        <f>IFERROR(VLOOKUP(D980,'[1]Product Datasheet'!$A:$G,2,0),"")</f>
        <v/>
      </c>
      <c r="B980" s="39" t="str">
        <f>IFERROR(VLOOKUP(D980,'[1]Product Datasheet'!$A:$G,3,0),"")</f>
        <v/>
      </c>
      <c r="C980" s="40"/>
      <c r="D980" s="41"/>
      <c r="E980" s="41"/>
      <c r="F980" s="41"/>
      <c r="G980" s="42"/>
      <c r="H980" s="43"/>
      <c r="I980" s="42"/>
      <c r="J980" s="44"/>
      <c r="K980" s="44"/>
      <c r="L980" s="44"/>
      <c r="M980" s="45" t="str">
        <f t="shared" si="36"/>
        <v>Pass</v>
      </c>
      <c r="N980" s="46" t="str">
        <f>IFERROR(VLOOKUP(D980,'[1]Product Datasheet'!$A:$G,4,0),"")</f>
        <v/>
      </c>
      <c r="O980" s="47" t="str">
        <f>IFERROR(VLOOKUP(D980,'[1]Product Datasheet'!$A:$G,5,0),"")</f>
        <v/>
      </c>
      <c r="P980" s="47" t="str">
        <f>IFERROR(VLOOKUP(D980,'[1]Product Datasheet'!$A:$G,6,0),"")</f>
        <v/>
      </c>
      <c r="Q980" s="47" t="str">
        <f>IFERROR(VLOOKUP(D980,'[1]Product Datasheet'!$A:$G,7,0), "")</f>
        <v/>
      </c>
      <c r="R980" s="48"/>
      <c r="S980" s="49" t="str">
        <f t="shared" si="37"/>
        <v>Accept</v>
      </c>
      <c r="T980" s="50"/>
      <c r="U980" s="51"/>
    </row>
    <row r="981" spans="1:21" ht="24.75" customHeight="1" x14ac:dyDescent="0.3">
      <c r="A981" s="38" t="str">
        <f>IFERROR(VLOOKUP(D981,'[1]Product Datasheet'!$A:$G,2,0),"")</f>
        <v/>
      </c>
      <c r="B981" s="39" t="str">
        <f>IFERROR(VLOOKUP(D981,'[1]Product Datasheet'!$A:$G,3,0),"")</f>
        <v/>
      </c>
      <c r="C981" s="40"/>
      <c r="D981" s="41"/>
      <c r="E981" s="41"/>
      <c r="F981" s="41"/>
      <c r="G981" s="42"/>
      <c r="H981" s="43"/>
      <c r="I981" s="42"/>
      <c r="J981" s="44"/>
      <c r="K981" s="44"/>
      <c r="L981" s="44"/>
      <c r="M981" s="45" t="str">
        <f t="shared" si="36"/>
        <v>Pass</v>
      </c>
      <c r="N981" s="46" t="str">
        <f>IFERROR(VLOOKUP(D981,'[1]Product Datasheet'!$A:$G,4,0),"")</f>
        <v/>
      </c>
      <c r="O981" s="47" t="str">
        <f>IFERROR(VLOOKUP(D981,'[1]Product Datasheet'!$A:$G,5,0),"")</f>
        <v/>
      </c>
      <c r="P981" s="47" t="str">
        <f>IFERROR(VLOOKUP(D981,'[1]Product Datasheet'!$A:$G,6,0),"")</f>
        <v/>
      </c>
      <c r="Q981" s="47" t="str">
        <f>IFERROR(VLOOKUP(D981,'[1]Product Datasheet'!$A:$G,7,0), "")</f>
        <v/>
      </c>
      <c r="R981" s="48"/>
      <c r="S981" s="49" t="str">
        <f t="shared" si="37"/>
        <v>Accept</v>
      </c>
      <c r="T981" s="50"/>
      <c r="U981" s="51"/>
    </row>
    <row r="982" spans="1:21" ht="24.75" customHeight="1" x14ac:dyDescent="0.3">
      <c r="A982" s="38" t="str">
        <f>IFERROR(VLOOKUP(D982,'[1]Product Datasheet'!$A:$G,2,0),"")</f>
        <v/>
      </c>
      <c r="B982" s="39" t="str">
        <f>IFERROR(VLOOKUP(D982,'[1]Product Datasheet'!$A:$G,3,0),"")</f>
        <v/>
      </c>
      <c r="C982" s="40"/>
      <c r="D982" s="41"/>
      <c r="E982" s="41"/>
      <c r="F982" s="41"/>
      <c r="G982" s="42"/>
      <c r="H982" s="43"/>
      <c r="I982" s="42"/>
      <c r="J982" s="44"/>
      <c r="K982" s="44"/>
      <c r="L982" s="44"/>
      <c r="M982" s="45" t="str">
        <f t="shared" si="36"/>
        <v>Pass</v>
      </c>
      <c r="N982" s="46" t="str">
        <f>IFERROR(VLOOKUP(D982,'[1]Product Datasheet'!$A:$G,4,0),"")</f>
        <v/>
      </c>
      <c r="O982" s="47" t="str">
        <f>IFERROR(VLOOKUP(D982,'[1]Product Datasheet'!$A:$G,5,0),"")</f>
        <v/>
      </c>
      <c r="P982" s="47" t="str">
        <f>IFERROR(VLOOKUP(D982,'[1]Product Datasheet'!$A:$G,6,0),"")</f>
        <v/>
      </c>
      <c r="Q982" s="47" t="str">
        <f>IFERROR(VLOOKUP(D982,'[1]Product Datasheet'!$A:$G,7,0), "")</f>
        <v/>
      </c>
      <c r="R982" s="48"/>
      <c r="S982" s="49" t="str">
        <f t="shared" si="37"/>
        <v>Accept</v>
      </c>
      <c r="T982" s="50"/>
      <c r="U982" s="51"/>
    </row>
    <row r="983" spans="1:21" ht="24.75" customHeight="1" x14ac:dyDescent="0.3">
      <c r="A983" s="38" t="str">
        <f>IFERROR(VLOOKUP(D983,'[1]Product Datasheet'!$A:$G,2,0),"")</f>
        <v/>
      </c>
      <c r="B983" s="39" t="str">
        <f>IFERROR(VLOOKUP(D983,'[1]Product Datasheet'!$A:$G,3,0),"")</f>
        <v/>
      </c>
      <c r="C983" s="40"/>
      <c r="D983" s="41"/>
      <c r="E983" s="41"/>
      <c r="F983" s="41"/>
      <c r="G983" s="42"/>
      <c r="H983" s="43"/>
      <c r="I983" s="42"/>
      <c r="J983" s="44"/>
      <c r="K983" s="44"/>
      <c r="L983" s="44"/>
      <c r="M983" s="45" t="str">
        <f t="shared" si="36"/>
        <v>Pass</v>
      </c>
      <c r="N983" s="46" t="str">
        <f>IFERROR(VLOOKUP(D983,'[1]Product Datasheet'!$A:$G,4,0),"")</f>
        <v/>
      </c>
      <c r="O983" s="47" t="str">
        <f>IFERROR(VLOOKUP(D983,'[1]Product Datasheet'!$A:$G,5,0),"")</f>
        <v/>
      </c>
      <c r="P983" s="47" t="str">
        <f>IFERROR(VLOOKUP(D983,'[1]Product Datasheet'!$A:$G,6,0),"")</f>
        <v/>
      </c>
      <c r="Q983" s="47" t="str">
        <f>IFERROR(VLOOKUP(D983,'[1]Product Datasheet'!$A:$G,7,0), "")</f>
        <v/>
      </c>
      <c r="R983" s="48"/>
      <c r="S983" s="49" t="str">
        <f t="shared" si="37"/>
        <v>Accept</v>
      </c>
      <c r="T983" s="50"/>
      <c r="U983" s="51"/>
    </row>
    <row r="984" spans="1:21" ht="24.75" customHeight="1" x14ac:dyDescent="0.3">
      <c r="A984" s="38" t="str">
        <f>IFERROR(VLOOKUP(D984,'[1]Product Datasheet'!$A:$G,2,0),"")</f>
        <v/>
      </c>
      <c r="B984" s="39" t="str">
        <f>IFERROR(VLOOKUP(D984,'[1]Product Datasheet'!$A:$G,3,0),"")</f>
        <v/>
      </c>
      <c r="C984" s="40"/>
      <c r="D984" s="41"/>
      <c r="E984" s="41"/>
      <c r="F984" s="41"/>
      <c r="G984" s="42"/>
      <c r="H984" s="43"/>
      <c r="I984" s="42"/>
      <c r="J984" s="44"/>
      <c r="K984" s="44"/>
      <c r="L984" s="44"/>
      <c r="M984" s="45" t="str">
        <f t="shared" si="36"/>
        <v>Pass</v>
      </c>
      <c r="N984" s="46" t="str">
        <f>IFERROR(VLOOKUP(D984,'[1]Product Datasheet'!$A:$G,4,0),"")</f>
        <v/>
      </c>
      <c r="O984" s="47" t="str">
        <f>IFERROR(VLOOKUP(D984,'[1]Product Datasheet'!$A:$G,5,0),"")</f>
        <v/>
      </c>
      <c r="P984" s="47" t="str">
        <f>IFERROR(VLOOKUP(D984,'[1]Product Datasheet'!$A:$G,6,0),"")</f>
        <v/>
      </c>
      <c r="Q984" s="47" t="str">
        <f>IFERROR(VLOOKUP(D984,'[1]Product Datasheet'!$A:$G,7,0), "")</f>
        <v/>
      </c>
      <c r="R984" s="48"/>
      <c r="S984" s="49" t="str">
        <f t="shared" si="37"/>
        <v>Accept</v>
      </c>
      <c r="T984" s="50"/>
      <c r="U984" s="51"/>
    </row>
    <row r="985" spans="1:21" ht="24.75" customHeight="1" x14ac:dyDescent="0.3">
      <c r="A985" s="38" t="str">
        <f>IFERROR(VLOOKUP(D985,'[1]Product Datasheet'!$A:$G,2,0),"")</f>
        <v/>
      </c>
      <c r="B985" s="39" t="str">
        <f>IFERROR(VLOOKUP(D985,'[1]Product Datasheet'!$A:$G,3,0),"")</f>
        <v/>
      </c>
      <c r="C985" s="40"/>
      <c r="D985" s="41"/>
      <c r="E985" s="41"/>
      <c r="F985" s="41"/>
      <c r="G985" s="42"/>
      <c r="H985" s="43"/>
      <c r="I985" s="42"/>
      <c r="J985" s="44"/>
      <c r="K985" s="44"/>
      <c r="L985" s="44"/>
      <c r="M985" s="45" t="str">
        <f t="shared" si="36"/>
        <v>Pass</v>
      </c>
      <c r="N985" s="46" t="str">
        <f>IFERROR(VLOOKUP(D985,'[1]Product Datasheet'!$A:$G,4,0),"")</f>
        <v/>
      </c>
      <c r="O985" s="47" t="str">
        <f>IFERROR(VLOOKUP(D985,'[1]Product Datasheet'!$A:$G,5,0),"")</f>
        <v/>
      </c>
      <c r="P985" s="47" t="str">
        <f>IFERROR(VLOOKUP(D985,'[1]Product Datasheet'!$A:$G,6,0),"")</f>
        <v/>
      </c>
      <c r="Q985" s="47" t="str">
        <f>IFERROR(VLOOKUP(D985,'[1]Product Datasheet'!$A:$G,7,0), "")</f>
        <v/>
      </c>
      <c r="R985" s="48"/>
      <c r="S985" s="49" t="str">
        <f t="shared" si="37"/>
        <v>Accept</v>
      </c>
      <c r="T985" s="50"/>
      <c r="U985" s="51"/>
    </row>
    <row r="986" spans="1:21" ht="24.75" customHeight="1" x14ac:dyDescent="0.3">
      <c r="A986" s="38" t="str">
        <f>IFERROR(VLOOKUP(D986,'[1]Product Datasheet'!$A:$G,2,0),"")</f>
        <v/>
      </c>
      <c r="B986" s="39" t="str">
        <f>IFERROR(VLOOKUP(D986,'[1]Product Datasheet'!$A:$G,3,0),"")</f>
        <v/>
      </c>
      <c r="C986" s="40"/>
      <c r="D986" s="41"/>
      <c r="E986" s="41"/>
      <c r="F986" s="41"/>
      <c r="G986" s="42"/>
      <c r="H986" s="43"/>
      <c r="I986" s="42"/>
      <c r="J986" s="44"/>
      <c r="K986" s="44"/>
      <c r="L986" s="44"/>
      <c r="M986" s="45" t="str">
        <f t="shared" si="36"/>
        <v>Pass</v>
      </c>
      <c r="N986" s="46" t="str">
        <f>IFERROR(VLOOKUP(D986,'[1]Product Datasheet'!$A:$G,4,0),"")</f>
        <v/>
      </c>
      <c r="O986" s="47" t="str">
        <f>IFERROR(VLOOKUP(D986,'[1]Product Datasheet'!$A:$G,5,0),"")</f>
        <v/>
      </c>
      <c r="P986" s="47" t="str">
        <f>IFERROR(VLOOKUP(D986,'[1]Product Datasheet'!$A:$G,6,0),"")</f>
        <v/>
      </c>
      <c r="Q986" s="47" t="str">
        <f>IFERROR(VLOOKUP(D986,'[1]Product Datasheet'!$A:$G,7,0), "")</f>
        <v/>
      </c>
      <c r="R986" s="48"/>
      <c r="S986" s="49" t="str">
        <f t="shared" si="37"/>
        <v>Accept</v>
      </c>
      <c r="T986" s="50"/>
      <c r="U986" s="51"/>
    </row>
    <row r="987" spans="1:21" ht="24.75" customHeight="1" x14ac:dyDescent="0.3">
      <c r="A987" s="38" t="str">
        <f>IFERROR(VLOOKUP(D987,'[1]Product Datasheet'!$A:$G,2,0),"")</f>
        <v/>
      </c>
      <c r="B987" s="39" t="str">
        <f>IFERROR(VLOOKUP(D987,'[1]Product Datasheet'!$A:$G,3,0),"")</f>
        <v/>
      </c>
      <c r="C987" s="40"/>
      <c r="D987" s="41"/>
      <c r="E987" s="41"/>
      <c r="F987" s="41"/>
      <c r="G987" s="42"/>
      <c r="H987" s="43"/>
      <c r="I987" s="42"/>
      <c r="J987" s="44"/>
      <c r="K987" s="44"/>
      <c r="L987" s="44"/>
      <c r="M987" s="45" t="str">
        <f t="shared" si="36"/>
        <v>Pass</v>
      </c>
      <c r="N987" s="46" t="str">
        <f>IFERROR(VLOOKUP(D987,'[1]Product Datasheet'!$A:$G,4,0),"")</f>
        <v/>
      </c>
      <c r="O987" s="47" t="str">
        <f>IFERROR(VLOOKUP(D987,'[1]Product Datasheet'!$A:$G,5,0),"")</f>
        <v/>
      </c>
      <c r="P987" s="47" t="str">
        <f>IFERROR(VLOOKUP(D987,'[1]Product Datasheet'!$A:$G,6,0),"")</f>
        <v/>
      </c>
      <c r="Q987" s="47" t="str">
        <f>IFERROR(VLOOKUP(D987,'[1]Product Datasheet'!$A:$G,7,0), "")</f>
        <v/>
      </c>
      <c r="R987" s="48"/>
      <c r="S987" s="49" t="str">
        <f t="shared" si="37"/>
        <v>Accept</v>
      </c>
      <c r="T987" s="50"/>
      <c r="U987" s="51"/>
    </row>
    <row r="988" spans="1:21" ht="24.75" customHeight="1" x14ac:dyDescent="0.3">
      <c r="A988" s="38" t="str">
        <f>IFERROR(VLOOKUP(D988,'[1]Product Datasheet'!$A:$G,2,0),"")</f>
        <v/>
      </c>
      <c r="B988" s="39" t="str">
        <f>IFERROR(VLOOKUP(D988,'[1]Product Datasheet'!$A:$G,3,0),"")</f>
        <v/>
      </c>
      <c r="C988" s="40"/>
      <c r="D988" s="41"/>
      <c r="E988" s="41"/>
      <c r="F988" s="41"/>
      <c r="G988" s="42"/>
      <c r="H988" s="43"/>
      <c r="I988" s="42"/>
      <c r="J988" s="44"/>
      <c r="K988" s="44"/>
      <c r="L988" s="44"/>
      <c r="M988" s="45" t="str">
        <f t="shared" si="36"/>
        <v>Pass</v>
      </c>
      <c r="N988" s="46" t="str">
        <f>IFERROR(VLOOKUP(D988,'[1]Product Datasheet'!$A:$G,4,0),"")</f>
        <v/>
      </c>
      <c r="O988" s="47" t="str">
        <f>IFERROR(VLOOKUP(D988,'[1]Product Datasheet'!$A:$G,5,0),"")</f>
        <v/>
      </c>
      <c r="P988" s="47" t="str">
        <f>IFERROR(VLOOKUP(D988,'[1]Product Datasheet'!$A:$G,6,0),"")</f>
        <v/>
      </c>
      <c r="Q988" s="47" t="str">
        <f>IFERROR(VLOOKUP(D988,'[1]Product Datasheet'!$A:$G,7,0), "")</f>
        <v/>
      </c>
      <c r="R988" s="48"/>
      <c r="S988" s="49" t="str">
        <f t="shared" si="37"/>
        <v>Accept</v>
      </c>
      <c r="T988" s="50"/>
      <c r="U988" s="51"/>
    </row>
    <row r="989" spans="1:21" ht="24.75" customHeight="1" x14ac:dyDescent="0.3">
      <c r="A989" s="38" t="str">
        <f>IFERROR(VLOOKUP(D989,'[1]Product Datasheet'!$A:$G,2,0),"")</f>
        <v/>
      </c>
      <c r="B989" s="39" t="str">
        <f>IFERROR(VLOOKUP(D989,'[1]Product Datasheet'!$A:$G,3,0),"")</f>
        <v/>
      </c>
      <c r="C989" s="40"/>
      <c r="D989" s="41"/>
      <c r="E989" s="41"/>
      <c r="F989" s="41"/>
      <c r="G989" s="42"/>
      <c r="H989" s="43"/>
      <c r="I989" s="42"/>
      <c r="J989" s="44"/>
      <c r="K989" s="44"/>
      <c r="L989" s="44"/>
      <c r="M989" s="45" t="str">
        <f t="shared" si="36"/>
        <v>Pass</v>
      </c>
      <c r="N989" s="46" t="str">
        <f>IFERROR(VLOOKUP(D989,'[1]Product Datasheet'!$A:$G,4,0),"")</f>
        <v/>
      </c>
      <c r="O989" s="47" t="str">
        <f>IFERROR(VLOOKUP(D989,'[1]Product Datasheet'!$A:$G,5,0),"")</f>
        <v/>
      </c>
      <c r="P989" s="47" t="str">
        <f>IFERROR(VLOOKUP(D989,'[1]Product Datasheet'!$A:$G,6,0),"")</f>
        <v/>
      </c>
      <c r="Q989" s="47" t="str">
        <f>IFERROR(VLOOKUP(D989,'[1]Product Datasheet'!$A:$G,7,0), "")</f>
        <v/>
      </c>
      <c r="R989" s="48"/>
      <c r="S989" s="49" t="str">
        <f t="shared" si="37"/>
        <v>Accept</v>
      </c>
      <c r="T989" s="50"/>
      <c r="U989" s="51"/>
    </row>
    <row r="990" spans="1:21" ht="24.75" customHeight="1" x14ac:dyDescent="0.3">
      <c r="A990" s="38" t="str">
        <f>IFERROR(VLOOKUP(D990,'[1]Product Datasheet'!$A:$G,2,0),"")</f>
        <v/>
      </c>
      <c r="B990" s="39" t="str">
        <f>IFERROR(VLOOKUP(D990,'[1]Product Datasheet'!$A:$G,3,0),"")</f>
        <v/>
      </c>
      <c r="C990" s="40"/>
      <c r="D990" s="41"/>
      <c r="E990" s="41"/>
      <c r="F990" s="41"/>
      <c r="G990" s="42"/>
      <c r="H990" s="43"/>
      <c r="I990" s="42"/>
      <c r="J990" s="44"/>
      <c r="K990" s="44"/>
      <c r="L990" s="44"/>
      <c r="M990" s="45" t="str">
        <f t="shared" si="36"/>
        <v>Pass</v>
      </c>
      <c r="N990" s="46" t="str">
        <f>IFERROR(VLOOKUP(D990,'[1]Product Datasheet'!$A:$G,4,0),"")</f>
        <v/>
      </c>
      <c r="O990" s="47" t="str">
        <f>IFERROR(VLOOKUP(D990,'[1]Product Datasheet'!$A:$G,5,0),"")</f>
        <v/>
      </c>
      <c r="P990" s="47" t="str">
        <f>IFERROR(VLOOKUP(D990,'[1]Product Datasheet'!$A:$G,6,0),"")</f>
        <v/>
      </c>
      <c r="Q990" s="47" t="str">
        <f>IFERROR(VLOOKUP(D990,'[1]Product Datasheet'!$A:$G,7,0), "")</f>
        <v/>
      </c>
      <c r="R990" s="48"/>
      <c r="S990" s="49" t="str">
        <f t="shared" si="37"/>
        <v>Accept</v>
      </c>
      <c r="T990" s="50"/>
      <c r="U990" s="51"/>
    </row>
    <row r="991" spans="1:21" ht="24.75" customHeight="1" x14ac:dyDescent="0.3">
      <c r="A991" s="38" t="str">
        <f>IFERROR(VLOOKUP(D991,'[1]Product Datasheet'!$A:$G,2,0),"")</f>
        <v/>
      </c>
      <c r="B991" s="39" t="str">
        <f>IFERROR(VLOOKUP(D991,'[1]Product Datasheet'!$A:$G,3,0),"")</f>
        <v/>
      </c>
      <c r="C991" s="40"/>
      <c r="D991" s="41"/>
      <c r="E991" s="41"/>
      <c r="F991" s="41"/>
      <c r="G991" s="42"/>
      <c r="H991" s="43"/>
      <c r="I991" s="42"/>
      <c r="J991" s="44"/>
      <c r="K991" s="44"/>
      <c r="L991" s="44"/>
      <c r="M991" s="45" t="str">
        <f t="shared" si="36"/>
        <v>Pass</v>
      </c>
      <c r="N991" s="46" t="str">
        <f>IFERROR(VLOOKUP(D991,'[1]Product Datasheet'!$A:$G,4,0),"")</f>
        <v/>
      </c>
      <c r="O991" s="47" t="str">
        <f>IFERROR(VLOOKUP(D991,'[1]Product Datasheet'!$A:$G,5,0),"")</f>
        <v/>
      </c>
      <c r="P991" s="47" t="str">
        <f>IFERROR(VLOOKUP(D991,'[1]Product Datasheet'!$A:$G,6,0),"")</f>
        <v/>
      </c>
      <c r="Q991" s="47" t="str">
        <f>IFERROR(VLOOKUP(D991,'[1]Product Datasheet'!$A:$G,7,0), "")</f>
        <v/>
      </c>
      <c r="R991" s="48"/>
      <c r="S991" s="49" t="str">
        <f t="shared" si="37"/>
        <v>Accept</v>
      </c>
      <c r="T991" s="50"/>
      <c r="U991" s="51"/>
    </row>
    <row r="992" spans="1:21" ht="24.75" customHeight="1" x14ac:dyDescent="0.3">
      <c r="A992" s="38" t="str">
        <f>IFERROR(VLOOKUP(D992,'[1]Product Datasheet'!$A:$G,2,0),"")</f>
        <v/>
      </c>
      <c r="B992" s="39" t="str">
        <f>IFERROR(VLOOKUP(D992,'[1]Product Datasheet'!$A:$G,3,0),"")</f>
        <v/>
      </c>
      <c r="C992" s="40"/>
      <c r="D992" s="41"/>
      <c r="E992" s="41"/>
      <c r="F992" s="41"/>
      <c r="G992" s="42"/>
      <c r="H992" s="43"/>
      <c r="I992" s="42"/>
      <c r="J992" s="44"/>
      <c r="K992" s="44"/>
      <c r="L992" s="44"/>
      <c r="M992" s="45" t="str">
        <f t="shared" si="36"/>
        <v>Pass</v>
      </c>
      <c r="N992" s="46" t="str">
        <f>IFERROR(VLOOKUP(D992,'[1]Product Datasheet'!$A:$G,4,0),"")</f>
        <v/>
      </c>
      <c r="O992" s="47" t="str">
        <f>IFERROR(VLOOKUP(D992,'[1]Product Datasheet'!$A:$G,5,0),"")</f>
        <v/>
      </c>
      <c r="P992" s="47" t="str">
        <f>IFERROR(VLOOKUP(D992,'[1]Product Datasheet'!$A:$G,6,0),"")</f>
        <v/>
      </c>
      <c r="Q992" s="47" t="str">
        <f>IFERROR(VLOOKUP(D992,'[1]Product Datasheet'!$A:$G,7,0), "")</f>
        <v/>
      </c>
      <c r="R992" s="48"/>
      <c r="S992" s="49" t="str">
        <f t="shared" si="37"/>
        <v>Accept</v>
      </c>
      <c r="T992" s="50"/>
      <c r="U992" s="51"/>
    </row>
    <row r="993" spans="1:21" ht="24.75" customHeight="1" x14ac:dyDescent="0.3">
      <c r="A993" s="38" t="str">
        <f>IFERROR(VLOOKUP(D993,'[1]Product Datasheet'!$A:$G,2,0),"")</f>
        <v/>
      </c>
      <c r="B993" s="39" t="str">
        <f>IFERROR(VLOOKUP(D993,'[1]Product Datasheet'!$A:$G,3,0),"")</f>
        <v/>
      </c>
      <c r="C993" s="40"/>
      <c r="D993" s="41"/>
      <c r="E993" s="41"/>
      <c r="F993" s="41"/>
      <c r="G993" s="42"/>
      <c r="H993" s="43"/>
      <c r="I993" s="42"/>
      <c r="J993" s="44"/>
      <c r="K993" s="44"/>
      <c r="L993" s="44"/>
      <c r="M993" s="45" t="str">
        <f t="shared" si="36"/>
        <v>Pass</v>
      </c>
      <c r="N993" s="46" t="str">
        <f>IFERROR(VLOOKUP(D993,'[1]Product Datasheet'!$A:$G,4,0),"")</f>
        <v/>
      </c>
      <c r="O993" s="47" t="str">
        <f>IFERROR(VLOOKUP(D993,'[1]Product Datasheet'!$A:$G,5,0),"")</f>
        <v/>
      </c>
      <c r="P993" s="47" t="str">
        <f>IFERROR(VLOOKUP(D993,'[1]Product Datasheet'!$A:$G,6,0),"")</f>
        <v/>
      </c>
      <c r="Q993" s="47" t="str">
        <f>IFERROR(VLOOKUP(D993,'[1]Product Datasheet'!$A:$G,7,0), "")</f>
        <v/>
      </c>
      <c r="R993" s="48"/>
      <c r="S993" s="49" t="str">
        <f t="shared" si="37"/>
        <v>Accept</v>
      </c>
      <c r="T993" s="50"/>
      <c r="U993" s="51"/>
    </row>
    <row r="994" spans="1:21" ht="24.75" customHeight="1" x14ac:dyDescent="0.3">
      <c r="A994" s="38" t="str">
        <f>IFERROR(VLOOKUP(D994,'[1]Product Datasheet'!$A:$G,2,0),"")</f>
        <v/>
      </c>
      <c r="B994" s="39" t="str">
        <f>IFERROR(VLOOKUP(D994,'[1]Product Datasheet'!$A:$G,3,0),"")</f>
        <v/>
      </c>
      <c r="C994" s="40"/>
      <c r="D994" s="41"/>
      <c r="E994" s="41"/>
      <c r="F994" s="41"/>
      <c r="G994" s="42"/>
      <c r="H994" s="43"/>
      <c r="I994" s="42"/>
      <c r="J994" s="44"/>
      <c r="K994" s="44"/>
      <c r="L994" s="44"/>
      <c r="M994" s="45" t="str">
        <f t="shared" si="36"/>
        <v>Pass</v>
      </c>
      <c r="N994" s="46" t="str">
        <f>IFERROR(VLOOKUP(D994,'[1]Product Datasheet'!$A:$G,4,0),"")</f>
        <v/>
      </c>
      <c r="O994" s="47" t="str">
        <f>IFERROR(VLOOKUP(D994,'[1]Product Datasheet'!$A:$G,5,0),"")</f>
        <v/>
      </c>
      <c r="P994" s="47" t="str">
        <f>IFERROR(VLOOKUP(D994,'[1]Product Datasheet'!$A:$G,6,0),"")</f>
        <v/>
      </c>
      <c r="Q994" s="47" t="str">
        <f>IFERROR(VLOOKUP(D994,'[1]Product Datasheet'!$A:$G,7,0), "")</f>
        <v/>
      </c>
      <c r="R994" s="48"/>
      <c r="S994" s="49" t="str">
        <f t="shared" si="37"/>
        <v>Accept</v>
      </c>
      <c r="T994" s="50"/>
      <c r="U994" s="51"/>
    </row>
    <row r="995" spans="1:21" ht="24.75" customHeight="1" x14ac:dyDescent="0.3">
      <c r="A995" s="38" t="str">
        <f>IFERROR(VLOOKUP(D995,'[1]Product Datasheet'!$A:$G,2,0),"")</f>
        <v/>
      </c>
      <c r="B995" s="39" t="str">
        <f>IFERROR(VLOOKUP(D995,'[1]Product Datasheet'!$A:$G,3,0),"")</f>
        <v/>
      </c>
      <c r="C995" s="40"/>
      <c r="D995" s="41"/>
      <c r="E995" s="41"/>
      <c r="F995" s="41"/>
      <c r="G995" s="42"/>
      <c r="H995" s="43"/>
      <c r="I995" s="42"/>
      <c r="J995" s="44"/>
      <c r="K995" s="44"/>
      <c r="L995" s="44"/>
      <c r="M995" s="45" t="str">
        <f t="shared" si="36"/>
        <v>Pass</v>
      </c>
      <c r="N995" s="46" t="str">
        <f>IFERROR(VLOOKUP(D995,'[1]Product Datasheet'!$A:$G,4,0),"")</f>
        <v/>
      </c>
      <c r="O995" s="47" t="str">
        <f>IFERROR(VLOOKUP(D995,'[1]Product Datasheet'!$A:$G,5,0),"")</f>
        <v/>
      </c>
      <c r="P995" s="47" t="str">
        <f>IFERROR(VLOOKUP(D995,'[1]Product Datasheet'!$A:$G,6,0),"")</f>
        <v/>
      </c>
      <c r="Q995" s="47" t="str">
        <f>IFERROR(VLOOKUP(D995,'[1]Product Datasheet'!$A:$G,7,0), "")</f>
        <v/>
      </c>
      <c r="R995" s="48"/>
      <c r="S995" s="49" t="str">
        <f t="shared" si="37"/>
        <v>Accept</v>
      </c>
      <c r="T995" s="50"/>
      <c r="U995" s="51"/>
    </row>
    <row r="996" spans="1:21" ht="24.75" customHeight="1" x14ac:dyDescent="0.3">
      <c r="A996" s="38" t="str">
        <f>IFERROR(VLOOKUP(D996,'[1]Product Datasheet'!$A:$G,2,0),"")</f>
        <v/>
      </c>
      <c r="B996" s="39" t="str">
        <f>IFERROR(VLOOKUP(D996,'[1]Product Datasheet'!$A:$G,3,0),"")</f>
        <v/>
      </c>
      <c r="C996" s="40"/>
      <c r="D996" s="41"/>
      <c r="E996" s="41"/>
      <c r="F996" s="41"/>
      <c r="G996" s="42"/>
      <c r="H996" s="43"/>
      <c r="I996" s="42"/>
      <c r="J996" s="44"/>
      <c r="K996" s="44"/>
      <c r="L996" s="44"/>
      <c r="M996" s="45" t="str">
        <f t="shared" si="36"/>
        <v>Pass</v>
      </c>
      <c r="N996" s="46" t="str">
        <f>IFERROR(VLOOKUP(D996,'[1]Product Datasheet'!$A:$G,4,0),"")</f>
        <v/>
      </c>
      <c r="O996" s="47" t="str">
        <f>IFERROR(VLOOKUP(D996,'[1]Product Datasheet'!$A:$G,5,0),"")</f>
        <v/>
      </c>
      <c r="P996" s="47" t="str">
        <f>IFERROR(VLOOKUP(D996,'[1]Product Datasheet'!$A:$G,6,0),"")</f>
        <v/>
      </c>
      <c r="Q996" s="47" t="str">
        <f>IFERROR(VLOOKUP(D996,'[1]Product Datasheet'!$A:$G,7,0), "")</f>
        <v/>
      </c>
      <c r="R996" s="48"/>
      <c r="S996" s="49" t="str">
        <f t="shared" si="37"/>
        <v>Accept</v>
      </c>
      <c r="T996" s="50"/>
      <c r="U996" s="51"/>
    </row>
    <row r="997" spans="1:21" ht="24.75" customHeight="1" x14ac:dyDescent="0.3">
      <c r="A997" s="38" t="str">
        <f>IFERROR(VLOOKUP(D997,'[1]Product Datasheet'!$A:$G,2,0),"")</f>
        <v/>
      </c>
      <c r="B997" s="39" t="str">
        <f>IFERROR(VLOOKUP(D997,'[1]Product Datasheet'!$A:$G,3,0),"")</f>
        <v/>
      </c>
      <c r="C997" s="40"/>
      <c r="D997" s="41"/>
      <c r="E997" s="41"/>
      <c r="F997" s="41"/>
      <c r="G997" s="42"/>
      <c r="H997" s="43"/>
      <c r="I997" s="42"/>
      <c r="J997" s="44"/>
      <c r="K997" s="44"/>
      <c r="L997" s="44"/>
      <c r="M997" s="45" t="str">
        <f t="shared" si="36"/>
        <v>Pass</v>
      </c>
      <c r="N997" s="46" t="str">
        <f>IFERROR(VLOOKUP(D997,'[1]Product Datasheet'!$A:$G,4,0),"")</f>
        <v/>
      </c>
      <c r="O997" s="47" t="str">
        <f>IFERROR(VLOOKUP(D997,'[1]Product Datasheet'!$A:$G,5,0),"")</f>
        <v/>
      </c>
      <c r="P997" s="47" t="str">
        <f>IFERROR(VLOOKUP(D997,'[1]Product Datasheet'!$A:$G,6,0),"")</f>
        <v/>
      </c>
      <c r="Q997" s="47" t="str">
        <f>IFERROR(VLOOKUP(D997,'[1]Product Datasheet'!$A:$G,7,0), "")</f>
        <v/>
      </c>
      <c r="R997" s="48"/>
      <c r="S997" s="49" t="str">
        <f t="shared" si="37"/>
        <v>Accept</v>
      </c>
      <c r="T997" s="50"/>
      <c r="U997" s="51"/>
    </row>
    <row r="998" spans="1:21" ht="24.75" customHeight="1" x14ac:dyDescent="0.3">
      <c r="A998" s="38" t="str">
        <f>IFERROR(VLOOKUP(D998,'[1]Product Datasheet'!$A:$G,2,0),"")</f>
        <v/>
      </c>
      <c r="B998" s="39" t="str">
        <f>IFERROR(VLOOKUP(D998,'[1]Product Datasheet'!$A:$G,3,0),"")</f>
        <v/>
      </c>
      <c r="C998" s="40"/>
      <c r="D998" s="41"/>
      <c r="E998" s="41"/>
      <c r="F998" s="41"/>
      <c r="G998" s="42"/>
      <c r="H998" s="43"/>
      <c r="I998" s="42"/>
      <c r="J998" s="44"/>
      <c r="K998" s="44"/>
      <c r="L998" s="44"/>
      <c r="M998" s="45" t="str">
        <f t="shared" si="36"/>
        <v>Pass</v>
      </c>
      <c r="N998" s="46" t="str">
        <f>IFERROR(VLOOKUP(D998,'[1]Product Datasheet'!$A:$G,4,0),"")</f>
        <v/>
      </c>
      <c r="O998" s="47" t="str">
        <f>IFERROR(VLOOKUP(D998,'[1]Product Datasheet'!$A:$G,5,0),"")</f>
        <v/>
      </c>
      <c r="P998" s="47" t="str">
        <f>IFERROR(VLOOKUP(D998,'[1]Product Datasheet'!$A:$G,6,0),"")</f>
        <v/>
      </c>
      <c r="Q998" s="47" t="str">
        <f>IFERROR(VLOOKUP(D998,'[1]Product Datasheet'!$A:$G,7,0), "")</f>
        <v/>
      </c>
      <c r="R998" s="48"/>
      <c r="S998" s="49" t="str">
        <f t="shared" si="37"/>
        <v>Accept</v>
      </c>
      <c r="T998" s="50"/>
      <c r="U998" s="51"/>
    </row>
    <row r="999" spans="1:21" ht="24.75" customHeight="1" x14ac:dyDescent="0.3">
      <c r="A999" s="38" t="str">
        <f>IFERROR(VLOOKUP(D999,'[1]Product Datasheet'!$A:$G,2,0),"")</f>
        <v/>
      </c>
      <c r="B999" s="39" t="str">
        <f>IFERROR(VLOOKUP(D999,'[1]Product Datasheet'!$A:$G,3,0),"")</f>
        <v/>
      </c>
      <c r="C999" s="40"/>
      <c r="D999" s="41"/>
      <c r="E999" s="41"/>
      <c r="F999" s="41"/>
      <c r="G999" s="42"/>
      <c r="H999" s="43"/>
      <c r="I999" s="42"/>
      <c r="J999" s="44"/>
      <c r="K999" s="44"/>
      <c r="L999" s="44"/>
      <c r="M999" s="45" t="str">
        <f t="shared" si="36"/>
        <v>Pass</v>
      </c>
      <c r="N999" s="46" t="str">
        <f>IFERROR(VLOOKUP(D999,'[1]Product Datasheet'!$A:$G,4,0),"")</f>
        <v/>
      </c>
      <c r="O999" s="47" t="str">
        <f>IFERROR(VLOOKUP(D999,'[1]Product Datasheet'!$A:$G,5,0),"")</f>
        <v/>
      </c>
      <c r="P999" s="47" t="str">
        <f>IFERROR(VLOOKUP(D999,'[1]Product Datasheet'!$A:$G,6,0),"")</f>
        <v/>
      </c>
      <c r="Q999" s="47" t="str">
        <f>IFERROR(VLOOKUP(D999,'[1]Product Datasheet'!$A:$G,7,0), "")</f>
        <v/>
      </c>
      <c r="R999" s="48"/>
      <c r="S999" s="49" t="str">
        <f t="shared" si="37"/>
        <v>Accept</v>
      </c>
      <c r="T999" s="50"/>
      <c r="U999" s="51"/>
    </row>
    <row r="1000" spans="1:21" ht="24.75" customHeight="1" x14ac:dyDescent="0.3">
      <c r="A1000" s="38" t="str">
        <f>IFERROR(VLOOKUP(D1000,'[1]Product Datasheet'!$A:$G,2,0),"")</f>
        <v/>
      </c>
      <c r="B1000" s="39" t="str">
        <f>IFERROR(VLOOKUP(D1000,'[1]Product Datasheet'!$A:$G,3,0),"")</f>
        <v/>
      </c>
      <c r="C1000" s="40"/>
      <c r="D1000" s="41"/>
      <c r="E1000" s="41"/>
      <c r="F1000" s="41"/>
      <c r="G1000" s="42"/>
      <c r="H1000" s="43"/>
      <c r="I1000" s="42"/>
      <c r="J1000" s="44"/>
      <c r="K1000" s="44"/>
      <c r="L1000" s="44"/>
      <c r="M1000" s="45" t="str">
        <f t="shared" si="36"/>
        <v>Pass</v>
      </c>
      <c r="N1000" s="46" t="str">
        <f>IFERROR(VLOOKUP(D1000,'[1]Product Datasheet'!$A:$G,4,0),"")</f>
        <v/>
      </c>
      <c r="O1000" s="47" t="str">
        <f>IFERROR(VLOOKUP(D1000,'[1]Product Datasheet'!$A:$G,5,0),"")</f>
        <v/>
      </c>
      <c r="P1000" s="47" t="str">
        <f>IFERROR(VLOOKUP(D1000,'[1]Product Datasheet'!$A:$G,6,0),"")</f>
        <v/>
      </c>
      <c r="Q1000" s="47" t="str">
        <f>IFERROR(VLOOKUP(D1000,'[1]Product Datasheet'!$A:$G,7,0), "")</f>
        <v/>
      </c>
      <c r="R1000" s="48"/>
      <c r="S1000" s="49" t="str">
        <f t="shared" si="37"/>
        <v>Accept</v>
      </c>
      <c r="T1000" s="50"/>
      <c r="U1000" s="51"/>
    </row>
    <row r="1001" spans="1:21" ht="24.75" customHeight="1" x14ac:dyDescent="0.3"/>
    <row r="1002" spans="1:21" ht="24.75" customHeight="1" x14ac:dyDescent="0.3"/>
    <row r="1003" spans="1:21" ht="24.75" customHeight="1" x14ac:dyDescent="0.3"/>
    <row r="1004" spans="1:21" ht="24.75" customHeight="1" x14ac:dyDescent="0.3"/>
    <row r="1005" spans="1:21" ht="24.75" customHeight="1" x14ac:dyDescent="0.3"/>
    <row r="1006" spans="1:21" ht="24.75" customHeight="1" x14ac:dyDescent="0.3"/>
    <row r="1007" spans="1:21" ht="24.75" customHeight="1" x14ac:dyDescent="0.3"/>
    <row r="1008" spans="1:21" ht="24.75" customHeight="1" x14ac:dyDescent="0.3"/>
    <row r="1009" ht="24.75" customHeight="1" x14ac:dyDescent="0.3"/>
    <row r="1010" ht="24.75" customHeight="1" x14ac:dyDescent="0.3"/>
    <row r="1011" ht="24.75" customHeight="1" x14ac:dyDescent="0.3"/>
    <row r="1012" ht="24.75" customHeight="1" x14ac:dyDescent="0.3"/>
    <row r="1013" ht="24.75" customHeight="1" x14ac:dyDescent="0.3"/>
    <row r="1014" ht="24.75" customHeight="1" x14ac:dyDescent="0.3"/>
    <row r="1015" ht="24.75" customHeight="1" x14ac:dyDescent="0.3"/>
    <row r="1016" ht="24.75" customHeight="1" x14ac:dyDescent="0.3"/>
    <row r="1017" ht="24.75" customHeight="1" x14ac:dyDescent="0.3"/>
    <row r="1018" ht="24.75" customHeight="1" x14ac:dyDescent="0.3"/>
    <row r="1019" ht="24.75" customHeight="1" x14ac:dyDescent="0.3"/>
    <row r="1020" ht="24.75" customHeight="1" x14ac:dyDescent="0.3"/>
    <row r="1021" ht="24.75" customHeight="1" x14ac:dyDescent="0.3"/>
    <row r="1022" ht="24.75" customHeight="1" x14ac:dyDescent="0.3"/>
    <row r="1023" ht="24.75" customHeight="1" x14ac:dyDescent="0.3"/>
    <row r="1024" ht="24.75" customHeight="1" x14ac:dyDescent="0.3"/>
    <row r="1025" ht="24.75" customHeight="1" x14ac:dyDescent="0.3"/>
    <row r="1026" ht="24.75" customHeight="1" x14ac:dyDescent="0.3"/>
    <row r="1027" ht="24.75" customHeight="1" x14ac:dyDescent="0.3"/>
    <row r="1028" ht="24.75" customHeight="1" x14ac:dyDescent="0.3"/>
    <row r="1029" ht="24.75" customHeight="1" x14ac:dyDescent="0.3"/>
    <row r="1030" ht="24.75" customHeight="1" x14ac:dyDescent="0.3"/>
    <row r="1031" ht="24.75" customHeight="1" x14ac:dyDescent="0.3"/>
    <row r="1032" ht="24.75" customHeight="1" x14ac:dyDescent="0.3"/>
    <row r="1033" ht="24.75" customHeight="1" x14ac:dyDescent="0.3"/>
    <row r="1034" ht="24.75" customHeight="1" x14ac:dyDescent="0.3"/>
    <row r="1035" ht="24.75" customHeight="1" x14ac:dyDescent="0.3"/>
    <row r="1036" ht="24.75" customHeight="1" x14ac:dyDescent="0.3"/>
    <row r="1037" ht="24.75" customHeight="1" x14ac:dyDescent="0.3"/>
    <row r="1038" ht="24.75" customHeight="1" x14ac:dyDescent="0.3"/>
    <row r="1039" ht="24.75" customHeight="1" x14ac:dyDescent="0.3"/>
    <row r="1040" ht="24.75" customHeight="1" x14ac:dyDescent="0.3"/>
    <row r="1041" ht="24.75" customHeight="1" x14ac:dyDescent="0.3"/>
    <row r="1042" ht="24.75" customHeight="1" x14ac:dyDescent="0.3"/>
    <row r="1043" ht="24.75" customHeight="1" x14ac:dyDescent="0.3"/>
    <row r="1044" ht="24.75" customHeight="1" x14ac:dyDescent="0.3"/>
    <row r="1045" ht="24.75" customHeight="1" x14ac:dyDescent="0.3"/>
    <row r="1046" ht="24.75" customHeight="1" x14ac:dyDescent="0.3"/>
    <row r="1047" ht="24.75" customHeight="1" x14ac:dyDescent="0.3"/>
    <row r="1048" ht="24.75" customHeight="1" x14ac:dyDescent="0.3"/>
    <row r="1049" ht="24.75" customHeight="1" x14ac:dyDescent="0.3"/>
    <row r="1050" ht="24.75" customHeight="1" x14ac:dyDescent="0.3"/>
    <row r="1051" ht="24.75" customHeight="1" x14ac:dyDescent="0.3"/>
    <row r="1052" ht="24.75" customHeight="1" x14ac:dyDescent="0.3"/>
    <row r="1053" ht="24.75" customHeight="1" x14ac:dyDescent="0.3"/>
    <row r="1054" ht="24.75" customHeight="1" x14ac:dyDescent="0.3"/>
    <row r="1055" ht="24.75" customHeight="1" x14ac:dyDescent="0.3"/>
    <row r="1056" ht="24.75" customHeight="1" x14ac:dyDescent="0.3"/>
    <row r="1057" ht="24.75" customHeight="1" x14ac:dyDescent="0.3"/>
    <row r="1058" ht="24.75" customHeight="1" x14ac:dyDescent="0.3"/>
    <row r="1059" ht="24.75" customHeight="1" x14ac:dyDescent="0.3"/>
    <row r="1060" ht="24.75" customHeight="1" x14ac:dyDescent="0.3"/>
    <row r="1061" ht="24.75" customHeight="1" x14ac:dyDescent="0.3"/>
    <row r="1062" ht="24.75" customHeight="1" x14ac:dyDescent="0.3"/>
    <row r="1063" ht="24.75" customHeight="1" x14ac:dyDescent="0.3"/>
    <row r="1064" ht="24.75" customHeight="1" x14ac:dyDescent="0.3"/>
    <row r="1065" ht="24.75" customHeight="1" x14ac:dyDescent="0.3"/>
    <row r="1066" ht="24.75" customHeight="1" x14ac:dyDescent="0.3"/>
    <row r="1067" ht="24.75" customHeight="1" x14ac:dyDescent="0.3"/>
    <row r="1068" ht="24.75" customHeight="1" x14ac:dyDescent="0.3"/>
    <row r="1069" ht="24.75" customHeight="1" x14ac:dyDescent="0.3"/>
    <row r="1070" ht="24.75" customHeight="1" x14ac:dyDescent="0.3"/>
    <row r="1071" ht="24.75" customHeight="1" x14ac:dyDescent="0.3"/>
    <row r="1072" ht="24.75" customHeight="1" x14ac:dyDescent="0.3"/>
    <row r="1073" ht="24.75" customHeight="1" x14ac:dyDescent="0.3"/>
    <row r="1074" ht="24.75" customHeight="1" x14ac:dyDescent="0.3"/>
    <row r="1075" ht="24.75" customHeight="1" x14ac:dyDescent="0.3"/>
    <row r="1076" ht="24.75" customHeight="1" x14ac:dyDescent="0.3"/>
    <row r="1077" ht="24.75" customHeight="1" x14ac:dyDescent="0.3"/>
    <row r="1078" ht="24.75" customHeight="1" x14ac:dyDescent="0.3"/>
    <row r="1079" ht="24.75" customHeight="1" x14ac:dyDescent="0.3"/>
    <row r="1080" ht="24.75" customHeight="1" x14ac:dyDescent="0.3"/>
    <row r="1081" ht="24.75" customHeight="1" x14ac:dyDescent="0.3"/>
    <row r="1082" ht="24.75" customHeight="1" x14ac:dyDescent="0.3"/>
    <row r="1083" ht="24.75" customHeight="1" x14ac:dyDescent="0.3"/>
    <row r="1084" ht="24.75" customHeight="1" x14ac:dyDescent="0.3"/>
    <row r="1085" ht="24.75" customHeight="1" x14ac:dyDescent="0.3"/>
    <row r="1086" ht="24.75" customHeight="1" x14ac:dyDescent="0.3"/>
    <row r="1087" ht="24.75" customHeight="1" x14ac:dyDescent="0.3"/>
    <row r="1088" ht="24.75" customHeight="1" x14ac:dyDescent="0.3"/>
    <row r="1089" ht="24.75" customHeight="1" x14ac:dyDescent="0.3"/>
    <row r="1090" ht="24.75" customHeight="1" x14ac:dyDescent="0.3"/>
    <row r="1091" ht="24.75" customHeight="1" x14ac:dyDescent="0.3"/>
    <row r="1092" ht="24.75" customHeight="1" x14ac:dyDescent="0.3"/>
    <row r="1093" ht="24.75" customHeight="1" x14ac:dyDescent="0.3"/>
    <row r="1094" ht="24.75" customHeight="1" x14ac:dyDescent="0.3"/>
    <row r="1095" ht="24.75" customHeight="1" x14ac:dyDescent="0.3"/>
    <row r="1096" ht="24.75" customHeight="1" x14ac:dyDescent="0.3"/>
    <row r="1097" ht="24.75" customHeight="1" x14ac:dyDescent="0.3"/>
    <row r="1098" ht="24.75" customHeight="1" x14ac:dyDescent="0.3"/>
    <row r="1099" ht="24.75" customHeight="1" x14ac:dyDescent="0.3"/>
    <row r="1100" ht="24.75" customHeight="1" x14ac:dyDescent="0.3"/>
    <row r="1101" ht="24.75" customHeight="1" x14ac:dyDescent="0.3"/>
    <row r="1102" ht="24.75" customHeight="1" x14ac:dyDescent="0.3"/>
    <row r="1103" ht="24.75" customHeight="1" x14ac:dyDescent="0.3"/>
    <row r="1104" ht="24.75" customHeight="1" x14ac:dyDescent="0.3"/>
    <row r="1105" ht="24.75" customHeight="1" x14ac:dyDescent="0.3"/>
    <row r="1106" ht="24.75" customHeight="1" x14ac:dyDescent="0.3"/>
    <row r="1107" ht="24.75" customHeight="1" x14ac:dyDescent="0.3"/>
    <row r="1108" ht="24.75" customHeight="1" x14ac:dyDescent="0.3"/>
    <row r="1109" ht="24.75" customHeight="1" x14ac:dyDescent="0.3"/>
    <row r="1110" ht="24.75" customHeight="1" x14ac:dyDescent="0.3"/>
    <row r="1111" ht="24.75" customHeight="1" x14ac:dyDescent="0.3"/>
    <row r="1112" ht="24.75" customHeight="1" x14ac:dyDescent="0.3"/>
    <row r="1113" ht="24.75" customHeight="1" x14ac:dyDescent="0.3"/>
    <row r="1114" ht="24.75" customHeight="1" x14ac:dyDescent="0.3"/>
    <row r="1115" ht="24.75" customHeight="1" x14ac:dyDescent="0.3"/>
    <row r="1116" ht="24.75" customHeight="1" x14ac:dyDescent="0.3"/>
    <row r="1117" ht="24.75" customHeight="1" x14ac:dyDescent="0.3"/>
    <row r="1118" ht="24.75" customHeight="1" x14ac:dyDescent="0.3"/>
    <row r="1119" ht="24.75" customHeight="1" x14ac:dyDescent="0.3"/>
    <row r="1120" ht="24.75" customHeight="1" x14ac:dyDescent="0.3"/>
    <row r="1121" ht="24.75" customHeight="1" x14ac:dyDescent="0.3"/>
    <row r="1122" ht="24.75" customHeight="1" x14ac:dyDescent="0.3"/>
    <row r="1123" ht="24.75" customHeight="1" x14ac:dyDescent="0.3"/>
    <row r="1124" ht="24.75" customHeight="1" x14ac:dyDescent="0.3"/>
    <row r="1125" ht="24.75" customHeight="1" x14ac:dyDescent="0.3"/>
    <row r="1126" ht="24.75" customHeight="1" x14ac:dyDescent="0.3"/>
    <row r="1127" ht="24.75" customHeight="1" x14ac:dyDescent="0.3"/>
    <row r="1128" ht="24.75" customHeight="1" x14ac:dyDescent="0.3"/>
    <row r="1129" ht="24.75" customHeight="1" x14ac:dyDescent="0.3"/>
    <row r="1130" ht="24.75" customHeight="1" x14ac:dyDescent="0.3"/>
    <row r="1131" ht="24.75" customHeight="1" x14ac:dyDescent="0.3"/>
    <row r="1132" ht="24.75" customHeight="1" x14ac:dyDescent="0.3"/>
    <row r="1133" ht="24.75" customHeight="1" x14ac:dyDescent="0.3"/>
    <row r="1134" ht="24.75" customHeight="1" x14ac:dyDescent="0.3"/>
    <row r="1135" ht="24.75" customHeight="1" x14ac:dyDescent="0.3"/>
    <row r="1136" ht="24.75" customHeight="1" x14ac:dyDescent="0.3"/>
    <row r="1137" ht="24.75" customHeight="1" x14ac:dyDescent="0.3"/>
    <row r="1138" ht="24.75" customHeight="1" x14ac:dyDescent="0.3"/>
    <row r="1139" ht="24.75" customHeight="1" x14ac:dyDescent="0.3"/>
    <row r="1140" ht="24.75" customHeight="1" x14ac:dyDescent="0.3"/>
    <row r="1141" ht="24.75" customHeight="1" x14ac:dyDescent="0.3"/>
    <row r="1142" ht="24.75" customHeight="1" x14ac:dyDescent="0.3"/>
    <row r="1143" ht="24.75" customHeight="1" x14ac:dyDescent="0.3"/>
    <row r="1144" ht="24.75" customHeight="1" x14ac:dyDescent="0.3"/>
    <row r="1145" ht="24.75" customHeight="1" x14ac:dyDescent="0.3"/>
    <row r="1146" ht="24.75" customHeight="1" x14ac:dyDescent="0.3"/>
    <row r="1147" ht="24.75" customHeight="1" x14ac:dyDescent="0.3"/>
    <row r="1148" ht="24.75" customHeight="1" x14ac:dyDescent="0.3"/>
    <row r="1149" ht="24.75" customHeight="1" x14ac:dyDescent="0.3"/>
    <row r="1150" ht="24.75" customHeight="1" x14ac:dyDescent="0.3"/>
    <row r="1151" ht="24.75" customHeight="1" x14ac:dyDescent="0.3"/>
    <row r="1152" ht="24.75" customHeight="1" x14ac:dyDescent="0.3"/>
    <row r="1153" ht="24.75" customHeight="1" x14ac:dyDescent="0.3"/>
    <row r="1154" ht="24.75" customHeight="1" x14ac:dyDescent="0.3"/>
    <row r="1155" ht="24.75" customHeight="1" x14ac:dyDescent="0.3"/>
    <row r="1156" ht="24.75" customHeight="1" x14ac:dyDescent="0.3"/>
    <row r="1157" ht="24.75" customHeight="1" x14ac:dyDescent="0.3"/>
    <row r="1158" ht="24.75" customHeight="1" x14ac:dyDescent="0.3"/>
    <row r="1159" ht="24.75" customHeight="1" x14ac:dyDescent="0.3"/>
    <row r="1160" ht="24.75" customHeight="1" x14ac:dyDescent="0.3"/>
    <row r="1161" ht="24.75" customHeight="1" x14ac:dyDescent="0.3"/>
    <row r="1162" ht="24.75" customHeight="1" x14ac:dyDescent="0.3"/>
    <row r="1163" ht="24.75" customHeight="1" x14ac:dyDescent="0.3"/>
    <row r="1164" ht="24.75" customHeight="1" x14ac:dyDescent="0.3"/>
    <row r="1165" ht="24.75" customHeight="1" x14ac:dyDescent="0.3"/>
    <row r="1166" ht="24.75" customHeight="1" x14ac:dyDescent="0.3"/>
    <row r="1167" ht="24.75" customHeight="1" x14ac:dyDescent="0.3"/>
    <row r="1168" ht="24.75" customHeight="1" x14ac:dyDescent="0.3"/>
    <row r="1169" ht="24.75" customHeight="1" x14ac:dyDescent="0.3"/>
    <row r="1170" ht="24.75" customHeight="1" x14ac:dyDescent="0.3"/>
    <row r="1171" ht="24.75" customHeight="1" x14ac:dyDescent="0.3"/>
    <row r="1172" ht="24.75" customHeight="1" x14ac:dyDescent="0.3"/>
    <row r="1173" ht="24.75" customHeight="1" x14ac:dyDescent="0.3"/>
    <row r="1174" ht="24.75" customHeight="1" x14ac:dyDescent="0.3"/>
    <row r="1175" ht="24.75" customHeight="1" x14ac:dyDescent="0.3"/>
    <row r="1176" ht="24.75" customHeight="1" x14ac:dyDescent="0.3"/>
    <row r="1177" ht="24.75" customHeight="1" x14ac:dyDescent="0.3"/>
    <row r="1178" ht="24.75" customHeight="1" x14ac:dyDescent="0.3"/>
    <row r="1179" ht="24.75" customHeight="1" x14ac:dyDescent="0.3"/>
    <row r="1180" ht="24.75" customHeight="1" x14ac:dyDescent="0.3"/>
    <row r="1181" ht="24.75" customHeight="1" x14ac:dyDescent="0.3"/>
    <row r="1182" ht="24.75" customHeight="1" x14ac:dyDescent="0.3"/>
    <row r="1183" ht="24.75" customHeight="1" x14ac:dyDescent="0.3"/>
    <row r="1184" ht="24.75" customHeight="1" x14ac:dyDescent="0.3"/>
    <row r="1185" ht="24.75" customHeight="1" x14ac:dyDescent="0.3"/>
    <row r="1186" ht="24.75" customHeight="1" x14ac:dyDescent="0.3"/>
    <row r="1187" ht="24.75" customHeight="1" x14ac:dyDescent="0.3"/>
    <row r="1188" ht="24.75" customHeight="1" x14ac:dyDescent="0.3"/>
    <row r="1189" ht="24.75" customHeight="1" x14ac:dyDescent="0.3"/>
    <row r="1190" ht="24.75" customHeight="1" x14ac:dyDescent="0.3"/>
    <row r="1191" ht="24.75" customHeight="1" x14ac:dyDescent="0.3"/>
    <row r="1192" ht="24.75" customHeight="1" x14ac:dyDescent="0.3"/>
    <row r="1193" ht="24.75" customHeight="1" x14ac:dyDescent="0.3"/>
    <row r="1194" ht="24.75" customHeight="1" x14ac:dyDescent="0.3"/>
    <row r="1195" ht="24.75" customHeight="1" x14ac:dyDescent="0.3"/>
    <row r="1196" ht="24.75" customHeight="1" x14ac:dyDescent="0.3"/>
    <row r="1197" ht="24.75" customHeight="1" x14ac:dyDescent="0.3"/>
    <row r="1198" ht="24.75" customHeight="1" x14ac:dyDescent="0.3"/>
    <row r="1199" ht="24.75" customHeight="1" x14ac:dyDescent="0.3"/>
    <row r="1200" ht="24.75" customHeight="1" x14ac:dyDescent="0.3"/>
    <row r="1201" ht="24.75" customHeight="1" x14ac:dyDescent="0.3"/>
    <row r="1202" ht="24.75" customHeight="1" x14ac:dyDescent="0.3"/>
    <row r="1203" ht="24.75" customHeight="1" x14ac:dyDescent="0.3"/>
    <row r="1204" ht="24.75" customHeight="1" x14ac:dyDescent="0.3"/>
    <row r="1205" ht="24.75" customHeight="1" x14ac:dyDescent="0.3"/>
    <row r="1206" ht="24.75" customHeight="1" x14ac:dyDescent="0.3"/>
    <row r="1207" ht="24.75" customHeight="1" x14ac:dyDescent="0.3"/>
    <row r="1208" ht="24.75" customHeight="1" x14ac:dyDescent="0.3"/>
    <row r="1209" ht="24.75" customHeight="1" x14ac:dyDescent="0.3"/>
    <row r="1210" ht="24.75" customHeight="1" x14ac:dyDescent="0.3"/>
    <row r="1211" ht="24.75" customHeight="1" x14ac:dyDescent="0.3"/>
    <row r="1212" ht="24.75" customHeight="1" x14ac:dyDescent="0.3"/>
    <row r="1213" ht="24.75" customHeight="1" x14ac:dyDescent="0.3"/>
    <row r="1214" ht="24.75" customHeight="1" x14ac:dyDescent="0.3"/>
    <row r="1215" ht="24.75" customHeight="1" x14ac:dyDescent="0.3"/>
    <row r="1216" ht="24.75" customHeight="1" x14ac:dyDescent="0.3"/>
    <row r="1217" ht="24.75" customHeight="1" x14ac:dyDescent="0.3"/>
    <row r="1218" ht="24.75" customHeight="1" x14ac:dyDescent="0.3"/>
    <row r="1219" ht="24.75" customHeight="1" x14ac:dyDescent="0.3"/>
    <row r="1220" ht="24.75" customHeight="1" x14ac:dyDescent="0.3"/>
    <row r="1221" ht="24.75" customHeight="1" x14ac:dyDescent="0.3"/>
    <row r="1222" ht="24.75" customHeight="1" x14ac:dyDescent="0.3"/>
    <row r="1223" ht="24.75" customHeight="1" x14ac:dyDescent="0.3"/>
    <row r="1224" ht="24.75" customHeight="1" x14ac:dyDescent="0.3"/>
    <row r="1225" ht="24.75" customHeight="1" x14ac:dyDescent="0.3"/>
    <row r="1226" ht="24.75" customHeight="1" x14ac:dyDescent="0.3"/>
    <row r="1227" ht="24.75" customHeight="1" x14ac:dyDescent="0.3"/>
    <row r="1228" ht="24.75" customHeight="1" x14ac:dyDescent="0.3"/>
    <row r="1229" ht="24.75" customHeight="1" x14ac:dyDescent="0.3"/>
    <row r="1230" ht="24.75" customHeight="1" x14ac:dyDescent="0.3"/>
    <row r="1231" ht="24.75" customHeight="1" x14ac:dyDescent="0.3"/>
    <row r="1232" ht="24.75" customHeight="1" x14ac:dyDescent="0.3"/>
    <row r="1233" ht="24.75" customHeight="1" x14ac:dyDescent="0.3"/>
    <row r="1234" ht="24.75" customHeight="1" x14ac:dyDescent="0.3"/>
    <row r="1235" ht="24.75" customHeight="1" x14ac:dyDescent="0.3"/>
    <row r="1236" ht="24.75" customHeight="1" x14ac:dyDescent="0.3"/>
    <row r="1237" ht="24.75" customHeight="1" x14ac:dyDescent="0.3"/>
    <row r="1238" ht="24.75" customHeight="1" x14ac:dyDescent="0.3"/>
    <row r="1239" ht="24.75" customHeight="1" x14ac:dyDescent="0.3"/>
    <row r="1240" ht="24.75" customHeight="1" x14ac:dyDescent="0.3"/>
    <row r="1241" ht="24.75" customHeight="1" x14ac:dyDescent="0.3"/>
    <row r="1242" ht="24.75" customHeight="1" x14ac:dyDescent="0.3"/>
    <row r="1243" ht="24.75" customHeight="1" x14ac:dyDescent="0.3"/>
    <row r="1244" ht="24.75" customHeight="1" x14ac:dyDescent="0.3"/>
    <row r="1245" ht="24.75" customHeight="1" x14ac:dyDescent="0.3"/>
    <row r="1246" ht="24.75" customHeight="1" x14ac:dyDescent="0.3"/>
    <row r="1247" ht="24.75" customHeight="1" x14ac:dyDescent="0.3"/>
    <row r="1248" ht="24.75" customHeight="1" x14ac:dyDescent="0.3"/>
    <row r="1249" ht="24.75" customHeight="1" x14ac:dyDescent="0.3"/>
    <row r="1250" ht="24.75" customHeight="1" x14ac:dyDescent="0.3"/>
    <row r="1251" ht="24.75" customHeight="1" x14ac:dyDescent="0.3"/>
    <row r="1252" ht="24.75" customHeight="1" x14ac:dyDescent="0.3"/>
    <row r="1253" ht="24.75" customHeight="1" x14ac:dyDescent="0.3"/>
    <row r="1254" ht="24.75" customHeight="1" x14ac:dyDescent="0.3"/>
    <row r="1255" ht="24.75" customHeight="1" x14ac:dyDescent="0.3"/>
    <row r="1256" ht="24.75" customHeight="1" x14ac:dyDescent="0.3"/>
    <row r="1257" ht="24.75" customHeight="1" x14ac:dyDescent="0.3"/>
    <row r="1258" ht="24.75" customHeight="1" x14ac:dyDescent="0.3"/>
    <row r="1259" ht="24.75" customHeight="1" x14ac:dyDescent="0.3"/>
    <row r="1260" ht="24.75" customHeight="1" x14ac:dyDescent="0.3"/>
    <row r="1261" ht="24.75" customHeight="1" x14ac:dyDescent="0.3"/>
    <row r="1262" ht="24.75" customHeight="1" x14ac:dyDescent="0.3"/>
    <row r="1263" ht="24.75" customHeight="1" x14ac:dyDescent="0.3"/>
    <row r="1264" ht="24.75" customHeight="1" x14ac:dyDescent="0.3"/>
    <row r="1265" ht="24.75" customHeight="1" x14ac:dyDescent="0.3"/>
    <row r="1266" ht="24.75" customHeight="1" x14ac:dyDescent="0.3"/>
    <row r="1267" ht="24.75" customHeight="1" x14ac:dyDescent="0.3"/>
    <row r="1268" ht="24.75" customHeight="1" x14ac:dyDescent="0.3"/>
    <row r="1269" ht="24.75" customHeight="1" x14ac:dyDescent="0.3"/>
    <row r="1270" ht="24.75" customHeight="1" x14ac:dyDescent="0.3"/>
    <row r="1271" ht="24.75" customHeight="1" x14ac:dyDescent="0.3"/>
    <row r="1272" ht="24.75" customHeight="1" x14ac:dyDescent="0.3"/>
    <row r="1273" ht="24.75" customHeight="1" x14ac:dyDescent="0.3"/>
    <row r="1274" ht="24.75" customHeight="1" x14ac:dyDescent="0.3"/>
    <row r="1275" ht="24.75" customHeight="1" x14ac:dyDescent="0.3"/>
    <row r="1276" ht="24.75" customHeight="1" x14ac:dyDescent="0.3"/>
    <row r="1277" ht="24.75" customHeight="1" x14ac:dyDescent="0.3"/>
    <row r="1278" ht="24.75" customHeight="1" x14ac:dyDescent="0.3"/>
    <row r="1279" ht="24.75" customHeight="1" x14ac:dyDescent="0.3"/>
    <row r="1280" ht="24.75" customHeight="1" x14ac:dyDescent="0.3"/>
    <row r="1281" ht="24.75" customHeight="1" x14ac:dyDescent="0.3"/>
    <row r="1282" ht="24.75" customHeight="1" x14ac:dyDescent="0.3"/>
    <row r="1283" ht="24.75" customHeight="1" x14ac:dyDescent="0.3"/>
    <row r="1284" ht="24.75" customHeight="1" x14ac:dyDescent="0.3"/>
    <row r="1285" ht="24.75" customHeight="1" x14ac:dyDescent="0.3"/>
    <row r="1286" ht="24.75" customHeight="1" x14ac:dyDescent="0.3"/>
    <row r="1287" ht="24.75" customHeight="1" x14ac:dyDescent="0.3"/>
    <row r="1288" ht="24.75" customHeight="1" x14ac:dyDescent="0.3"/>
    <row r="1289" ht="24.75" customHeight="1" x14ac:dyDescent="0.3"/>
    <row r="1290" ht="24.75" customHeight="1" x14ac:dyDescent="0.3"/>
    <row r="1291" ht="24.75" customHeight="1" x14ac:dyDescent="0.3"/>
    <row r="1292" ht="24.75" customHeight="1" x14ac:dyDescent="0.3"/>
    <row r="1293" ht="24.75" customHeight="1" x14ac:dyDescent="0.3"/>
    <row r="1294" ht="24.75" customHeight="1" x14ac:dyDescent="0.3"/>
    <row r="1295" ht="24.75" customHeight="1" x14ac:dyDescent="0.3"/>
    <row r="1296" ht="24.75" customHeight="1" x14ac:dyDescent="0.3"/>
    <row r="1297" ht="24.75" customHeight="1" x14ac:dyDescent="0.3"/>
    <row r="1298" ht="24.75" customHeight="1" x14ac:dyDescent="0.3"/>
    <row r="1299" ht="24.75" customHeight="1" x14ac:dyDescent="0.3"/>
    <row r="1300" ht="24.75" customHeight="1" x14ac:dyDescent="0.3"/>
    <row r="1301" ht="24.75" customHeight="1" x14ac:dyDescent="0.3"/>
    <row r="1302" ht="24.75" customHeight="1" x14ac:dyDescent="0.3"/>
    <row r="1303" ht="24.75" customHeight="1" x14ac:dyDescent="0.3"/>
    <row r="1304" ht="24.75" customHeight="1" x14ac:dyDescent="0.3"/>
    <row r="1305" ht="24.75" customHeight="1" x14ac:dyDescent="0.3"/>
    <row r="1306" ht="24.75" customHeight="1" x14ac:dyDescent="0.3"/>
    <row r="1307" ht="24.75" customHeight="1" x14ac:dyDescent="0.3"/>
    <row r="1308" ht="24.75" customHeight="1" x14ac:dyDescent="0.3"/>
    <row r="1309" ht="24.75" customHeight="1" x14ac:dyDescent="0.3"/>
    <row r="1310" ht="24.75" customHeight="1" x14ac:dyDescent="0.3"/>
    <row r="1311" ht="24.75" customHeight="1" x14ac:dyDescent="0.3"/>
    <row r="1312" ht="24.75" customHeight="1" x14ac:dyDescent="0.3"/>
    <row r="1313" ht="24.75" customHeight="1" x14ac:dyDescent="0.3"/>
    <row r="1314" ht="24.75" customHeight="1" x14ac:dyDescent="0.3"/>
    <row r="1315" ht="24.75" customHeight="1" x14ac:dyDescent="0.3"/>
    <row r="1316" ht="24.75" customHeight="1" x14ac:dyDescent="0.3"/>
    <row r="1317" ht="24.75" customHeight="1" x14ac:dyDescent="0.3"/>
    <row r="1318" ht="24.75" customHeight="1" x14ac:dyDescent="0.3"/>
    <row r="1319" ht="24.75" customHeight="1" x14ac:dyDescent="0.3"/>
    <row r="1320" ht="24.75" customHeight="1" x14ac:dyDescent="0.3"/>
    <row r="1321" ht="24.75" customHeight="1" x14ac:dyDescent="0.3"/>
    <row r="1322" ht="24.75" customHeight="1" x14ac:dyDescent="0.3"/>
    <row r="1323" ht="24.75" customHeight="1" x14ac:dyDescent="0.3"/>
    <row r="1324" ht="24.75" customHeight="1" x14ac:dyDescent="0.3"/>
    <row r="1325" ht="24.75" customHeight="1" x14ac:dyDescent="0.3"/>
    <row r="1326" ht="24.75" customHeight="1" x14ac:dyDescent="0.3"/>
    <row r="1327" ht="24.75" customHeight="1" x14ac:dyDescent="0.3"/>
    <row r="1328" ht="24.75" customHeight="1" x14ac:dyDescent="0.3"/>
    <row r="1329" ht="24.75" customHeight="1" x14ac:dyDescent="0.3"/>
    <row r="1330" ht="24.75" customHeight="1" x14ac:dyDescent="0.3"/>
    <row r="1331" ht="24.75" customHeight="1" x14ac:dyDescent="0.3"/>
    <row r="1332" ht="24.75" customHeight="1" x14ac:dyDescent="0.3"/>
    <row r="1333" ht="24.75" customHeight="1" x14ac:dyDescent="0.3"/>
    <row r="1334" ht="24.75" customHeight="1" x14ac:dyDescent="0.3"/>
    <row r="1335" ht="24.75" customHeight="1" x14ac:dyDescent="0.3"/>
    <row r="1336" ht="24.75" customHeight="1" x14ac:dyDescent="0.3"/>
    <row r="1337" ht="24.75" customHeight="1" x14ac:dyDescent="0.3"/>
    <row r="1338" ht="24.75" customHeight="1" x14ac:dyDescent="0.3"/>
    <row r="1339" ht="24.75" customHeight="1" x14ac:dyDescent="0.3"/>
    <row r="1340" ht="24.75" customHeight="1" x14ac:dyDescent="0.3"/>
    <row r="1341" ht="24.75" customHeight="1" x14ac:dyDescent="0.3"/>
    <row r="1342" ht="24.75" customHeight="1" x14ac:dyDescent="0.3"/>
    <row r="1343" ht="24.75" customHeight="1" x14ac:dyDescent="0.3"/>
    <row r="1344" ht="24.75" customHeight="1" x14ac:dyDescent="0.3"/>
    <row r="1345" ht="24.75" customHeight="1" x14ac:dyDescent="0.3"/>
    <row r="1346" ht="24.75" customHeight="1" x14ac:dyDescent="0.3"/>
    <row r="1347" ht="24.75" customHeight="1" x14ac:dyDescent="0.3"/>
    <row r="1348" ht="24.75" customHeight="1" x14ac:dyDescent="0.3"/>
    <row r="1349" ht="24.75" customHeight="1" x14ac:dyDescent="0.3"/>
    <row r="1350" ht="24.75" customHeight="1" x14ac:dyDescent="0.3"/>
    <row r="1351" ht="24.75" customHeight="1" x14ac:dyDescent="0.3"/>
    <row r="1352" ht="24.75" customHeight="1" x14ac:dyDescent="0.3"/>
    <row r="1353" ht="24.75" customHeight="1" x14ac:dyDescent="0.3"/>
    <row r="1354" ht="24.75" customHeight="1" x14ac:dyDescent="0.3"/>
    <row r="1355" ht="24.75" customHeight="1" x14ac:dyDescent="0.3"/>
    <row r="1356" ht="24.75" customHeight="1" x14ac:dyDescent="0.3"/>
    <row r="1357" ht="24.75" customHeight="1" x14ac:dyDescent="0.3"/>
    <row r="1358" ht="24.75" customHeight="1" x14ac:dyDescent="0.3"/>
    <row r="1359" ht="24.75" customHeight="1" x14ac:dyDescent="0.3"/>
    <row r="1360" ht="24.75" customHeight="1" x14ac:dyDescent="0.3"/>
    <row r="1361" ht="24.75" customHeight="1" x14ac:dyDescent="0.3"/>
    <row r="1362" ht="24.75" customHeight="1" x14ac:dyDescent="0.3"/>
    <row r="1363" ht="24.75" customHeight="1" x14ac:dyDescent="0.3"/>
    <row r="1364" ht="24.75" customHeight="1" x14ac:dyDescent="0.3"/>
    <row r="1365" ht="24.75" customHeight="1" x14ac:dyDescent="0.3"/>
    <row r="1366" ht="24.75" customHeight="1" x14ac:dyDescent="0.3"/>
    <row r="1367" ht="24.75" customHeight="1" x14ac:dyDescent="0.3"/>
    <row r="1368" ht="24.75" customHeight="1" x14ac:dyDescent="0.3"/>
    <row r="1369" ht="24.75" customHeight="1" x14ac:dyDescent="0.3"/>
    <row r="1370" ht="24.75" customHeight="1" x14ac:dyDescent="0.3"/>
    <row r="1371" ht="24.75" customHeight="1" x14ac:dyDescent="0.3"/>
    <row r="1372" ht="24.75" customHeight="1" x14ac:dyDescent="0.3"/>
    <row r="1373" ht="24.75" customHeight="1" x14ac:dyDescent="0.3"/>
    <row r="1374" ht="24.75" customHeight="1" x14ac:dyDescent="0.3"/>
    <row r="1375" ht="24.75" customHeight="1" x14ac:dyDescent="0.3"/>
    <row r="1376" ht="24.75" customHeight="1" x14ac:dyDescent="0.3"/>
    <row r="1377" ht="24.75" customHeight="1" x14ac:dyDescent="0.3"/>
    <row r="1378" ht="24.75" customHeight="1" x14ac:dyDescent="0.3"/>
    <row r="1379" ht="24.75" customHeight="1" x14ac:dyDescent="0.3"/>
    <row r="1380" ht="24.75" customHeight="1" x14ac:dyDescent="0.3"/>
    <row r="1381" ht="24.75" customHeight="1" x14ac:dyDescent="0.3"/>
    <row r="1382" ht="24.75" customHeight="1" x14ac:dyDescent="0.3"/>
    <row r="1383" ht="24.75" customHeight="1" x14ac:dyDescent="0.3"/>
    <row r="1384" ht="24.75" customHeight="1" x14ac:dyDescent="0.3"/>
    <row r="1385" ht="24.75" customHeight="1" x14ac:dyDescent="0.3"/>
    <row r="1386" ht="24.75" customHeight="1" x14ac:dyDescent="0.3"/>
    <row r="1387" ht="24.75" customHeight="1" x14ac:dyDescent="0.3"/>
    <row r="1388" ht="24.75" customHeight="1" x14ac:dyDescent="0.3"/>
    <row r="1389" ht="24.75" customHeight="1" x14ac:dyDescent="0.3"/>
    <row r="1390" ht="24.75" customHeight="1" x14ac:dyDescent="0.3"/>
    <row r="1391" ht="24.75" customHeight="1" x14ac:dyDescent="0.3"/>
    <row r="1392" ht="24.75" customHeight="1" x14ac:dyDescent="0.3"/>
    <row r="1393" ht="24.75" customHeight="1" x14ac:dyDescent="0.3"/>
    <row r="1394" ht="24.75" customHeight="1" x14ac:dyDescent="0.3"/>
    <row r="1395" ht="24.75" customHeight="1" x14ac:dyDescent="0.3"/>
    <row r="1396" ht="24.75" customHeight="1" x14ac:dyDescent="0.3"/>
    <row r="1397" ht="24.75" customHeight="1" x14ac:dyDescent="0.3"/>
    <row r="1398" ht="24.75" customHeight="1" x14ac:dyDescent="0.3"/>
    <row r="1399" ht="24.75" customHeight="1" x14ac:dyDescent="0.3"/>
    <row r="1400" ht="24.75" customHeight="1" x14ac:dyDescent="0.3"/>
    <row r="1401" ht="24.75" customHeight="1" x14ac:dyDescent="0.3"/>
    <row r="1402" ht="24.75" customHeight="1" x14ac:dyDescent="0.3"/>
    <row r="1403" ht="24.75" customHeight="1" x14ac:dyDescent="0.3"/>
    <row r="1404" ht="24.75" customHeight="1" x14ac:dyDescent="0.3"/>
    <row r="1405" ht="24.75" customHeight="1" x14ac:dyDescent="0.3"/>
    <row r="1406" ht="24.75" customHeight="1" x14ac:dyDescent="0.3"/>
    <row r="1407" ht="24.75" customHeight="1" x14ac:dyDescent="0.3"/>
    <row r="1408" ht="24.75" customHeight="1" x14ac:dyDescent="0.3"/>
    <row r="1409" ht="24.75" customHeight="1" x14ac:dyDescent="0.3"/>
    <row r="1410" ht="24.75" customHeight="1" x14ac:dyDescent="0.3"/>
    <row r="1411" ht="24.75" customHeight="1" x14ac:dyDescent="0.3"/>
    <row r="1412" ht="24.75" customHeight="1" x14ac:dyDescent="0.3"/>
    <row r="1413" ht="24.75" customHeight="1" x14ac:dyDescent="0.3"/>
    <row r="1414" ht="24.75" customHeight="1" x14ac:dyDescent="0.3"/>
    <row r="1415" ht="24.75" customHeight="1" x14ac:dyDescent="0.3"/>
    <row r="1416" ht="24.75" customHeight="1" x14ac:dyDescent="0.3"/>
    <row r="1417" ht="24.75" customHeight="1" x14ac:dyDescent="0.3"/>
    <row r="1418" ht="24.75" customHeight="1" x14ac:dyDescent="0.3"/>
    <row r="1419" ht="24.75" customHeight="1" x14ac:dyDescent="0.3"/>
    <row r="1420" ht="24.75" customHeight="1" x14ac:dyDescent="0.3"/>
    <row r="1421" ht="24.75" customHeight="1" x14ac:dyDescent="0.3"/>
    <row r="1422" ht="24.75" customHeight="1" x14ac:dyDescent="0.3"/>
    <row r="1423" ht="24.75" customHeight="1" x14ac:dyDescent="0.3"/>
    <row r="1424" ht="24.75" customHeight="1" x14ac:dyDescent="0.3"/>
    <row r="1425" ht="24.75" customHeight="1" x14ac:dyDescent="0.3"/>
    <row r="1426" ht="24.75" customHeight="1" x14ac:dyDescent="0.3"/>
    <row r="1427" ht="24.75" customHeight="1" x14ac:dyDescent="0.3"/>
    <row r="1428" ht="24.75" customHeight="1" x14ac:dyDescent="0.3"/>
    <row r="1429" ht="24.75" customHeight="1" x14ac:dyDescent="0.3"/>
    <row r="1430" ht="24.75" customHeight="1" x14ac:dyDescent="0.3"/>
    <row r="1431" ht="24.75" customHeight="1" x14ac:dyDescent="0.3"/>
    <row r="1432" ht="24.75" customHeight="1" x14ac:dyDescent="0.3"/>
    <row r="1433" ht="24.75" customHeight="1" x14ac:dyDescent="0.3"/>
    <row r="1434" ht="24.75" customHeight="1" x14ac:dyDescent="0.3"/>
    <row r="1435" ht="24.75" customHeight="1" x14ac:dyDescent="0.3"/>
    <row r="1436" ht="24.75" customHeight="1" x14ac:dyDescent="0.3"/>
    <row r="1437" ht="24.75" customHeight="1" x14ac:dyDescent="0.3"/>
    <row r="1438" ht="24.75" customHeight="1" x14ac:dyDescent="0.3"/>
    <row r="1439" ht="24.75" customHeight="1" x14ac:dyDescent="0.3"/>
    <row r="1440" ht="24.75" customHeight="1" x14ac:dyDescent="0.3"/>
    <row r="1441" ht="24.75" customHeight="1" x14ac:dyDescent="0.3"/>
    <row r="1442" ht="24.75" customHeight="1" x14ac:dyDescent="0.3"/>
    <row r="1443" ht="24.75" customHeight="1" x14ac:dyDescent="0.3"/>
    <row r="1444" ht="24.75" customHeight="1" x14ac:dyDescent="0.3"/>
    <row r="1445" ht="24.75" customHeight="1" x14ac:dyDescent="0.3"/>
    <row r="1446" ht="24.75" customHeight="1" x14ac:dyDescent="0.3"/>
    <row r="1447" ht="24.75" customHeight="1" x14ac:dyDescent="0.3"/>
    <row r="1448" ht="24.75" customHeight="1" x14ac:dyDescent="0.3"/>
    <row r="1449" ht="24.75" customHeight="1" x14ac:dyDescent="0.3"/>
    <row r="1450" ht="24.75" customHeight="1" x14ac:dyDescent="0.3"/>
    <row r="1451" ht="24.75" customHeight="1" x14ac:dyDescent="0.3"/>
    <row r="1452" ht="24.75" customHeight="1" x14ac:dyDescent="0.3"/>
    <row r="1453" ht="24.75" customHeight="1" x14ac:dyDescent="0.3"/>
    <row r="1454" ht="24.75" customHeight="1" x14ac:dyDescent="0.3"/>
    <row r="1455" ht="24.75" customHeight="1" x14ac:dyDescent="0.3"/>
    <row r="1456" ht="24.75" customHeight="1" x14ac:dyDescent="0.3"/>
    <row r="1457" ht="24.75" customHeight="1" x14ac:dyDescent="0.3"/>
    <row r="1458" ht="24.75" customHeight="1" x14ac:dyDescent="0.3"/>
    <row r="1459" ht="24.75" customHeight="1" x14ac:dyDescent="0.3"/>
    <row r="1460" ht="24.75" customHeight="1" x14ac:dyDescent="0.3"/>
    <row r="1461" ht="24.75" customHeight="1" x14ac:dyDescent="0.3"/>
    <row r="1462" ht="24.75" customHeight="1" x14ac:dyDescent="0.3"/>
    <row r="1463" ht="24.75" customHeight="1" x14ac:dyDescent="0.3"/>
    <row r="1464" ht="24.75" customHeight="1" x14ac:dyDescent="0.3"/>
    <row r="1465" ht="24.75" customHeight="1" x14ac:dyDescent="0.3"/>
    <row r="1466" ht="24.75" customHeight="1" x14ac:dyDescent="0.3"/>
    <row r="1467" ht="24.75" customHeight="1" x14ac:dyDescent="0.3"/>
    <row r="1468" ht="24.75" customHeight="1" x14ac:dyDescent="0.3"/>
    <row r="1469" ht="24.75" customHeight="1" x14ac:dyDescent="0.3"/>
    <row r="1470" ht="24.75" customHeight="1" x14ac:dyDescent="0.3"/>
    <row r="1471" ht="24.75" customHeight="1" x14ac:dyDescent="0.3"/>
    <row r="1472" ht="24.75" customHeight="1" x14ac:dyDescent="0.3"/>
    <row r="1473" ht="24.75" customHeight="1" x14ac:dyDescent="0.3"/>
    <row r="1474" ht="24.75" customHeight="1" x14ac:dyDescent="0.3"/>
    <row r="1475" ht="24.75" customHeight="1" x14ac:dyDescent="0.3"/>
    <row r="1476" ht="24.75" customHeight="1" x14ac:dyDescent="0.3"/>
    <row r="1477" ht="24.75" customHeight="1" x14ac:dyDescent="0.3"/>
    <row r="1478" ht="24.75" customHeight="1" x14ac:dyDescent="0.3"/>
    <row r="1479" ht="24.75" customHeight="1" x14ac:dyDescent="0.3"/>
    <row r="1480" ht="24.75" customHeight="1" x14ac:dyDescent="0.3"/>
    <row r="1481" ht="24.75" customHeight="1" x14ac:dyDescent="0.3"/>
    <row r="1482" ht="24.75" customHeight="1" x14ac:dyDescent="0.3"/>
    <row r="1483" ht="24.75" customHeight="1" x14ac:dyDescent="0.3"/>
    <row r="1484" ht="24.75" customHeight="1" x14ac:dyDescent="0.3"/>
    <row r="1485" ht="24.75" customHeight="1" x14ac:dyDescent="0.3"/>
    <row r="1486" ht="24.75" customHeight="1" x14ac:dyDescent="0.3"/>
    <row r="1487" ht="24.75" customHeight="1" x14ac:dyDescent="0.3"/>
    <row r="1488" ht="24.75" customHeight="1" x14ac:dyDescent="0.3"/>
    <row r="1489" ht="24.75" customHeight="1" x14ac:dyDescent="0.3"/>
    <row r="1490" ht="24.75" customHeight="1" x14ac:dyDescent="0.3"/>
    <row r="1491" ht="24.75" customHeight="1" x14ac:dyDescent="0.3"/>
    <row r="1492" ht="24.75" customHeight="1" x14ac:dyDescent="0.3"/>
    <row r="1493" ht="24.75" customHeight="1" x14ac:dyDescent="0.3"/>
    <row r="1494" ht="24.75" customHeight="1" x14ac:dyDescent="0.3"/>
    <row r="1495" ht="24.75" customHeight="1" x14ac:dyDescent="0.3"/>
    <row r="1496" ht="24.75" customHeight="1" x14ac:dyDescent="0.3"/>
    <row r="1497" ht="24.75" customHeight="1" x14ac:dyDescent="0.3"/>
    <row r="1498" ht="24.75" customHeight="1" x14ac:dyDescent="0.3"/>
    <row r="1499" ht="24.75" customHeight="1" x14ac:dyDescent="0.3"/>
    <row r="1500" ht="24.75" customHeight="1" x14ac:dyDescent="0.3"/>
    <row r="1501" ht="24.75" customHeight="1" x14ac:dyDescent="0.3"/>
    <row r="1502" ht="24.75" customHeight="1" x14ac:dyDescent="0.3"/>
    <row r="1503" ht="24.75" customHeight="1" x14ac:dyDescent="0.3"/>
    <row r="1504" ht="24.75" customHeight="1" x14ac:dyDescent="0.3"/>
    <row r="1505" ht="24.75" customHeight="1" x14ac:dyDescent="0.3"/>
    <row r="1506" ht="24.75" customHeight="1" x14ac:dyDescent="0.3"/>
    <row r="1507" ht="24.75" customHeight="1" x14ac:dyDescent="0.3"/>
    <row r="1508" ht="24.75" customHeight="1" x14ac:dyDescent="0.3"/>
    <row r="1509" ht="24.75" customHeight="1" x14ac:dyDescent="0.3"/>
    <row r="1510" ht="24.75" customHeight="1" x14ac:dyDescent="0.3"/>
    <row r="1511" ht="24.75" customHeight="1" x14ac:dyDescent="0.3"/>
    <row r="1512" ht="24.75" customHeight="1" x14ac:dyDescent="0.3"/>
    <row r="1513" ht="24.75" customHeight="1" x14ac:dyDescent="0.3"/>
    <row r="1514" ht="24.75" customHeight="1" x14ac:dyDescent="0.3"/>
    <row r="1515" ht="24.75" customHeight="1" x14ac:dyDescent="0.3"/>
    <row r="1516" ht="24.75" customHeight="1" x14ac:dyDescent="0.3"/>
    <row r="1517" ht="24.75" customHeight="1" x14ac:dyDescent="0.3"/>
    <row r="1518" ht="24.75" customHeight="1" x14ac:dyDescent="0.3"/>
    <row r="1519" ht="24.75" customHeight="1" x14ac:dyDescent="0.3"/>
    <row r="1520" ht="24.75" customHeight="1" x14ac:dyDescent="0.3"/>
    <row r="1521" ht="24.75" customHeight="1" x14ac:dyDescent="0.3"/>
    <row r="1522" ht="24.75" customHeight="1" x14ac:dyDescent="0.3"/>
    <row r="1523" ht="24.75" customHeight="1" x14ac:dyDescent="0.3"/>
    <row r="1524" ht="24.75" customHeight="1" x14ac:dyDescent="0.3"/>
    <row r="1525" ht="24.75" customHeight="1" x14ac:dyDescent="0.3"/>
    <row r="1526" ht="24.75" customHeight="1" x14ac:dyDescent="0.3"/>
    <row r="1527" ht="24.75" customHeight="1" x14ac:dyDescent="0.3"/>
    <row r="1528" ht="24.75" customHeight="1" x14ac:dyDescent="0.3"/>
    <row r="1529" ht="24.75" customHeight="1" x14ac:dyDescent="0.3"/>
    <row r="1530" ht="24.75" customHeight="1" x14ac:dyDescent="0.3"/>
    <row r="1531" ht="24.75" customHeight="1" x14ac:dyDescent="0.3"/>
    <row r="1532" ht="24.75" customHeight="1" x14ac:dyDescent="0.3"/>
    <row r="1533" ht="24.75" customHeight="1" x14ac:dyDescent="0.3"/>
    <row r="1534" ht="24.75" customHeight="1" x14ac:dyDescent="0.3"/>
    <row r="1535" ht="24.75" customHeight="1" x14ac:dyDescent="0.3"/>
    <row r="1536" ht="24.75" customHeight="1" x14ac:dyDescent="0.3"/>
    <row r="1537" ht="24.75" customHeight="1" x14ac:dyDescent="0.3"/>
    <row r="1538" ht="24.75" customHeight="1" x14ac:dyDescent="0.3"/>
    <row r="1539" ht="24.75" customHeight="1" x14ac:dyDescent="0.3"/>
    <row r="1540" ht="24.75" customHeight="1" x14ac:dyDescent="0.3"/>
    <row r="1541" ht="24.75" customHeight="1" x14ac:dyDescent="0.3"/>
    <row r="1542" ht="24.75" customHeight="1" x14ac:dyDescent="0.3"/>
    <row r="1543" ht="24.75" customHeight="1" x14ac:dyDescent="0.3"/>
    <row r="1544" ht="24.75" customHeight="1" x14ac:dyDescent="0.3"/>
    <row r="1545" ht="24.75" customHeight="1" x14ac:dyDescent="0.3"/>
    <row r="1546" ht="24.75" customHeight="1" x14ac:dyDescent="0.3"/>
    <row r="1547" ht="24.75" customHeight="1" x14ac:dyDescent="0.3"/>
    <row r="1548" ht="24.75" customHeight="1" x14ac:dyDescent="0.3"/>
    <row r="1549" ht="24.75" customHeight="1" x14ac:dyDescent="0.3"/>
    <row r="1550" ht="24.75" customHeight="1" x14ac:dyDescent="0.3"/>
    <row r="1551" ht="24.75" customHeight="1" x14ac:dyDescent="0.3"/>
    <row r="1552" ht="24.75" customHeight="1" x14ac:dyDescent="0.3"/>
    <row r="1553" ht="24.75" customHeight="1" x14ac:dyDescent="0.3"/>
    <row r="1554" ht="24.75" customHeight="1" x14ac:dyDescent="0.3"/>
    <row r="1555" ht="24.75" customHeight="1" x14ac:dyDescent="0.3"/>
    <row r="1556" ht="24.75" customHeight="1" x14ac:dyDescent="0.3"/>
    <row r="1557" ht="24.75" customHeight="1" x14ac:dyDescent="0.3"/>
    <row r="1558" ht="24.75" customHeight="1" x14ac:dyDescent="0.3"/>
    <row r="1559" ht="24.75" customHeight="1" x14ac:dyDescent="0.3"/>
    <row r="1560" ht="24.75" customHeight="1" x14ac:dyDescent="0.3"/>
    <row r="1561" ht="24.75" customHeight="1" x14ac:dyDescent="0.3"/>
    <row r="1562" ht="24.75" customHeight="1" x14ac:dyDescent="0.3"/>
    <row r="1563" ht="24.75" customHeight="1" x14ac:dyDescent="0.3"/>
    <row r="1564" ht="24.75" customHeight="1" x14ac:dyDescent="0.3"/>
    <row r="1565" ht="24.75" customHeight="1" x14ac:dyDescent="0.3"/>
    <row r="1566" ht="24.75" customHeight="1" x14ac:dyDescent="0.3"/>
    <row r="1567" ht="24.75" customHeight="1" x14ac:dyDescent="0.3"/>
    <row r="1568" ht="24.75" customHeight="1" x14ac:dyDescent="0.3"/>
    <row r="1569" ht="24.75" customHeight="1" x14ac:dyDescent="0.3"/>
    <row r="1570" ht="24.75" customHeight="1" x14ac:dyDescent="0.3"/>
    <row r="1571" ht="24.75" customHeight="1" x14ac:dyDescent="0.3"/>
    <row r="1572" ht="24.75" customHeight="1" x14ac:dyDescent="0.3"/>
    <row r="1573" ht="24.75" customHeight="1" x14ac:dyDescent="0.3"/>
    <row r="1574" ht="24.75" customHeight="1" x14ac:dyDescent="0.3"/>
    <row r="1575" ht="24.75" customHeight="1" x14ac:dyDescent="0.3"/>
    <row r="1576" ht="24.75" customHeight="1" x14ac:dyDescent="0.3"/>
    <row r="1577" ht="24.75" customHeight="1" x14ac:dyDescent="0.3"/>
    <row r="1578" ht="24.75" customHeight="1" x14ac:dyDescent="0.3"/>
    <row r="1579" ht="24.75" customHeight="1" x14ac:dyDescent="0.3"/>
    <row r="1580" ht="24.75" customHeight="1" x14ac:dyDescent="0.3"/>
    <row r="1581" ht="24.75" customHeight="1" x14ac:dyDescent="0.3"/>
    <row r="1582" ht="24.75" customHeight="1" x14ac:dyDescent="0.3"/>
    <row r="1583" ht="24.75" customHeight="1" x14ac:dyDescent="0.3"/>
    <row r="1584" ht="24.75" customHeight="1" x14ac:dyDescent="0.3"/>
    <row r="1585" ht="24.75" customHeight="1" x14ac:dyDescent="0.3"/>
    <row r="1586" ht="24.75" customHeight="1" x14ac:dyDescent="0.3"/>
    <row r="1587" ht="24.75" customHeight="1" x14ac:dyDescent="0.3"/>
    <row r="1588" ht="24.75" customHeight="1" x14ac:dyDescent="0.3"/>
    <row r="1589" ht="24.75" customHeight="1" x14ac:dyDescent="0.3"/>
    <row r="1590" ht="24.75" customHeight="1" x14ac:dyDescent="0.3"/>
    <row r="1591" ht="24.75" customHeight="1" x14ac:dyDescent="0.3"/>
    <row r="1592" ht="24.75" customHeight="1" x14ac:dyDescent="0.3"/>
    <row r="1593" ht="24.75" customHeight="1" x14ac:dyDescent="0.3"/>
    <row r="1594" ht="24.75" customHeight="1" x14ac:dyDescent="0.3"/>
    <row r="1595" ht="24.75" customHeight="1" x14ac:dyDescent="0.3"/>
    <row r="1596" ht="24.75" customHeight="1" x14ac:dyDescent="0.3"/>
    <row r="1597" ht="24.75" customHeight="1" x14ac:dyDescent="0.3"/>
    <row r="1598" ht="24.75" customHeight="1" x14ac:dyDescent="0.3"/>
    <row r="1599" ht="24.75" customHeight="1" x14ac:dyDescent="0.3"/>
    <row r="1600" ht="24.75" customHeight="1" x14ac:dyDescent="0.3"/>
    <row r="1601" ht="24.75" customHeight="1" x14ac:dyDescent="0.3"/>
    <row r="1602" ht="24.75" customHeight="1" x14ac:dyDescent="0.3"/>
    <row r="1603" ht="24.75" customHeight="1" x14ac:dyDescent="0.3"/>
    <row r="1604" ht="24.75" customHeight="1" x14ac:dyDescent="0.3"/>
    <row r="1605" ht="24.75" customHeight="1" x14ac:dyDescent="0.3"/>
    <row r="1606" ht="24.75" customHeight="1" x14ac:dyDescent="0.3"/>
    <row r="1607" ht="24.75" customHeight="1" x14ac:dyDescent="0.3"/>
    <row r="1608" ht="24.75" customHeight="1" x14ac:dyDescent="0.3"/>
    <row r="1609" ht="24.75" customHeight="1" x14ac:dyDescent="0.3"/>
    <row r="1610" ht="24.75" customHeight="1" x14ac:dyDescent="0.3"/>
    <row r="1611" ht="24.75" customHeight="1" x14ac:dyDescent="0.3"/>
    <row r="1612" ht="24.75" customHeight="1" x14ac:dyDescent="0.3"/>
    <row r="1613" ht="24.75" customHeight="1" x14ac:dyDescent="0.3"/>
    <row r="1614" ht="24.75" customHeight="1" x14ac:dyDescent="0.3"/>
    <row r="1615" ht="24.75" customHeight="1" x14ac:dyDescent="0.3"/>
    <row r="1616" ht="24.75" customHeight="1" x14ac:dyDescent="0.3"/>
    <row r="1617" ht="24.75" customHeight="1" x14ac:dyDescent="0.3"/>
    <row r="1618" ht="24.75" customHeight="1" x14ac:dyDescent="0.3"/>
    <row r="1619" ht="24.75" customHeight="1" x14ac:dyDescent="0.3"/>
    <row r="1620" ht="24.75" customHeight="1" x14ac:dyDescent="0.3"/>
    <row r="1621" ht="24.75" customHeight="1" x14ac:dyDescent="0.3"/>
    <row r="1622" ht="24.75" customHeight="1" x14ac:dyDescent="0.3"/>
    <row r="1623" ht="24.75" customHeight="1" x14ac:dyDescent="0.3"/>
    <row r="1624" ht="24.75" customHeight="1" x14ac:dyDescent="0.3"/>
    <row r="1625" ht="24.75" customHeight="1" x14ac:dyDescent="0.3"/>
    <row r="1626" ht="24.75" customHeight="1" x14ac:dyDescent="0.3"/>
    <row r="1627" ht="24.75" customHeight="1" x14ac:dyDescent="0.3"/>
    <row r="1628" ht="24.75" customHeight="1" x14ac:dyDescent="0.3"/>
    <row r="1629" ht="24.75" customHeight="1" x14ac:dyDescent="0.3"/>
    <row r="1630" ht="24.75" customHeight="1" x14ac:dyDescent="0.3"/>
    <row r="1631" ht="24.75" customHeight="1" x14ac:dyDescent="0.3"/>
    <row r="1632" ht="24.75" customHeight="1" x14ac:dyDescent="0.3"/>
    <row r="1633" ht="24.75" customHeight="1" x14ac:dyDescent="0.3"/>
    <row r="1634" ht="24.75" customHeight="1" x14ac:dyDescent="0.3"/>
    <row r="1635" ht="24.75" customHeight="1" x14ac:dyDescent="0.3"/>
    <row r="1636" ht="24.75" customHeight="1" x14ac:dyDescent="0.3"/>
    <row r="1637" ht="24.75" customHeight="1" x14ac:dyDescent="0.3"/>
    <row r="1638" ht="24.75" customHeight="1" x14ac:dyDescent="0.3"/>
    <row r="1639" ht="24.75" customHeight="1" x14ac:dyDescent="0.3"/>
    <row r="1640" ht="24.75" customHeight="1" x14ac:dyDescent="0.3"/>
    <row r="1641" ht="24.75" customHeight="1" x14ac:dyDescent="0.3"/>
    <row r="1642" ht="24.75" customHeight="1" x14ac:dyDescent="0.3"/>
    <row r="1643" ht="24.75" customHeight="1" x14ac:dyDescent="0.3"/>
    <row r="1644" ht="24.75" customHeight="1" x14ac:dyDescent="0.3"/>
    <row r="1645" ht="24.75" customHeight="1" x14ac:dyDescent="0.3"/>
    <row r="1646" ht="24.75" customHeight="1" x14ac:dyDescent="0.3"/>
    <row r="1647" ht="24.75" customHeight="1" x14ac:dyDescent="0.3"/>
    <row r="1648" ht="24.75" customHeight="1" x14ac:dyDescent="0.3"/>
    <row r="1649" ht="24.75" customHeight="1" x14ac:dyDescent="0.3"/>
    <row r="1650" ht="24.75" customHeight="1" x14ac:dyDescent="0.3"/>
    <row r="1651" ht="24.75" customHeight="1" x14ac:dyDescent="0.3"/>
    <row r="1652" ht="24.75" customHeight="1" x14ac:dyDescent="0.3"/>
    <row r="1653" ht="24.75" customHeight="1" x14ac:dyDescent="0.3"/>
    <row r="1654" ht="24.75" customHeight="1" x14ac:dyDescent="0.3"/>
    <row r="1655" ht="24.75" customHeight="1" x14ac:dyDescent="0.3"/>
    <row r="1656" ht="24.75" customHeight="1" x14ac:dyDescent="0.3"/>
    <row r="1657" ht="24.75" customHeight="1" x14ac:dyDescent="0.3"/>
    <row r="1658" ht="24.75" customHeight="1" x14ac:dyDescent="0.3"/>
    <row r="1659" ht="24.75" customHeight="1" x14ac:dyDescent="0.3"/>
    <row r="1660" ht="24.75" customHeight="1" x14ac:dyDescent="0.3"/>
    <row r="1661" ht="24.75" customHeight="1" x14ac:dyDescent="0.3"/>
    <row r="1662" ht="24.75" customHeight="1" x14ac:dyDescent="0.3"/>
    <row r="1663" ht="24.75" customHeight="1" x14ac:dyDescent="0.3"/>
    <row r="1664" ht="24.75" customHeight="1" x14ac:dyDescent="0.3"/>
    <row r="1665" ht="24.75" customHeight="1" x14ac:dyDescent="0.3"/>
    <row r="1666" ht="24.75" customHeight="1" x14ac:dyDescent="0.3"/>
    <row r="1667" ht="24.75" customHeight="1" x14ac:dyDescent="0.3"/>
    <row r="1668" ht="24.75" customHeight="1" x14ac:dyDescent="0.3"/>
    <row r="1669" ht="24.75" customHeight="1" x14ac:dyDescent="0.3"/>
    <row r="1670" ht="24.75" customHeight="1" x14ac:dyDescent="0.3"/>
    <row r="1671" ht="24.75" customHeight="1" x14ac:dyDescent="0.3"/>
    <row r="1672" ht="24.75" customHeight="1" x14ac:dyDescent="0.3"/>
    <row r="1673" ht="24.75" customHeight="1" x14ac:dyDescent="0.3"/>
    <row r="1674" ht="24.75" customHeight="1" x14ac:dyDescent="0.3"/>
    <row r="1675" ht="24.75" customHeight="1" x14ac:dyDescent="0.3"/>
    <row r="1676" ht="24.75" customHeight="1" x14ac:dyDescent="0.3"/>
    <row r="1677" ht="24.75" customHeight="1" x14ac:dyDescent="0.3"/>
    <row r="1678" ht="24.75" customHeight="1" x14ac:dyDescent="0.3"/>
    <row r="1679" ht="24.75" customHeight="1" x14ac:dyDescent="0.3"/>
    <row r="1680" ht="24.75" customHeight="1" x14ac:dyDescent="0.3"/>
    <row r="1681" ht="24.75" customHeight="1" x14ac:dyDescent="0.3"/>
    <row r="1682" ht="24.75" customHeight="1" x14ac:dyDescent="0.3"/>
    <row r="1683" ht="24.75" customHeight="1" x14ac:dyDescent="0.3"/>
    <row r="1684" ht="24.75" customHeight="1" x14ac:dyDescent="0.3"/>
    <row r="1685" ht="24.75" customHeight="1" x14ac:dyDescent="0.3"/>
    <row r="1686" ht="24.75" customHeight="1" x14ac:dyDescent="0.3"/>
    <row r="1687" ht="24.75" customHeight="1" x14ac:dyDescent="0.3"/>
    <row r="1688" ht="24.75" customHeight="1" x14ac:dyDescent="0.3"/>
    <row r="1689" ht="24.75" customHeight="1" x14ac:dyDescent="0.3"/>
    <row r="1690" ht="24.75" customHeight="1" x14ac:dyDescent="0.3"/>
    <row r="1691" ht="24.75" customHeight="1" x14ac:dyDescent="0.3"/>
    <row r="1692" ht="24.75" customHeight="1" x14ac:dyDescent="0.3"/>
    <row r="1693" ht="24.75" customHeight="1" x14ac:dyDescent="0.3"/>
    <row r="1694" ht="24.75" customHeight="1" x14ac:dyDescent="0.3"/>
    <row r="1695" ht="24.75" customHeight="1" x14ac:dyDescent="0.3"/>
    <row r="1696" ht="24.75" customHeight="1" x14ac:dyDescent="0.3"/>
    <row r="1697" ht="24.75" customHeight="1" x14ac:dyDescent="0.3"/>
    <row r="1698" ht="24.75" customHeight="1" x14ac:dyDescent="0.3"/>
    <row r="1699" ht="24.75" customHeight="1" x14ac:dyDescent="0.3"/>
    <row r="1700" ht="24.75" customHeight="1" x14ac:dyDescent="0.3"/>
    <row r="1701" ht="24.75" customHeight="1" x14ac:dyDescent="0.3"/>
    <row r="1702" ht="24.75" customHeight="1" x14ac:dyDescent="0.3"/>
    <row r="1703" ht="24.75" customHeight="1" x14ac:dyDescent="0.3"/>
    <row r="1704" ht="24.75" customHeight="1" x14ac:dyDescent="0.3"/>
    <row r="1705" ht="24.75" customHeight="1" x14ac:dyDescent="0.3"/>
    <row r="1706" ht="24.75" customHeight="1" x14ac:dyDescent="0.3"/>
    <row r="1707" ht="24.75" customHeight="1" x14ac:dyDescent="0.3"/>
    <row r="1708" ht="24.75" customHeight="1" x14ac:dyDescent="0.3"/>
    <row r="1709" ht="24.75" customHeight="1" x14ac:dyDescent="0.3"/>
    <row r="1710" ht="24.75" customHeight="1" x14ac:dyDescent="0.3"/>
    <row r="1711" ht="24.75" customHeight="1" x14ac:dyDescent="0.3"/>
    <row r="1712" ht="24.75" customHeight="1" x14ac:dyDescent="0.3"/>
    <row r="1713" ht="24.75" customHeight="1" x14ac:dyDescent="0.3"/>
    <row r="1714" ht="24.75" customHeight="1" x14ac:dyDescent="0.3"/>
    <row r="1715" ht="24.75" customHeight="1" x14ac:dyDescent="0.3"/>
    <row r="1716" ht="24.75" customHeight="1" x14ac:dyDescent="0.3"/>
    <row r="1717" ht="24.75" customHeight="1" x14ac:dyDescent="0.3"/>
    <row r="1718" ht="24.75" customHeight="1" x14ac:dyDescent="0.3"/>
    <row r="1719" ht="24.75" customHeight="1" x14ac:dyDescent="0.3"/>
    <row r="1720" ht="24.75" customHeight="1" x14ac:dyDescent="0.3"/>
    <row r="1721" ht="24.75" customHeight="1" x14ac:dyDescent="0.3"/>
    <row r="1722" ht="24.75" customHeight="1" x14ac:dyDescent="0.3"/>
    <row r="1723" ht="24.75" customHeight="1" x14ac:dyDescent="0.3"/>
    <row r="1724" ht="24.75" customHeight="1" x14ac:dyDescent="0.3"/>
    <row r="1725" ht="24.75" customHeight="1" x14ac:dyDescent="0.3"/>
    <row r="1726" ht="24.75" customHeight="1" x14ac:dyDescent="0.3"/>
    <row r="1727" ht="24.75" customHeight="1" x14ac:dyDescent="0.3"/>
    <row r="1728" ht="24.75" customHeight="1" x14ac:dyDescent="0.3"/>
    <row r="1729" ht="24.75" customHeight="1" x14ac:dyDescent="0.3"/>
    <row r="1730" ht="24.75" customHeight="1" x14ac:dyDescent="0.3"/>
    <row r="1731" ht="24.75" customHeight="1" x14ac:dyDescent="0.3"/>
    <row r="1732" ht="24.75" customHeight="1" x14ac:dyDescent="0.3"/>
    <row r="1733" ht="24.75" customHeight="1" x14ac:dyDescent="0.3"/>
    <row r="1734" ht="24.75" customHeight="1" x14ac:dyDescent="0.3"/>
    <row r="1735" ht="24.75" customHeight="1" x14ac:dyDescent="0.3"/>
    <row r="1736" ht="24.75" customHeight="1" x14ac:dyDescent="0.3"/>
    <row r="1737" ht="24.75" customHeight="1" x14ac:dyDescent="0.3"/>
    <row r="1738" ht="24.75" customHeight="1" x14ac:dyDescent="0.3"/>
    <row r="1739" ht="24.75" customHeight="1" x14ac:dyDescent="0.3"/>
    <row r="1740" ht="24.75" customHeight="1" x14ac:dyDescent="0.3"/>
    <row r="1741" ht="24.75" customHeight="1" x14ac:dyDescent="0.3"/>
    <row r="1742" ht="24.75" customHeight="1" x14ac:dyDescent="0.3"/>
    <row r="1743" ht="24.75" customHeight="1" x14ac:dyDescent="0.3"/>
    <row r="1744" ht="24.75" customHeight="1" x14ac:dyDescent="0.3"/>
    <row r="1745" ht="24.75" customHeight="1" x14ac:dyDescent="0.3"/>
    <row r="1746" ht="24.75" customHeight="1" x14ac:dyDescent="0.3"/>
    <row r="1747" ht="24.75" customHeight="1" x14ac:dyDescent="0.3"/>
    <row r="1748" ht="24.75" customHeight="1" x14ac:dyDescent="0.3"/>
    <row r="1749" ht="24.75" customHeight="1" x14ac:dyDescent="0.3"/>
    <row r="1750" ht="24.75" customHeight="1" x14ac:dyDescent="0.3"/>
    <row r="1751" ht="24.75" customHeight="1" x14ac:dyDescent="0.3"/>
    <row r="1752" ht="24.75" customHeight="1" x14ac:dyDescent="0.3"/>
    <row r="1753" ht="24.75" customHeight="1" x14ac:dyDescent="0.3"/>
    <row r="1754" ht="24.75" customHeight="1" x14ac:dyDescent="0.3"/>
    <row r="1755" ht="24.75" customHeight="1" x14ac:dyDescent="0.3"/>
    <row r="1756" ht="24.75" customHeight="1" x14ac:dyDescent="0.3"/>
    <row r="1757" ht="24.75" customHeight="1" x14ac:dyDescent="0.3"/>
    <row r="1758" ht="24.75" customHeight="1" x14ac:dyDescent="0.3"/>
    <row r="1759" ht="24.75" customHeight="1" x14ac:dyDescent="0.3"/>
    <row r="1760" ht="24.75" customHeight="1" x14ac:dyDescent="0.3"/>
    <row r="1761" ht="24.75" customHeight="1" x14ac:dyDescent="0.3"/>
    <row r="1762" ht="24.75" customHeight="1" x14ac:dyDescent="0.3"/>
    <row r="1763" ht="24.75" customHeight="1" x14ac:dyDescent="0.3"/>
    <row r="1764" ht="24.75" customHeight="1" x14ac:dyDescent="0.3"/>
    <row r="1765" ht="24.75" customHeight="1" x14ac:dyDescent="0.3"/>
    <row r="1766" ht="24.75" customHeight="1" x14ac:dyDescent="0.3"/>
    <row r="1767" ht="24.75" customHeight="1" x14ac:dyDescent="0.3"/>
    <row r="1768" ht="24.75" customHeight="1" x14ac:dyDescent="0.3"/>
    <row r="1769" ht="24.75" customHeight="1" x14ac:dyDescent="0.3"/>
    <row r="1770" ht="24.75" customHeight="1" x14ac:dyDescent="0.3"/>
    <row r="1771" ht="24.75" customHeight="1" x14ac:dyDescent="0.3"/>
    <row r="1772" ht="24.75" customHeight="1" x14ac:dyDescent="0.3"/>
    <row r="1773" ht="24.75" customHeight="1" x14ac:dyDescent="0.3"/>
    <row r="1774" ht="24.75" customHeight="1" x14ac:dyDescent="0.3"/>
    <row r="1775" ht="24.75" customHeight="1" x14ac:dyDescent="0.3"/>
    <row r="1776" ht="24.75" customHeight="1" x14ac:dyDescent="0.3"/>
    <row r="1777" ht="24.75" customHeight="1" x14ac:dyDescent="0.3"/>
    <row r="1778" ht="24.75" customHeight="1" x14ac:dyDescent="0.3"/>
    <row r="1779" ht="24.75" customHeight="1" x14ac:dyDescent="0.3"/>
    <row r="1780" ht="24.75" customHeight="1" x14ac:dyDescent="0.3"/>
    <row r="1781" ht="24.75" customHeight="1" x14ac:dyDescent="0.3"/>
    <row r="1782" ht="24.75" customHeight="1" x14ac:dyDescent="0.3"/>
    <row r="1783" ht="24.75" customHeight="1" x14ac:dyDescent="0.3"/>
    <row r="1784" ht="24.75" customHeight="1" x14ac:dyDescent="0.3"/>
    <row r="1785" ht="24.75" customHeight="1" x14ac:dyDescent="0.3"/>
    <row r="1786" ht="24.75" customHeight="1" x14ac:dyDescent="0.3"/>
    <row r="1787" ht="24.75" customHeight="1" x14ac:dyDescent="0.3"/>
    <row r="1788" ht="24.75" customHeight="1" x14ac:dyDescent="0.3"/>
    <row r="1789" ht="24.75" customHeight="1" x14ac:dyDescent="0.3"/>
    <row r="1790" ht="24.75" customHeight="1" x14ac:dyDescent="0.3"/>
    <row r="1791" ht="24.75" customHeight="1" x14ac:dyDescent="0.3"/>
    <row r="1792" ht="24.75" customHeight="1" x14ac:dyDescent="0.3"/>
    <row r="1793" ht="24.75" customHeight="1" x14ac:dyDescent="0.3"/>
    <row r="1794" ht="24.75" customHeight="1" x14ac:dyDescent="0.3"/>
    <row r="1795" ht="24.75" customHeight="1" x14ac:dyDescent="0.3"/>
    <row r="1796" ht="24.75" customHeight="1" x14ac:dyDescent="0.3"/>
    <row r="1797" ht="24.75" customHeight="1" x14ac:dyDescent="0.3"/>
    <row r="1798" ht="24.75" customHeight="1" x14ac:dyDescent="0.3"/>
    <row r="1799" ht="24.75" customHeight="1" x14ac:dyDescent="0.3"/>
    <row r="1800" ht="24.75" customHeight="1" x14ac:dyDescent="0.3"/>
    <row r="1801" ht="24.75" customHeight="1" x14ac:dyDescent="0.3"/>
    <row r="1802" ht="24.75" customHeight="1" x14ac:dyDescent="0.3"/>
    <row r="1803" ht="24.75" customHeight="1" x14ac:dyDescent="0.3"/>
    <row r="1804" ht="24.75" customHeight="1" x14ac:dyDescent="0.3"/>
    <row r="1805" ht="24.75" customHeight="1" x14ac:dyDescent="0.3"/>
    <row r="1806" ht="24.75" customHeight="1" x14ac:dyDescent="0.3"/>
    <row r="1807" ht="24.75" customHeight="1" x14ac:dyDescent="0.3"/>
    <row r="1808" ht="24.75" customHeight="1" x14ac:dyDescent="0.3"/>
    <row r="1809" ht="24.75" customHeight="1" x14ac:dyDescent="0.3"/>
    <row r="1810" ht="24.75" customHeight="1" x14ac:dyDescent="0.3"/>
    <row r="1811" ht="24.75" customHeight="1" x14ac:dyDescent="0.3"/>
    <row r="1812" ht="24.75" customHeight="1" x14ac:dyDescent="0.3"/>
    <row r="1813" ht="24.75" customHeight="1" x14ac:dyDescent="0.3"/>
    <row r="1814" ht="24.75" customHeight="1" x14ac:dyDescent="0.3"/>
    <row r="1815" ht="24.75" customHeight="1" x14ac:dyDescent="0.3"/>
    <row r="1816" ht="24.75" customHeight="1" x14ac:dyDescent="0.3"/>
    <row r="1817" ht="24.75" customHeight="1" x14ac:dyDescent="0.3"/>
    <row r="1818" ht="24.75" customHeight="1" x14ac:dyDescent="0.3"/>
    <row r="1819" ht="24.75" customHeight="1" x14ac:dyDescent="0.3"/>
    <row r="1820" ht="24.75" customHeight="1" x14ac:dyDescent="0.3"/>
    <row r="1821" ht="24.75" customHeight="1" x14ac:dyDescent="0.3"/>
    <row r="1822" ht="24.75" customHeight="1" x14ac:dyDescent="0.3"/>
    <row r="1823" ht="24.75" customHeight="1" x14ac:dyDescent="0.3"/>
    <row r="1824" ht="24.75" customHeight="1" x14ac:dyDescent="0.3"/>
    <row r="1825" ht="24.75" customHeight="1" x14ac:dyDescent="0.3"/>
    <row r="1826" ht="24.75" customHeight="1" x14ac:dyDescent="0.3"/>
    <row r="1827" ht="24.75" customHeight="1" x14ac:dyDescent="0.3"/>
    <row r="1828" ht="24.75" customHeight="1" x14ac:dyDescent="0.3"/>
    <row r="1829" ht="24.75" customHeight="1" x14ac:dyDescent="0.3"/>
    <row r="1830" ht="24.75" customHeight="1" x14ac:dyDescent="0.3"/>
    <row r="1831" ht="24.75" customHeight="1" x14ac:dyDescent="0.3"/>
    <row r="1832" ht="24.75" customHeight="1" x14ac:dyDescent="0.3"/>
    <row r="1833" ht="24.75" customHeight="1" x14ac:dyDescent="0.3"/>
    <row r="1834" ht="24.75" customHeight="1" x14ac:dyDescent="0.3"/>
    <row r="1835" ht="24.75" customHeight="1" x14ac:dyDescent="0.3"/>
    <row r="1836" ht="24.75" customHeight="1" x14ac:dyDescent="0.3"/>
    <row r="1837" ht="24.75" customHeight="1" x14ac:dyDescent="0.3"/>
    <row r="1838" ht="24.75" customHeight="1" x14ac:dyDescent="0.3"/>
    <row r="1839" ht="24.75" customHeight="1" x14ac:dyDescent="0.3"/>
    <row r="1840" ht="24.75" customHeight="1" x14ac:dyDescent="0.3"/>
    <row r="1841" ht="24.75" customHeight="1" x14ac:dyDescent="0.3"/>
    <row r="1842" ht="24.75" customHeight="1" x14ac:dyDescent="0.3"/>
    <row r="1843" ht="24.75" customHeight="1" x14ac:dyDescent="0.3"/>
    <row r="1844" ht="24.75" customHeight="1" x14ac:dyDescent="0.3"/>
    <row r="1845" ht="24.75" customHeight="1" x14ac:dyDescent="0.3"/>
    <row r="1846" ht="24.75" customHeight="1" x14ac:dyDescent="0.3"/>
    <row r="1847" ht="24.75" customHeight="1" x14ac:dyDescent="0.3"/>
    <row r="1848" ht="24.75" customHeight="1" x14ac:dyDescent="0.3"/>
    <row r="1849" ht="24.75" customHeight="1" x14ac:dyDescent="0.3"/>
    <row r="1850" ht="24.75" customHeight="1" x14ac:dyDescent="0.3"/>
    <row r="1851" ht="24.75" customHeight="1" x14ac:dyDescent="0.3"/>
    <row r="1852" ht="24.75" customHeight="1" x14ac:dyDescent="0.3"/>
    <row r="1853" ht="24.75" customHeight="1" x14ac:dyDescent="0.3"/>
    <row r="1854" ht="24.75" customHeight="1" x14ac:dyDescent="0.3"/>
    <row r="1855" ht="24.75" customHeight="1" x14ac:dyDescent="0.3"/>
    <row r="1856" ht="24.75" customHeight="1" x14ac:dyDescent="0.3"/>
    <row r="1857" ht="24.75" customHeight="1" x14ac:dyDescent="0.3"/>
    <row r="1858" ht="24.75" customHeight="1" x14ac:dyDescent="0.3"/>
    <row r="1859" ht="24.75" customHeight="1" x14ac:dyDescent="0.3"/>
    <row r="1860" ht="24.75" customHeight="1" x14ac:dyDescent="0.3"/>
    <row r="1861" ht="24.75" customHeight="1" x14ac:dyDescent="0.3"/>
    <row r="1862" ht="24.75" customHeight="1" x14ac:dyDescent="0.3"/>
    <row r="1863" ht="24.75" customHeight="1" x14ac:dyDescent="0.3"/>
    <row r="1864" ht="24.75" customHeight="1" x14ac:dyDescent="0.3"/>
    <row r="1865" ht="24.75" customHeight="1" x14ac:dyDescent="0.3"/>
    <row r="1866" ht="24.75" customHeight="1" x14ac:dyDescent="0.3"/>
    <row r="1867" ht="24.75" customHeight="1" x14ac:dyDescent="0.3"/>
    <row r="1868" ht="24.75" customHeight="1" x14ac:dyDescent="0.3"/>
    <row r="1869" ht="24.75" customHeight="1" x14ac:dyDescent="0.3"/>
    <row r="1870" ht="24.75" customHeight="1" x14ac:dyDescent="0.3"/>
    <row r="1871" ht="24.75" customHeight="1" x14ac:dyDescent="0.3"/>
    <row r="1872" ht="24.75" customHeight="1" x14ac:dyDescent="0.3"/>
    <row r="1873" ht="24.75" customHeight="1" x14ac:dyDescent="0.3"/>
    <row r="1874" ht="24.75" customHeight="1" x14ac:dyDescent="0.3"/>
    <row r="1875" ht="24.75" customHeight="1" x14ac:dyDescent="0.3"/>
    <row r="1876" ht="24.75" customHeight="1" x14ac:dyDescent="0.3"/>
    <row r="1877" ht="24.75" customHeight="1" x14ac:dyDescent="0.3"/>
    <row r="1878" ht="24.75" customHeight="1" x14ac:dyDescent="0.3"/>
    <row r="1879" ht="24.75" customHeight="1" x14ac:dyDescent="0.3"/>
    <row r="1880" ht="24.75" customHeight="1" x14ac:dyDescent="0.3"/>
    <row r="1881" ht="24.75" customHeight="1" x14ac:dyDescent="0.3"/>
    <row r="1882" ht="24.75" customHeight="1" x14ac:dyDescent="0.3"/>
    <row r="1883" ht="24.75" customHeight="1" x14ac:dyDescent="0.3"/>
    <row r="1884" ht="24.75" customHeight="1" x14ac:dyDescent="0.3"/>
    <row r="1885" ht="24.75" customHeight="1" x14ac:dyDescent="0.3"/>
    <row r="1886" ht="24.75" customHeight="1" x14ac:dyDescent="0.3"/>
    <row r="1887" ht="24.75" customHeight="1" x14ac:dyDescent="0.3"/>
    <row r="1888" ht="24.75" customHeight="1" x14ac:dyDescent="0.3"/>
    <row r="1889" ht="24.75" customHeight="1" x14ac:dyDescent="0.3"/>
    <row r="1890" ht="24.75" customHeight="1" x14ac:dyDescent="0.3"/>
    <row r="1891" ht="24.75" customHeight="1" x14ac:dyDescent="0.3"/>
    <row r="1892" ht="24.75" customHeight="1" x14ac:dyDescent="0.3"/>
    <row r="1893" ht="24.75" customHeight="1" x14ac:dyDescent="0.3"/>
    <row r="1894" ht="24.75" customHeight="1" x14ac:dyDescent="0.3"/>
    <row r="1895" ht="24.75" customHeight="1" x14ac:dyDescent="0.3"/>
    <row r="1896" ht="24.75" customHeight="1" x14ac:dyDescent="0.3"/>
    <row r="1897" ht="24.75" customHeight="1" x14ac:dyDescent="0.3"/>
    <row r="1898" ht="24.75" customHeight="1" x14ac:dyDescent="0.3"/>
    <row r="1899" ht="24.75" customHeight="1" x14ac:dyDescent="0.3"/>
    <row r="1900" ht="24.75" customHeight="1" x14ac:dyDescent="0.3"/>
    <row r="1901" ht="24.75" customHeight="1" x14ac:dyDescent="0.3"/>
    <row r="1902" ht="24.75" customHeight="1" x14ac:dyDescent="0.3"/>
    <row r="1903" ht="24.75" customHeight="1" x14ac:dyDescent="0.3"/>
    <row r="1904" ht="24.75" customHeight="1" x14ac:dyDescent="0.3"/>
    <row r="1905" ht="24.75" customHeight="1" x14ac:dyDescent="0.3"/>
    <row r="1906" ht="24.75" customHeight="1" x14ac:dyDescent="0.3"/>
    <row r="1907" ht="24.75" customHeight="1" x14ac:dyDescent="0.3"/>
    <row r="1908" ht="24.75" customHeight="1" x14ac:dyDescent="0.3"/>
    <row r="1909" ht="24.75" customHeight="1" x14ac:dyDescent="0.3"/>
    <row r="1910" ht="24.75" customHeight="1" x14ac:dyDescent="0.3"/>
    <row r="1911" ht="24.75" customHeight="1" x14ac:dyDescent="0.3"/>
    <row r="1912" ht="24.75" customHeight="1" x14ac:dyDescent="0.3"/>
    <row r="1913" ht="24.75" customHeight="1" x14ac:dyDescent="0.3"/>
    <row r="1914" ht="24.75" customHeight="1" x14ac:dyDescent="0.3"/>
    <row r="1915" ht="24.75" customHeight="1" x14ac:dyDescent="0.3"/>
    <row r="1916" ht="24.75" customHeight="1" x14ac:dyDescent="0.3"/>
    <row r="1917" ht="24.75" customHeight="1" x14ac:dyDescent="0.3"/>
    <row r="1918" ht="24.75" customHeight="1" x14ac:dyDescent="0.3"/>
    <row r="1919" ht="24.75" customHeight="1" x14ac:dyDescent="0.3"/>
    <row r="1920" ht="24.75" customHeight="1" x14ac:dyDescent="0.3"/>
    <row r="1921" ht="24.75" customHeight="1" x14ac:dyDescent="0.3"/>
    <row r="1922" ht="24.75" customHeight="1" x14ac:dyDescent="0.3"/>
    <row r="1923" ht="24.75" customHeight="1" x14ac:dyDescent="0.3"/>
    <row r="1924" ht="24.75" customHeight="1" x14ac:dyDescent="0.3"/>
    <row r="1925" ht="24.75" customHeight="1" x14ac:dyDescent="0.3"/>
    <row r="1926" ht="24.75" customHeight="1" x14ac:dyDescent="0.3"/>
    <row r="1927" ht="24.75" customHeight="1" x14ac:dyDescent="0.3"/>
    <row r="1928" ht="24.75" customHeight="1" x14ac:dyDescent="0.3"/>
    <row r="1929" ht="24.75" customHeight="1" x14ac:dyDescent="0.3"/>
    <row r="1930" ht="24.75" customHeight="1" x14ac:dyDescent="0.3"/>
    <row r="1931" ht="24.75" customHeight="1" x14ac:dyDescent="0.3"/>
    <row r="1932" ht="24.75" customHeight="1" x14ac:dyDescent="0.3"/>
    <row r="1933" ht="24.75" customHeight="1" x14ac:dyDescent="0.3"/>
    <row r="1934" ht="24.75" customHeight="1" x14ac:dyDescent="0.3"/>
    <row r="1935" ht="24.75" customHeight="1" x14ac:dyDescent="0.3"/>
    <row r="1936" ht="24.75" customHeight="1" x14ac:dyDescent="0.3"/>
    <row r="1937" ht="24.75" customHeight="1" x14ac:dyDescent="0.3"/>
    <row r="1938" ht="24.75" customHeight="1" x14ac:dyDescent="0.3"/>
    <row r="1939" ht="24.75" customHeight="1" x14ac:dyDescent="0.3"/>
    <row r="1940" ht="24.75" customHeight="1" x14ac:dyDescent="0.3"/>
    <row r="1941" ht="24.75" customHeight="1" x14ac:dyDescent="0.3"/>
    <row r="1942" ht="24.75" customHeight="1" x14ac:dyDescent="0.3"/>
    <row r="1943" ht="24.75" customHeight="1" x14ac:dyDescent="0.3"/>
    <row r="1944" ht="24.75" customHeight="1" x14ac:dyDescent="0.3"/>
    <row r="1945" ht="24.75" customHeight="1" x14ac:dyDescent="0.3"/>
    <row r="1946" ht="24.75" customHeight="1" x14ac:dyDescent="0.3"/>
    <row r="1947" ht="24.75" customHeight="1" x14ac:dyDescent="0.3"/>
    <row r="1948" ht="24.75" customHeight="1" x14ac:dyDescent="0.3"/>
    <row r="1949" ht="24.75" customHeight="1" x14ac:dyDescent="0.3"/>
    <row r="1950" ht="24.75" customHeight="1" x14ac:dyDescent="0.3"/>
    <row r="1951" ht="24.75" customHeight="1" x14ac:dyDescent="0.3"/>
    <row r="1952" ht="24.75" customHeight="1" x14ac:dyDescent="0.3"/>
    <row r="1953" ht="24.75" customHeight="1" x14ac:dyDescent="0.3"/>
    <row r="1954" ht="24.75" customHeight="1" x14ac:dyDescent="0.3"/>
    <row r="1955" ht="24.75" customHeight="1" x14ac:dyDescent="0.3"/>
    <row r="1956" ht="24.75" customHeight="1" x14ac:dyDescent="0.3"/>
    <row r="1957" ht="24.75" customHeight="1" x14ac:dyDescent="0.3"/>
    <row r="1958" ht="24.75" customHeight="1" x14ac:dyDescent="0.3"/>
    <row r="1959" ht="24.75" customHeight="1" x14ac:dyDescent="0.3"/>
    <row r="1960" ht="24.75" customHeight="1" x14ac:dyDescent="0.3"/>
    <row r="1961" ht="24.75" customHeight="1" x14ac:dyDescent="0.3"/>
    <row r="1962" ht="24.75" customHeight="1" x14ac:dyDescent="0.3"/>
    <row r="1963" ht="24.75" customHeight="1" x14ac:dyDescent="0.3"/>
    <row r="1964" ht="24.75" customHeight="1" x14ac:dyDescent="0.3"/>
    <row r="1965" ht="24.75" customHeight="1" x14ac:dyDescent="0.3"/>
    <row r="1966" ht="24.75" customHeight="1" x14ac:dyDescent="0.3"/>
    <row r="1967" ht="24.75" customHeight="1" x14ac:dyDescent="0.3"/>
    <row r="1968" ht="24.75" customHeight="1" x14ac:dyDescent="0.3"/>
    <row r="1969" ht="24.75" customHeight="1" x14ac:dyDescent="0.3"/>
    <row r="1970" ht="24.75" customHeight="1" x14ac:dyDescent="0.3"/>
    <row r="1971" ht="24.75" customHeight="1" x14ac:dyDescent="0.3"/>
    <row r="1972" ht="24.75" customHeight="1" x14ac:dyDescent="0.3"/>
    <row r="1973" ht="24.75" customHeight="1" x14ac:dyDescent="0.3"/>
    <row r="1974" ht="24.75" customHeight="1" x14ac:dyDescent="0.3"/>
    <row r="1975" ht="24.75" customHeight="1" x14ac:dyDescent="0.3"/>
    <row r="1976" ht="24.75" customHeight="1" x14ac:dyDescent="0.3"/>
    <row r="1977" ht="24.75" customHeight="1" x14ac:dyDescent="0.3"/>
    <row r="1978" ht="24.75" customHeight="1" x14ac:dyDescent="0.3"/>
    <row r="1979" ht="24.75" customHeight="1" x14ac:dyDescent="0.3"/>
    <row r="1980" ht="24.75" customHeight="1" x14ac:dyDescent="0.3"/>
    <row r="1981" ht="24.75" customHeight="1" x14ac:dyDescent="0.3"/>
    <row r="1982" ht="24.75" customHeight="1" x14ac:dyDescent="0.3"/>
    <row r="1983" ht="24.75" customHeight="1" x14ac:dyDescent="0.3"/>
    <row r="1984" ht="24.75" customHeight="1" x14ac:dyDescent="0.3"/>
    <row r="1985" ht="24.75" customHeight="1" x14ac:dyDescent="0.3"/>
    <row r="1986" ht="24.75" customHeight="1" x14ac:dyDescent="0.3"/>
    <row r="1987" ht="24.75" customHeight="1" x14ac:dyDescent="0.3"/>
    <row r="1988" ht="24.75" customHeight="1" x14ac:dyDescent="0.3"/>
    <row r="1989" ht="24.75" customHeight="1" x14ac:dyDescent="0.3"/>
    <row r="1990" ht="24.75" customHeight="1" x14ac:dyDescent="0.3"/>
    <row r="1991" ht="24.75" customHeight="1" x14ac:dyDescent="0.3"/>
    <row r="1992" ht="24.75" customHeight="1" x14ac:dyDescent="0.3"/>
    <row r="1993" ht="24.75" customHeight="1" x14ac:dyDescent="0.3"/>
    <row r="1994" ht="24.75" customHeight="1" x14ac:dyDescent="0.3"/>
    <row r="1995" ht="24.75" customHeight="1" x14ac:dyDescent="0.3"/>
    <row r="1996" ht="24.75" customHeight="1" x14ac:dyDescent="0.3"/>
    <row r="1997" ht="24.75" customHeight="1" x14ac:dyDescent="0.3"/>
    <row r="1998" ht="24.75" customHeight="1" x14ac:dyDescent="0.3"/>
    <row r="1999" ht="24.75" customHeight="1" x14ac:dyDescent="0.3"/>
    <row r="2000" ht="24.75" customHeight="1" x14ac:dyDescent="0.3"/>
    <row r="2001" ht="24.75" customHeight="1" x14ac:dyDescent="0.3"/>
    <row r="2002" ht="24.75" customHeight="1" x14ac:dyDescent="0.3"/>
    <row r="2003" ht="24.75" customHeight="1" x14ac:dyDescent="0.3"/>
    <row r="2004" ht="24.75" customHeight="1" x14ac:dyDescent="0.3"/>
    <row r="2005" ht="24.75" customHeight="1" x14ac:dyDescent="0.3"/>
    <row r="2006" ht="24.75" customHeight="1" x14ac:dyDescent="0.3"/>
    <row r="2007" ht="24.75" customHeight="1" x14ac:dyDescent="0.3"/>
    <row r="2008" ht="24.75" customHeight="1" x14ac:dyDescent="0.3"/>
    <row r="2009" ht="24.75" customHeight="1" x14ac:dyDescent="0.3"/>
    <row r="2010" ht="24.75" customHeight="1" x14ac:dyDescent="0.3"/>
    <row r="2011" ht="24.75" customHeight="1" x14ac:dyDescent="0.3"/>
    <row r="2012" ht="24.75" customHeight="1" x14ac:dyDescent="0.3"/>
    <row r="2013" ht="24.75" customHeight="1" x14ac:dyDescent="0.3"/>
    <row r="2014" ht="24.75" customHeight="1" x14ac:dyDescent="0.3"/>
    <row r="2015" ht="24.75" customHeight="1" x14ac:dyDescent="0.3"/>
    <row r="2016" ht="24.75" customHeight="1" x14ac:dyDescent="0.3"/>
    <row r="2017" ht="24.75" customHeight="1" x14ac:dyDescent="0.3"/>
    <row r="2018" ht="24.75" customHeight="1" x14ac:dyDescent="0.3"/>
    <row r="2019" ht="24.75" customHeight="1" x14ac:dyDescent="0.3"/>
    <row r="2020" ht="24.75" customHeight="1" x14ac:dyDescent="0.3"/>
    <row r="2021" ht="24.75" customHeight="1" x14ac:dyDescent="0.3"/>
    <row r="2022" ht="24.75" customHeight="1" x14ac:dyDescent="0.3"/>
    <row r="2023" ht="24.75" customHeight="1" x14ac:dyDescent="0.3"/>
    <row r="2024" ht="24.75" customHeight="1" x14ac:dyDescent="0.3"/>
    <row r="2025" ht="24.75" customHeight="1" x14ac:dyDescent="0.3"/>
    <row r="2026" ht="24.75" customHeight="1" x14ac:dyDescent="0.3"/>
    <row r="2027" ht="24.75" customHeight="1" x14ac:dyDescent="0.3"/>
    <row r="2028" ht="24.75" customHeight="1" x14ac:dyDescent="0.3"/>
    <row r="2029" ht="24.75" customHeight="1" x14ac:dyDescent="0.3"/>
    <row r="2030" ht="24.75" customHeight="1" x14ac:dyDescent="0.3"/>
    <row r="2031" ht="24.75" customHeight="1" x14ac:dyDescent="0.3"/>
    <row r="2032" ht="24.75" customHeight="1" x14ac:dyDescent="0.3"/>
    <row r="2033" ht="24.75" customHeight="1" x14ac:dyDescent="0.3"/>
    <row r="2034" ht="24.75" customHeight="1" x14ac:dyDescent="0.3"/>
    <row r="2035" ht="24.75" customHeight="1" x14ac:dyDescent="0.3"/>
    <row r="2036" ht="24.75" customHeight="1" x14ac:dyDescent="0.3"/>
    <row r="2037" ht="24.75" customHeight="1" x14ac:dyDescent="0.3"/>
    <row r="2038" ht="24.75" customHeight="1" x14ac:dyDescent="0.3"/>
    <row r="2039" ht="24.75" customHeight="1" x14ac:dyDescent="0.3"/>
    <row r="2040" ht="24.75" customHeight="1" x14ac:dyDescent="0.3"/>
    <row r="2041" ht="24.75" customHeight="1" x14ac:dyDescent="0.3"/>
    <row r="2042" ht="24.75" customHeight="1" x14ac:dyDescent="0.3"/>
    <row r="2043" ht="24.75" customHeight="1" x14ac:dyDescent="0.3"/>
    <row r="2044" ht="24.75" customHeight="1" x14ac:dyDescent="0.3"/>
    <row r="2045" ht="24.75" customHeight="1" x14ac:dyDescent="0.3"/>
    <row r="2046" ht="24.75" customHeight="1" x14ac:dyDescent="0.3"/>
    <row r="2047" ht="24.75" customHeight="1" x14ac:dyDescent="0.3"/>
    <row r="2048" ht="24.75" customHeight="1" x14ac:dyDescent="0.3"/>
    <row r="2049" ht="24.75" customHeight="1" x14ac:dyDescent="0.3"/>
    <row r="2050" ht="24.75" customHeight="1" x14ac:dyDescent="0.3"/>
    <row r="2051" ht="24.75" customHeight="1" x14ac:dyDescent="0.3"/>
    <row r="2052" ht="24.75" customHeight="1" x14ac:dyDescent="0.3"/>
    <row r="2053" ht="24.75" customHeight="1" x14ac:dyDescent="0.3"/>
    <row r="2054" ht="24.75" customHeight="1" x14ac:dyDescent="0.3"/>
    <row r="2055" ht="24.75" customHeight="1" x14ac:dyDescent="0.3"/>
    <row r="2056" ht="24.75" customHeight="1" x14ac:dyDescent="0.3"/>
    <row r="2057" ht="24.75" customHeight="1" x14ac:dyDescent="0.3"/>
    <row r="2058" ht="24.75" customHeight="1" x14ac:dyDescent="0.3"/>
    <row r="2059" ht="24.75" customHeight="1" x14ac:dyDescent="0.3"/>
    <row r="2060" ht="24.75" customHeight="1" x14ac:dyDescent="0.3"/>
    <row r="2061" ht="24.75" customHeight="1" x14ac:dyDescent="0.3"/>
    <row r="2062" ht="24.75" customHeight="1" x14ac:dyDescent="0.3"/>
    <row r="2063" ht="24.75" customHeight="1" x14ac:dyDescent="0.3"/>
    <row r="2064" ht="24.75" customHeight="1" x14ac:dyDescent="0.3"/>
    <row r="2065" ht="24.75" customHeight="1" x14ac:dyDescent="0.3"/>
    <row r="2066" ht="24.75" customHeight="1" x14ac:dyDescent="0.3"/>
    <row r="2067" ht="24.75" customHeight="1" x14ac:dyDescent="0.3"/>
    <row r="2068" ht="24.75" customHeight="1" x14ac:dyDescent="0.3"/>
    <row r="2069" ht="24.75" customHeight="1" x14ac:dyDescent="0.3"/>
    <row r="2070" ht="24.75" customHeight="1" x14ac:dyDescent="0.3"/>
    <row r="2071" ht="24.75" customHeight="1" x14ac:dyDescent="0.3"/>
    <row r="2072" ht="24.75" customHeight="1" x14ac:dyDescent="0.3"/>
    <row r="2073" ht="24.75" customHeight="1" x14ac:dyDescent="0.3"/>
    <row r="2074" ht="24.75" customHeight="1" x14ac:dyDescent="0.3"/>
    <row r="2075" ht="24.75" customHeight="1" x14ac:dyDescent="0.3"/>
    <row r="2076" ht="24.75" customHeight="1" x14ac:dyDescent="0.3"/>
    <row r="2077" ht="24.75" customHeight="1" x14ac:dyDescent="0.3"/>
    <row r="2078" ht="24.75" customHeight="1" x14ac:dyDescent="0.3"/>
    <row r="2079" ht="24.75" customHeight="1" x14ac:dyDescent="0.3"/>
    <row r="2080" ht="24.75" customHeight="1" x14ac:dyDescent="0.3"/>
    <row r="2081" ht="24.75" customHeight="1" x14ac:dyDescent="0.3"/>
    <row r="2082" ht="24.75" customHeight="1" x14ac:dyDescent="0.3"/>
    <row r="2083" ht="24.75" customHeight="1" x14ac:dyDescent="0.3"/>
    <row r="2084" ht="24.75" customHeight="1" x14ac:dyDescent="0.3"/>
    <row r="2085" ht="24.75" customHeight="1" x14ac:dyDescent="0.3"/>
    <row r="2086" ht="24.75" customHeight="1" x14ac:dyDescent="0.3"/>
    <row r="2087" ht="24.75" customHeight="1" x14ac:dyDescent="0.3"/>
    <row r="2088" ht="24.75" customHeight="1" x14ac:dyDescent="0.3"/>
    <row r="2089" ht="24.75" customHeight="1" x14ac:dyDescent="0.3"/>
    <row r="2090" ht="24.75" customHeight="1" x14ac:dyDescent="0.3"/>
    <row r="2091" ht="24.75" customHeight="1" x14ac:dyDescent="0.3"/>
    <row r="2092" ht="24.75" customHeight="1" x14ac:dyDescent="0.3"/>
    <row r="2093" ht="24.75" customHeight="1" x14ac:dyDescent="0.3"/>
    <row r="2094" ht="24.75" customHeight="1" x14ac:dyDescent="0.3"/>
    <row r="2095" ht="24.75" customHeight="1" x14ac:dyDescent="0.3"/>
    <row r="2096" ht="24.75" customHeight="1" x14ac:dyDescent="0.3"/>
    <row r="2097" ht="24.75" customHeight="1" x14ac:dyDescent="0.3"/>
    <row r="2098" ht="24.75" customHeight="1" x14ac:dyDescent="0.3"/>
    <row r="2099" ht="24.75" customHeight="1" x14ac:dyDescent="0.3"/>
    <row r="2100" ht="24.75" customHeight="1" x14ac:dyDescent="0.3"/>
    <row r="2101" ht="24.75" customHeight="1" x14ac:dyDescent="0.3"/>
    <row r="2102" ht="24.75" customHeight="1" x14ac:dyDescent="0.3"/>
    <row r="2103" ht="24.75" customHeight="1" x14ac:dyDescent="0.3"/>
    <row r="2104" ht="24.75" customHeight="1" x14ac:dyDescent="0.3"/>
    <row r="2105" ht="24.75" customHeight="1" x14ac:dyDescent="0.3"/>
    <row r="2106" ht="24.75" customHeight="1" x14ac:dyDescent="0.3"/>
    <row r="2107" ht="24.75" customHeight="1" x14ac:dyDescent="0.3"/>
    <row r="2108" ht="24.75" customHeight="1" x14ac:dyDescent="0.3"/>
    <row r="2109" ht="24.75" customHeight="1" x14ac:dyDescent="0.3"/>
    <row r="2110" ht="24.75" customHeight="1" x14ac:dyDescent="0.3"/>
    <row r="2111" ht="24.75" customHeight="1" x14ac:dyDescent="0.3"/>
    <row r="2112" ht="24.75" customHeight="1" x14ac:dyDescent="0.3"/>
    <row r="2113" ht="24.75" customHeight="1" x14ac:dyDescent="0.3"/>
    <row r="2114" ht="24.75" customHeight="1" x14ac:dyDescent="0.3"/>
    <row r="2115" ht="24.75" customHeight="1" x14ac:dyDescent="0.3"/>
    <row r="2116" ht="24.75" customHeight="1" x14ac:dyDescent="0.3"/>
    <row r="2117" ht="24.75" customHeight="1" x14ac:dyDescent="0.3"/>
    <row r="2118" ht="24.75" customHeight="1" x14ac:dyDescent="0.3"/>
    <row r="2119" ht="24.75" customHeight="1" x14ac:dyDescent="0.3"/>
    <row r="2120" ht="24.75" customHeight="1" x14ac:dyDescent="0.3"/>
    <row r="2121" ht="24.75" customHeight="1" x14ac:dyDescent="0.3"/>
    <row r="2122" ht="24.75" customHeight="1" x14ac:dyDescent="0.3"/>
    <row r="2123" ht="24.75" customHeight="1" x14ac:dyDescent="0.3"/>
    <row r="2124" ht="24.75" customHeight="1" x14ac:dyDescent="0.3"/>
    <row r="2125" ht="24.75" customHeight="1" x14ac:dyDescent="0.3"/>
    <row r="2126" ht="24.75" customHeight="1" x14ac:dyDescent="0.3"/>
    <row r="2127" ht="24.75" customHeight="1" x14ac:dyDescent="0.3"/>
    <row r="2128" ht="24.75" customHeight="1" x14ac:dyDescent="0.3"/>
    <row r="2129" ht="24.75" customHeight="1" x14ac:dyDescent="0.3"/>
    <row r="2130" ht="24.75" customHeight="1" x14ac:dyDescent="0.3"/>
    <row r="2131" ht="24.75" customHeight="1" x14ac:dyDescent="0.3"/>
    <row r="2132" ht="24.75" customHeight="1" x14ac:dyDescent="0.3"/>
    <row r="2133" ht="24.75" customHeight="1" x14ac:dyDescent="0.3"/>
    <row r="2134" ht="24.75" customHeight="1" x14ac:dyDescent="0.3"/>
    <row r="2135" ht="24.75" customHeight="1" x14ac:dyDescent="0.3"/>
    <row r="2136" ht="24.75" customHeight="1" x14ac:dyDescent="0.3"/>
    <row r="2137" ht="24.75" customHeight="1" x14ac:dyDescent="0.3"/>
    <row r="2138" ht="24.75" customHeight="1" x14ac:dyDescent="0.3"/>
    <row r="2139" ht="24.75" customHeight="1" x14ac:dyDescent="0.3"/>
    <row r="2140" ht="24.75" customHeight="1" x14ac:dyDescent="0.3"/>
    <row r="2141" ht="24.75" customHeight="1" x14ac:dyDescent="0.3"/>
    <row r="2142" ht="24.75" customHeight="1" x14ac:dyDescent="0.3"/>
    <row r="2143" ht="24.75" customHeight="1" x14ac:dyDescent="0.3"/>
    <row r="2144" ht="24.75" customHeight="1" x14ac:dyDescent="0.3"/>
    <row r="2145" ht="24.75" customHeight="1" x14ac:dyDescent="0.3"/>
    <row r="2146" ht="24.75" customHeight="1" x14ac:dyDescent="0.3"/>
    <row r="2147" ht="24.75" customHeight="1" x14ac:dyDescent="0.3"/>
    <row r="2148" ht="24.75" customHeight="1" x14ac:dyDescent="0.3"/>
    <row r="2149" ht="24.75" customHeight="1" x14ac:dyDescent="0.3"/>
    <row r="2150" ht="24.75" customHeight="1" x14ac:dyDescent="0.3"/>
    <row r="2151" ht="24.75" customHeight="1" x14ac:dyDescent="0.3"/>
    <row r="2152" ht="24.75" customHeight="1" x14ac:dyDescent="0.3"/>
    <row r="2153" ht="24.75" customHeight="1" x14ac:dyDescent="0.3"/>
    <row r="2154" ht="24.75" customHeight="1" x14ac:dyDescent="0.3"/>
    <row r="2155" ht="24.75" customHeight="1" x14ac:dyDescent="0.3"/>
    <row r="2156" ht="24.75" customHeight="1" x14ac:dyDescent="0.3"/>
    <row r="2157" ht="24.75" customHeight="1" x14ac:dyDescent="0.3"/>
    <row r="2158" ht="24.75" customHeight="1" x14ac:dyDescent="0.3"/>
    <row r="2159" ht="24.75" customHeight="1" x14ac:dyDescent="0.3"/>
    <row r="2160" ht="24.75" customHeight="1" x14ac:dyDescent="0.3"/>
    <row r="2161" ht="24.75" customHeight="1" x14ac:dyDescent="0.3"/>
    <row r="2162" ht="24.75" customHeight="1" x14ac:dyDescent="0.3"/>
    <row r="2163" ht="24.75" customHeight="1" x14ac:dyDescent="0.3"/>
    <row r="2164" ht="24.75" customHeight="1" x14ac:dyDescent="0.3"/>
    <row r="2165" ht="24.75" customHeight="1" x14ac:dyDescent="0.3"/>
    <row r="2166" ht="24.75" customHeight="1" x14ac:dyDescent="0.3"/>
    <row r="2167" ht="24.75" customHeight="1" x14ac:dyDescent="0.3"/>
    <row r="2168" ht="24.75" customHeight="1" x14ac:dyDescent="0.3"/>
    <row r="2169" ht="24.75" customHeight="1" x14ac:dyDescent="0.3"/>
    <row r="2170" ht="24.75" customHeight="1" x14ac:dyDescent="0.3"/>
    <row r="2171" ht="24.75" customHeight="1" x14ac:dyDescent="0.3"/>
    <row r="2172" ht="24.75" customHeight="1" x14ac:dyDescent="0.3"/>
    <row r="2173" ht="24.75" customHeight="1" x14ac:dyDescent="0.3"/>
    <row r="2174" ht="24.75" customHeight="1" x14ac:dyDescent="0.3"/>
    <row r="2175" ht="24.75" customHeight="1" x14ac:dyDescent="0.3"/>
    <row r="2176" ht="24.75" customHeight="1" x14ac:dyDescent="0.3"/>
    <row r="2177" ht="24.75" customHeight="1" x14ac:dyDescent="0.3"/>
    <row r="2178" ht="24.75" customHeight="1" x14ac:dyDescent="0.3"/>
    <row r="2179" ht="24.75" customHeight="1" x14ac:dyDescent="0.3"/>
    <row r="2180" ht="24.75" customHeight="1" x14ac:dyDescent="0.3"/>
    <row r="2181" ht="24.75" customHeight="1" x14ac:dyDescent="0.3"/>
    <row r="2182" ht="24.75" customHeight="1" x14ac:dyDescent="0.3"/>
    <row r="2183" ht="24.75" customHeight="1" x14ac:dyDescent="0.3"/>
    <row r="2184" ht="24.75" customHeight="1" x14ac:dyDescent="0.3"/>
    <row r="2185" ht="24.75" customHeight="1" x14ac:dyDescent="0.3"/>
    <row r="2186" ht="24.75" customHeight="1" x14ac:dyDescent="0.3"/>
    <row r="2187" ht="24.75" customHeight="1" x14ac:dyDescent="0.3"/>
    <row r="2188" ht="24.75" customHeight="1" x14ac:dyDescent="0.3"/>
    <row r="2189" ht="24.75" customHeight="1" x14ac:dyDescent="0.3"/>
    <row r="2190" ht="24.75" customHeight="1" x14ac:dyDescent="0.3"/>
    <row r="2191" ht="24.75" customHeight="1" x14ac:dyDescent="0.3"/>
    <row r="2192" ht="24.75" customHeight="1" x14ac:dyDescent="0.3"/>
    <row r="2193" ht="24.75" customHeight="1" x14ac:dyDescent="0.3"/>
    <row r="2194" ht="24.75" customHeight="1" x14ac:dyDescent="0.3"/>
    <row r="2195" ht="24.75" customHeight="1" x14ac:dyDescent="0.3"/>
    <row r="2196" ht="24.75" customHeight="1" x14ac:dyDescent="0.3"/>
    <row r="2197" ht="24.75" customHeight="1" x14ac:dyDescent="0.3"/>
    <row r="2198" ht="24.75" customHeight="1" x14ac:dyDescent="0.3"/>
    <row r="2199" ht="24.75" customHeight="1" x14ac:dyDescent="0.3"/>
    <row r="2200" ht="24.75" customHeight="1" x14ac:dyDescent="0.3"/>
    <row r="2201" ht="24.75" customHeight="1" x14ac:dyDescent="0.3"/>
    <row r="2202" ht="24.75" customHeight="1" x14ac:dyDescent="0.3"/>
    <row r="2203" ht="24.75" customHeight="1" x14ac:dyDescent="0.3"/>
    <row r="2204" ht="24.75" customHeight="1" x14ac:dyDescent="0.3"/>
    <row r="2205" ht="24.75" customHeight="1" x14ac:dyDescent="0.3"/>
    <row r="2206" ht="24.75" customHeight="1" x14ac:dyDescent="0.3"/>
    <row r="2207" ht="24.75" customHeight="1" x14ac:dyDescent="0.3"/>
    <row r="2208" ht="24.75" customHeight="1" x14ac:dyDescent="0.3"/>
    <row r="2209" ht="24.75" customHeight="1" x14ac:dyDescent="0.3"/>
    <row r="2210" ht="24.75" customHeight="1" x14ac:dyDescent="0.3"/>
    <row r="2211" ht="24.75" customHeight="1" x14ac:dyDescent="0.3"/>
    <row r="2212" ht="24.75" customHeight="1" x14ac:dyDescent="0.3"/>
    <row r="2213" ht="24.75" customHeight="1" x14ac:dyDescent="0.3"/>
    <row r="2214" ht="24.75" customHeight="1" x14ac:dyDescent="0.3"/>
    <row r="2215" ht="24.75" customHeight="1" x14ac:dyDescent="0.3"/>
    <row r="2216" ht="24.75" customHeight="1" x14ac:dyDescent="0.3"/>
    <row r="2217" ht="24.75" customHeight="1" x14ac:dyDescent="0.3"/>
    <row r="2218" ht="24.75" customHeight="1" x14ac:dyDescent="0.3"/>
    <row r="2219" ht="24.75" customHeight="1" x14ac:dyDescent="0.3"/>
    <row r="2220" ht="24.75" customHeight="1" x14ac:dyDescent="0.3"/>
    <row r="2221" ht="24.75" customHeight="1" x14ac:dyDescent="0.3"/>
    <row r="2222" ht="24.75" customHeight="1" x14ac:dyDescent="0.3"/>
    <row r="2223" ht="24.75" customHeight="1" x14ac:dyDescent="0.3"/>
    <row r="2224" ht="24.75" customHeight="1" x14ac:dyDescent="0.3"/>
    <row r="2225" ht="24.75" customHeight="1" x14ac:dyDescent="0.3"/>
    <row r="2226" ht="24.75" customHeight="1" x14ac:dyDescent="0.3"/>
    <row r="2227" ht="24.75" customHeight="1" x14ac:dyDescent="0.3"/>
    <row r="2228" ht="24.75" customHeight="1" x14ac:dyDescent="0.3"/>
    <row r="2229" ht="24.75" customHeight="1" x14ac:dyDescent="0.3"/>
    <row r="2230" ht="24.75" customHeight="1" x14ac:dyDescent="0.3"/>
    <row r="2231" ht="24.75" customHeight="1" x14ac:dyDescent="0.3"/>
    <row r="2232" ht="24.75" customHeight="1" x14ac:dyDescent="0.3"/>
    <row r="2233" ht="24.75" customHeight="1" x14ac:dyDescent="0.3"/>
    <row r="2234" ht="24.75" customHeight="1" x14ac:dyDescent="0.3"/>
    <row r="2235" ht="24.75" customHeight="1" x14ac:dyDescent="0.3"/>
    <row r="2236" ht="24.75" customHeight="1" x14ac:dyDescent="0.3"/>
    <row r="2237" ht="24.75" customHeight="1" x14ac:dyDescent="0.3"/>
    <row r="2238" ht="24.75" customHeight="1" x14ac:dyDescent="0.3"/>
    <row r="2239" ht="24.75" customHeight="1" x14ac:dyDescent="0.3"/>
    <row r="2240" ht="24.75" customHeight="1" x14ac:dyDescent="0.3"/>
    <row r="2241" ht="24.75" customHeight="1" x14ac:dyDescent="0.3"/>
    <row r="2242" ht="24.75" customHeight="1" x14ac:dyDescent="0.3"/>
    <row r="2243" ht="24.75" customHeight="1" x14ac:dyDescent="0.3"/>
    <row r="2244" ht="24.75" customHeight="1" x14ac:dyDescent="0.3"/>
    <row r="2245" ht="24.75" customHeight="1" x14ac:dyDescent="0.3"/>
    <row r="2246" ht="24.75" customHeight="1" x14ac:dyDescent="0.3"/>
    <row r="2247" ht="24.75" customHeight="1" x14ac:dyDescent="0.3"/>
    <row r="2248" ht="24.75" customHeight="1" x14ac:dyDescent="0.3"/>
    <row r="2249" ht="24.75" customHeight="1" x14ac:dyDescent="0.3"/>
    <row r="2250" ht="24.75" customHeight="1" x14ac:dyDescent="0.3"/>
    <row r="2251" ht="24.75" customHeight="1" x14ac:dyDescent="0.3"/>
    <row r="2252" ht="24.75" customHeight="1" x14ac:dyDescent="0.3"/>
    <row r="2253" ht="24.75" customHeight="1" x14ac:dyDescent="0.3"/>
    <row r="2254" ht="24.75" customHeight="1" x14ac:dyDescent="0.3"/>
    <row r="2255" ht="24.75" customHeight="1" x14ac:dyDescent="0.3"/>
    <row r="2256" ht="24.75" customHeight="1" x14ac:dyDescent="0.3"/>
    <row r="2257" ht="24.75" customHeight="1" x14ac:dyDescent="0.3"/>
    <row r="2258" ht="24.75" customHeight="1" x14ac:dyDescent="0.3"/>
    <row r="2259" ht="24.75" customHeight="1" x14ac:dyDescent="0.3"/>
    <row r="2260" ht="24.75" customHeight="1" x14ac:dyDescent="0.3"/>
    <row r="2261" ht="24.75" customHeight="1" x14ac:dyDescent="0.3"/>
    <row r="2262" ht="24.75" customHeight="1" x14ac:dyDescent="0.3"/>
    <row r="2263" ht="24.75" customHeight="1" x14ac:dyDescent="0.3"/>
    <row r="2264" ht="24.75" customHeight="1" x14ac:dyDescent="0.3"/>
    <row r="2265" ht="24.75" customHeight="1" x14ac:dyDescent="0.3"/>
    <row r="2266" ht="24.75" customHeight="1" x14ac:dyDescent="0.3"/>
    <row r="2267" ht="24.75" customHeight="1" x14ac:dyDescent="0.3"/>
    <row r="2268" ht="24.75" customHeight="1" x14ac:dyDescent="0.3"/>
    <row r="2269" ht="24.75" customHeight="1" x14ac:dyDescent="0.3"/>
    <row r="2270" ht="24.75" customHeight="1" x14ac:dyDescent="0.3"/>
    <row r="2271" ht="24.75" customHeight="1" x14ac:dyDescent="0.3"/>
    <row r="2272" ht="24.75" customHeight="1" x14ac:dyDescent="0.3"/>
    <row r="2273" ht="24.75" customHeight="1" x14ac:dyDescent="0.3"/>
    <row r="2274" ht="24.75" customHeight="1" x14ac:dyDescent="0.3"/>
    <row r="2275" ht="24.75" customHeight="1" x14ac:dyDescent="0.3"/>
    <row r="2276" ht="24.75" customHeight="1" x14ac:dyDescent="0.3"/>
    <row r="2277" ht="24.75" customHeight="1" x14ac:dyDescent="0.3"/>
    <row r="2278" ht="24.75" customHeight="1" x14ac:dyDescent="0.3"/>
    <row r="2279" ht="24.75" customHeight="1" x14ac:dyDescent="0.3"/>
    <row r="2280" ht="24.75" customHeight="1" x14ac:dyDescent="0.3"/>
    <row r="2281" ht="24.75" customHeight="1" x14ac:dyDescent="0.3"/>
    <row r="2282" ht="24.75" customHeight="1" x14ac:dyDescent="0.3"/>
    <row r="2283" ht="24.75" customHeight="1" x14ac:dyDescent="0.3"/>
    <row r="2284" ht="24.75" customHeight="1" x14ac:dyDescent="0.3"/>
    <row r="2285" ht="24.75" customHeight="1" x14ac:dyDescent="0.3"/>
    <row r="2286" ht="24.75" customHeight="1" x14ac:dyDescent="0.3"/>
    <row r="2287" ht="24.75" customHeight="1" x14ac:dyDescent="0.3"/>
    <row r="2288" ht="24.75" customHeight="1" x14ac:dyDescent="0.3"/>
    <row r="2289" ht="24.75" customHeight="1" x14ac:dyDescent="0.3"/>
    <row r="2290" ht="24.75" customHeight="1" x14ac:dyDescent="0.3"/>
    <row r="2291" ht="24.75" customHeight="1" x14ac:dyDescent="0.3"/>
    <row r="2292" ht="24.75" customHeight="1" x14ac:dyDescent="0.3"/>
    <row r="2293" ht="24.75" customHeight="1" x14ac:dyDescent="0.3"/>
    <row r="2294" ht="24.75" customHeight="1" x14ac:dyDescent="0.3"/>
    <row r="2295" ht="24.75" customHeight="1" x14ac:dyDescent="0.3"/>
    <row r="2296" ht="24.75" customHeight="1" x14ac:dyDescent="0.3"/>
    <row r="2297" ht="24.75" customHeight="1" x14ac:dyDescent="0.3"/>
    <row r="2298" ht="24.75" customHeight="1" x14ac:dyDescent="0.3"/>
    <row r="2299" ht="24.75" customHeight="1" x14ac:dyDescent="0.3"/>
    <row r="2300" ht="24.75" customHeight="1" x14ac:dyDescent="0.3"/>
    <row r="2301" ht="24.75" customHeight="1" x14ac:dyDescent="0.3"/>
    <row r="2302" ht="24.75" customHeight="1" x14ac:dyDescent="0.3"/>
    <row r="2303" ht="24.75" customHeight="1" x14ac:dyDescent="0.3"/>
    <row r="2304" ht="24.75" customHeight="1" x14ac:dyDescent="0.3"/>
    <row r="2305" ht="24.75" customHeight="1" x14ac:dyDescent="0.3"/>
    <row r="2306" ht="24.75" customHeight="1" x14ac:dyDescent="0.3"/>
    <row r="2307" ht="24.75" customHeight="1" x14ac:dyDescent="0.3"/>
    <row r="2308" ht="24.75" customHeight="1" x14ac:dyDescent="0.3"/>
    <row r="2309" ht="24.75" customHeight="1" x14ac:dyDescent="0.3"/>
    <row r="2310" ht="24.75" customHeight="1" x14ac:dyDescent="0.3"/>
    <row r="2311" ht="24.75" customHeight="1" x14ac:dyDescent="0.3"/>
    <row r="2312" ht="24.75" customHeight="1" x14ac:dyDescent="0.3"/>
    <row r="2313" ht="24.75" customHeight="1" x14ac:dyDescent="0.3"/>
    <row r="2314" ht="24.75" customHeight="1" x14ac:dyDescent="0.3"/>
    <row r="2315" ht="24.75" customHeight="1" x14ac:dyDescent="0.3"/>
    <row r="2316" ht="24.75" customHeight="1" x14ac:dyDescent="0.3"/>
    <row r="2317" ht="24.75" customHeight="1" x14ac:dyDescent="0.3"/>
    <row r="2318" ht="24.75" customHeight="1" x14ac:dyDescent="0.3"/>
    <row r="2319" ht="24.75" customHeight="1" x14ac:dyDescent="0.3"/>
    <row r="2320" ht="24.75" customHeight="1" x14ac:dyDescent="0.3"/>
    <row r="2321" ht="24.75" customHeight="1" x14ac:dyDescent="0.3"/>
    <row r="2322" ht="24.75" customHeight="1" x14ac:dyDescent="0.3"/>
    <row r="2323" ht="24.75" customHeight="1" x14ac:dyDescent="0.3"/>
    <row r="2324" ht="24.75" customHeight="1" x14ac:dyDescent="0.3"/>
    <row r="2325" ht="24.75" customHeight="1" x14ac:dyDescent="0.3"/>
    <row r="2326" ht="24.75" customHeight="1" x14ac:dyDescent="0.3"/>
    <row r="2327" ht="24.75" customHeight="1" x14ac:dyDescent="0.3"/>
    <row r="2328" ht="24.75" customHeight="1" x14ac:dyDescent="0.3"/>
    <row r="2329" ht="24.75" customHeight="1" x14ac:dyDescent="0.3"/>
    <row r="2330" ht="24.75" customHeight="1" x14ac:dyDescent="0.3"/>
    <row r="2331" ht="24.75" customHeight="1" x14ac:dyDescent="0.3"/>
    <row r="2332" ht="24.75" customHeight="1" x14ac:dyDescent="0.3"/>
    <row r="2333" ht="24.75" customHeight="1" x14ac:dyDescent="0.3"/>
    <row r="2334" ht="24.75" customHeight="1" x14ac:dyDescent="0.3"/>
    <row r="2335" ht="24.75" customHeight="1" x14ac:dyDescent="0.3"/>
    <row r="2336" ht="24.75" customHeight="1" x14ac:dyDescent="0.3"/>
    <row r="2337" ht="24.75" customHeight="1" x14ac:dyDescent="0.3"/>
    <row r="2338" ht="24.75" customHeight="1" x14ac:dyDescent="0.3"/>
    <row r="2339" ht="24.75" customHeight="1" x14ac:dyDescent="0.3"/>
    <row r="2340" ht="24.75" customHeight="1" x14ac:dyDescent="0.3"/>
    <row r="2341" ht="24.75" customHeight="1" x14ac:dyDescent="0.3"/>
    <row r="2342" ht="24.75" customHeight="1" x14ac:dyDescent="0.3"/>
    <row r="2343" ht="24.75" customHeight="1" x14ac:dyDescent="0.3"/>
    <row r="2344" ht="24.75" customHeight="1" x14ac:dyDescent="0.3"/>
    <row r="2345" ht="24.75" customHeight="1" x14ac:dyDescent="0.3"/>
    <row r="2346" ht="24.75" customHeight="1" x14ac:dyDescent="0.3"/>
    <row r="2347" ht="24.75" customHeight="1" x14ac:dyDescent="0.3"/>
    <row r="2348" ht="24.75" customHeight="1" x14ac:dyDescent="0.3"/>
    <row r="2349" ht="24.75" customHeight="1" x14ac:dyDescent="0.3"/>
    <row r="2350" ht="24.75" customHeight="1" x14ac:dyDescent="0.3"/>
    <row r="2351" ht="24.75" customHeight="1" x14ac:dyDescent="0.3"/>
    <row r="2352" ht="24.75" customHeight="1" x14ac:dyDescent="0.3"/>
    <row r="2353" ht="24.75" customHeight="1" x14ac:dyDescent="0.3"/>
    <row r="2354" ht="24.75" customHeight="1" x14ac:dyDescent="0.3"/>
    <row r="2355" ht="24.75" customHeight="1" x14ac:dyDescent="0.3"/>
    <row r="2356" ht="24.75" customHeight="1" x14ac:dyDescent="0.3"/>
    <row r="2357" ht="24.75" customHeight="1" x14ac:dyDescent="0.3"/>
    <row r="2358" ht="24.75" customHeight="1" x14ac:dyDescent="0.3"/>
    <row r="2359" ht="24.75" customHeight="1" x14ac:dyDescent="0.3"/>
    <row r="2360" ht="24.75" customHeight="1" x14ac:dyDescent="0.3"/>
    <row r="2361" ht="24.75" customHeight="1" x14ac:dyDescent="0.3"/>
    <row r="2362" ht="24.75" customHeight="1" x14ac:dyDescent="0.3"/>
    <row r="2363" ht="24.75" customHeight="1" x14ac:dyDescent="0.3"/>
    <row r="2364" ht="24.75" customHeight="1" x14ac:dyDescent="0.3"/>
    <row r="2365" ht="24.75" customHeight="1" x14ac:dyDescent="0.3"/>
    <row r="2366" ht="24.75" customHeight="1" x14ac:dyDescent="0.3"/>
    <row r="2367" ht="24.75" customHeight="1" x14ac:dyDescent="0.3"/>
    <row r="2368" ht="24.75" customHeight="1" x14ac:dyDescent="0.3"/>
    <row r="2369" ht="24.75" customHeight="1" x14ac:dyDescent="0.3"/>
    <row r="2370" ht="24.75" customHeight="1" x14ac:dyDescent="0.3"/>
    <row r="2371" ht="24.75" customHeight="1" x14ac:dyDescent="0.3"/>
    <row r="2372" ht="24.75" customHeight="1" x14ac:dyDescent="0.3"/>
    <row r="2373" ht="24.75" customHeight="1" x14ac:dyDescent="0.3"/>
    <row r="2374" ht="24.75" customHeight="1" x14ac:dyDescent="0.3"/>
    <row r="2375" ht="24.75" customHeight="1" x14ac:dyDescent="0.3"/>
    <row r="2376" ht="24.75" customHeight="1" x14ac:dyDescent="0.3"/>
    <row r="2377" ht="24.75" customHeight="1" x14ac:dyDescent="0.3"/>
    <row r="2378" ht="24.75" customHeight="1" x14ac:dyDescent="0.3"/>
    <row r="2379" ht="24.75" customHeight="1" x14ac:dyDescent="0.3"/>
    <row r="2380" ht="24.75" customHeight="1" x14ac:dyDescent="0.3"/>
    <row r="2381" ht="24.75" customHeight="1" x14ac:dyDescent="0.3"/>
    <row r="2382" ht="24.75" customHeight="1" x14ac:dyDescent="0.3"/>
    <row r="2383" ht="24.75" customHeight="1" x14ac:dyDescent="0.3"/>
    <row r="2384" ht="24.75" customHeight="1" x14ac:dyDescent="0.3"/>
    <row r="2385" ht="24.75" customHeight="1" x14ac:dyDescent="0.3"/>
    <row r="2386" ht="24.75" customHeight="1" x14ac:dyDescent="0.3"/>
    <row r="2387" ht="24.75" customHeight="1" x14ac:dyDescent="0.3"/>
    <row r="2388" ht="24.75" customHeight="1" x14ac:dyDescent="0.3"/>
    <row r="2389" ht="24.75" customHeight="1" x14ac:dyDescent="0.3"/>
    <row r="2390" ht="24.75" customHeight="1" x14ac:dyDescent="0.3"/>
    <row r="2391" ht="24.75" customHeight="1" x14ac:dyDescent="0.3"/>
    <row r="2392" ht="24.75" customHeight="1" x14ac:dyDescent="0.3"/>
    <row r="2393" ht="24.75" customHeight="1" x14ac:dyDescent="0.3"/>
    <row r="2394" ht="24.75" customHeight="1" x14ac:dyDescent="0.3"/>
    <row r="2395" ht="24.75" customHeight="1" x14ac:dyDescent="0.3"/>
    <row r="2396" ht="24.75" customHeight="1" x14ac:dyDescent="0.3"/>
    <row r="2397" ht="24.75" customHeight="1" x14ac:dyDescent="0.3"/>
    <row r="2398" ht="24.75" customHeight="1" x14ac:dyDescent="0.3"/>
    <row r="2399" ht="24.75" customHeight="1" x14ac:dyDescent="0.3"/>
    <row r="2400" ht="24.75" customHeight="1" x14ac:dyDescent="0.3"/>
    <row r="2401" ht="24.75" customHeight="1" x14ac:dyDescent="0.3"/>
    <row r="2402" ht="24.75" customHeight="1" x14ac:dyDescent="0.3"/>
    <row r="2403" ht="24.75" customHeight="1" x14ac:dyDescent="0.3"/>
    <row r="2404" ht="24.75" customHeight="1" x14ac:dyDescent="0.3"/>
    <row r="2405" ht="24.75" customHeight="1" x14ac:dyDescent="0.3"/>
    <row r="2406" ht="24.75" customHeight="1" x14ac:dyDescent="0.3"/>
    <row r="2407" ht="24.75" customHeight="1" x14ac:dyDescent="0.3"/>
    <row r="2408" ht="24.75" customHeight="1" x14ac:dyDescent="0.3"/>
    <row r="2409" ht="24.75" customHeight="1" x14ac:dyDescent="0.3"/>
    <row r="2410" ht="24.75" customHeight="1" x14ac:dyDescent="0.3"/>
    <row r="2411" ht="24.75" customHeight="1" x14ac:dyDescent="0.3"/>
    <row r="2412" ht="24.75" customHeight="1" x14ac:dyDescent="0.3"/>
    <row r="2413" ht="24.75" customHeight="1" x14ac:dyDescent="0.3"/>
    <row r="2414" ht="24.75" customHeight="1" x14ac:dyDescent="0.3"/>
    <row r="2415" ht="24.75" customHeight="1" x14ac:dyDescent="0.3"/>
    <row r="2416" ht="24.75" customHeight="1" x14ac:dyDescent="0.3"/>
    <row r="2417" ht="24.75" customHeight="1" x14ac:dyDescent="0.3"/>
    <row r="2418" ht="24.75" customHeight="1" x14ac:dyDescent="0.3"/>
    <row r="2419" ht="24.75" customHeight="1" x14ac:dyDescent="0.3"/>
    <row r="2420" ht="24.75" customHeight="1" x14ac:dyDescent="0.3"/>
    <row r="2421" ht="24.75" customHeight="1" x14ac:dyDescent="0.3"/>
    <row r="2422" ht="24.75" customHeight="1" x14ac:dyDescent="0.3"/>
    <row r="2423" ht="24.75" customHeight="1" x14ac:dyDescent="0.3"/>
    <row r="2424" ht="24.75" customHeight="1" x14ac:dyDescent="0.3"/>
    <row r="2425" ht="24.75" customHeight="1" x14ac:dyDescent="0.3"/>
    <row r="2426" ht="24.75" customHeight="1" x14ac:dyDescent="0.3"/>
    <row r="2427" ht="24.75" customHeight="1" x14ac:dyDescent="0.3"/>
    <row r="2428" ht="24.75" customHeight="1" x14ac:dyDescent="0.3"/>
    <row r="2429" ht="24.75" customHeight="1" x14ac:dyDescent="0.3"/>
    <row r="2430" ht="24.75" customHeight="1" x14ac:dyDescent="0.3"/>
    <row r="2431" ht="24.75" customHeight="1" x14ac:dyDescent="0.3"/>
    <row r="2432" ht="24.75" customHeight="1" x14ac:dyDescent="0.3"/>
    <row r="2433" ht="24.75" customHeight="1" x14ac:dyDescent="0.3"/>
    <row r="2434" ht="24.75" customHeight="1" x14ac:dyDescent="0.3"/>
    <row r="2435" ht="24.75" customHeight="1" x14ac:dyDescent="0.3"/>
    <row r="2436" ht="24.75" customHeight="1" x14ac:dyDescent="0.3"/>
    <row r="2437" ht="24.75" customHeight="1" x14ac:dyDescent="0.3"/>
    <row r="2438" ht="24.75" customHeight="1" x14ac:dyDescent="0.3"/>
    <row r="2439" ht="24.75" customHeight="1" x14ac:dyDescent="0.3"/>
    <row r="2440" ht="24.75" customHeight="1" x14ac:dyDescent="0.3"/>
    <row r="2441" ht="24.75" customHeight="1" x14ac:dyDescent="0.3"/>
    <row r="2442" ht="24.75" customHeight="1" x14ac:dyDescent="0.3"/>
    <row r="2443" ht="24.75" customHeight="1" x14ac:dyDescent="0.3"/>
    <row r="2444" ht="24.75" customHeight="1" x14ac:dyDescent="0.3"/>
    <row r="2445" ht="24.75" customHeight="1" x14ac:dyDescent="0.3"/>
    <row r="2446" ht="24.75" customHeight="1" x14ac:dyDescent="0.3"/>
    <row r="2447" ht="24.75" customHeight="1" x14ac:dyDescent="0.3"/>
    <row r="2448" ht="24.75" customHeight="1" x14ac:dyDescent="0.3"/>
    <row r="2449" ht="24.75" customHeight="1" x14ac:dyDescent="0.3"/>
    <row r="2450" ht="24.75" customHeight="1" x14ac:dyDescent="0.3"/>
    <row r="2451" ht="24.75" customHeight="1" x14ac:dyDescent="0.3"/>
    <row r="2452" ht="24.75" customHeight="1" x14ac:dyDescent="0.3"/>
    <row r="2453" ht="24.75" customHeight="1" x14ac:dyDescent="0.3"/>
    <row r="2454" ht="24.75" customHeight="1" x14ac:dyDescent="0.3"/>
    <row r="2455" ht="24.75" customHeight="1" x14ac:dyDescent="0.3"/>
    <row r="2456" ht="24.75" customHeight="1" x14ac:dyDescent="0.3"/>
    <row r="2457" ht="24.75" customHeight="1" x14ac:dyDescent="0.3"/>
    <row r="2458" ht="24.75" customHeight="1" x14ac:dyDescent="0.3"/>
    <row r="2459" ht="24.75" customHeight="1" x14ac:dyDescent="0.3"/>
    <row r="2460" ht="24.75" customHeight="1" x14ac:dyDescent="0.3"/>
    <row r="2461" ht="24.75" customHeight="1" x14ac:dyDescent="0.3"/>
    <row r="2462" ht="24.75" customHeight="1" x14ac:dyDescent="0.3"/>
    <row r="2463" ht="24.75" customHeight="1" x14ac:dyDescent="0.3"/>
    <row r="2464" ht="24.75" customHeight="1" x14ac:dyDescent="0.3"/>
    <row r="2465" ht="24.75" customHeight="1" x14ac:dyDescent="0.3"/>
    <row r="2466" ht="24.75" customHeight="1" x14ac:dyDescent="0.3"/>
    <row r="2467" ht="24.75" customHeight="1" x14ac:dyDescent="0.3"/>
    <row r="2468" ht="24.75" customHeight="1" x14ac:dyDescent="0.3"/>
    <row r="2469" ht="24.75" customHeight="1" x14ac:dyDescent="0.3"/>
    <row r="2470" ht="24.75" customHeight="1" x14ac:dyDescent="0.3"/>
    <row r="2471" ht="24.75" customHeight="1" x14ac:dyDescent="0.3"/>
    <row r="2472" ht="24.75" customHeight="1" x14ac:dyDescent="0.3"/>
    <row r="2473" ht="24.75" customHeight="1" x14ac:dyDescent="0.3"/>
    <row r="2474" ht="24.75" customHeight="1" x14ac:dyDescent="0.3"/>
    <row r="2475" ht="24.75" customHeight="1" x14ac:dyDescent="0.3"/>
    <row r="2476" ht="24.75" customHeight="1" x14ac:dyDescent="0.3"/>
    <row r="2477" ht="24.75" customHeight="1" x14ac:dyDescent="0.3"/>
    <row r="2478" ht="24.75" customHeight="1" x14ac:dyDescent="0.3"/>
    <row r="2479" ht="24.75" customHeight="1" x14ac:dyDescent="0.3"/>
    <row r="2480" ht="24.75" customHeight="1" x14ac:dyDescent="0.3"/>
    <row r="2481" ht="24.75" customHeight="1" x14ac:dyDescent="0.3"/>
    <row r="2482" ht="24.75" customHeight="1" x14ac:dyDescent="0.3"/>
    <row r="2483" ht="24.75" customHeight="1" x14ac:dyDescent="0.3"/>
    <row r="2484" ht="24.75" customHeight="1" x14ac:dyDescent="0.3"/>
    <row r="2485" ht="24.75" customHeight="1" x14ac:dyDescent="0.3"/>
    <row r="2486" ht="24.75" customHeight="1" x14ac:dyDescent="0.3"/>
    <row r="2487" ht="24.75" customHeight="1" x14ac:dyDescent="0.3"/>
    <row r="2488" ht="24.75" customHeight="1" x14ac:dyDescent="0.3"/>
    <row r="2489" ht="24.75" customHeight="1" x14ac:dyDescent="0.3"/>
    <row r="2490" ht="24.75" customHeight="1" x14ac:dyDescent="0.3"/>
    <row r="2491" ht="24.75" customHeight="1" x14ac:dyDescent="0.3"/>
    <row r="2492" ht="24.75" customHeight="1" x14ac:dyDescent="0.3"/>
    <row r="2493" ht="24.75" customHeight="1" x14ac:dyDescent="0.3"/>
    <row r="2494" ht="24.75" customHeight="1" x14ac:dyDescent="0.3"/>
    <row r="2495" ht="24.75" customHeight="1" x14ac:dyDescent="0.3"/>
    <row r="2496" ht="24.75" customHeight="1" x14ac:dyDescent="0.3"/>
    <row r="2497" ht="24.75" customHeight="1" x14ac:dyDescent="0.3"/>
    <row r="2498" ht="24.75" customHeight="1" x14ac:dyDescent="0.3"/>
    <row r="2499" ht="24.75" customHeight="1" x14ac:dyDescent="0.3"/>
    <row r="2500" ht="24.75" customHeight="1" x14ac:dyDescent="0.3"/>
    <row r="2501" ht="24.75" customHeight="1" x14ac:dyDescent="0.3"/>
    <row r="2502" ht="24.75" customHeight="1" x14ac:dyDescent="0.3"/>
    <row r="2503" ht="24.75" customHeight="1" x14ac:dyDescent="0.3"/>
    <row r="2504" ht="24.75" customHeight="1" x14ac:dyDescent="0.3"/>
    <row r="2505" ht="24.75" customHeight="1" x14ac:dyDescent="0.3"/>
    <row r="2506" ht="24.75" customHeight="1" x14ac:dyDescent="0.3"/>
    <row r="2507" ht="24.75" customHeight="1" x14ac:dyDescent="0.3"/>
    <row r="2508" ht="24.75" customHeight="1" x14ac:dyDescent="0.3"/>
    <row r="2509" ht="24.75" customHeight="1" x14ac:dyDescent="0.3"/>
    <row r="2510" ht="24.75" customHeight="1" x14ac:dyDescent="0.3"/>
    <row r="2511" ht="24.75" customHeight="1" x14ac:dyDescent="0.3"/>
    <row r="2512" ht="24.75" customHeight="1" x14ac:dyDescent="0.3"/>
    <row r="2513" ht="24.75" customHeight="1" x14ac:dyDescent="0.3"/>
    <row r="2514" ht="24.75" customHeight="1" x14ac:dyDescent="0.3"/>
    <row r="2515" ht="24.75" customHeight="1" x14ac:dyDescent="0.3"/>
    <row r="2516" ht="24.75" customHeight="1" x14ac:dyDescent="0.3"/>
    <row r="2517" ht="24.75" customHeight="1" x14ac:dyDescent="0.3"/>
    <row r="2518" ht="24.75" customHeight="1" x14ac:dyDescent="0.3"/>
    <row r="2519" ht="24.75" customHeight="1" x14ac:dyDescent="0.3"/>
    <row r="2520" ht="24.75" customHeight="1" x14ac:dyDescent="0.3"/>
    <row r="2521" ht="24.75" customHeight="1" x14ac:dyDescent="0.3"/>
    <row r="2522" ht="24.75" customHeight="1" x14ac:dyDescent="0.3"/>
    <row r="2523" ht="24.75" customHeight="1" x14ac:dyDescent="0.3"/>
    <row r="2524" ht="24.75" customHeight="1" x14ac:dyDescent="0.3"/>
    <row r="2525" ht="24.75" customHeight="1" x14ac:dyDescent="0.3"/>
    <row r="2526" ht="24.75" customHeight="1" x14ac:dyDescent="0.3"/>
    <row r="2527" ht="24.75" customHeight="1" x14ac:dyDescent="0.3"/>
    <row r="2528" ht="24.75" customHeight="1" x14ac:dyDescent="0.3"/>
    <row r="2529" ht="24.75" customHeight="1" x14ac:dyDescent="0.3"/>
    <row r="2530" ht="24.75" customHeight="1" x14ac:dyDescent="0.3"/>
    <row r="2531" ht="24.75" customHeight="1" x14ac:dyDescent="0.3"/>
    <row r="2532" ht="24.75" customHeight="1" x14ac:dyDescent="0.3"/>
    <row r="2533" ht="24.75" customHeight="1" x14ac:dyDescent="0.3"/>
    <row r="2534" ht="24.75" customHeight="1" x14ac:dyDescent="0.3"/>
    <row r="2535" ht="24.75" customHeight="1" x14ac:dyDescent="0.3"/>
    <row r="2536" ht="24.75" customHeight="1" x14ac:dyDescent="0.3"/>
    <row r="2537" ht="24.75" customHeight="1" x14ac:dyDescent="0.3"/>
    <row r="2538" ht="24.75" customHeight="1" x14ac:dyDescent="0.3"/>
    <row r="2539" ht="24.75" customHeight="1" x14ac:dyDescent="0.3"/>
    <row r="2540" ht="24.75" customHeight="1" x14ac:dyDescent="0.3"/>
    <row r="2541" ht="24.75" customHeight="1" x14ac:dyDescent="0.3"/>
    <row r="2542" ht="24.75" customHeight="1" x14ac:dyDescent="0.3"/>
    <row r="2543" ht="24.75" customHeight="1" x14ac:dyDescent="0.3"/>
    <row r="2544" ht="24.75" customHeight="1" x14ac:dyDescent="0.3"/>
    <row r="2545" ht="24.75" customHeight="1" x14ac:dyDescent="0.3"/>
    <row r="2546" ht="24.75" customHeight="1" x14ac:dyDescent="0.3"/>
    <row r="2547" ht="24.75" customHeight="1" x14ac:dyDescent="0.3"/>
    <row r="2548" ht="24.75" customHeight="1" x14ac:dyDescent="0.3"/>
    <row r="2549" ht="24.75" customHeight="1" x14ac:dyDescent="0.3"/>
    <row r="2550" ht="24.75" customHeight="1" x14ac:dyDescent="0.3"/>
    <row r="2551" ht="24.75" customHeight="1" x14ac:dyDescent="0.3"/>
    <row r="2552" ht="24.75" customHeight="1" x14ac:dyDescent="0.3"/>
    <row r="2553" ht="24.75" customHeight="1" x14ac:dyDescent="0.3"/>
    <row r="2554" ht="24.75" customHeight="1" x14ac:dyDescent="0.3"/>
    <row r="2555" ht="24.75" customHeight="1" x14ac:dyDescent="0.3"/>
    <row r="2556" ht="24.75" customHeight="1" x14ac:dyDescent="0.3"/>
    <row r="2557" ht="24.75" customHeight="1" x14ac:dyDescent="0.3"/>
    <row r="2558" ht="24.75" customHeight="1" x14ac:dyDescent="0.3"/>
    <row r="2559" ht="24.75" customHeight="1" x14ac:dyDescent="0.3"/>
    <row r="2560" ht="24.75" customHeight="1" x14ac:dyDescent="0.3"/>
    <row r="2561" ht="24.75" customHeight="1" x14ac:dyDescent="0.3"/>
    <row r="2562" ht="24.75" customHeight="1" x14ac:dyDescent="0.3"/>
    <row r="2563" ht="24.75" customHeight="1" x14ac:dyDescent="0.3"/>
    <row r="2564" ht="24.75" customHeight="1" x14ac:dyDescent="0.3"/>
    <row r="2565" ht="24.75" customHeight="1" x14ac:dyDescent="0.3"/>
    <row r="2566" ht="24.75" customHeight="1" x14ac:dyDescent="0.3"/>
    <row r="2567" ht="24.75" customHeight="1" x14ac:dyDescent="0.3"/>
    <row r="2568" ht="24.75" customHeight="1" x14ac:dyDescent="0.3"/>
    <row r="2569" ht="24.75" customHeight="1" x14ac:dyDescent="0.3"/>
    <row r="2570" ht="24.75" customHeight="1" x14ac:dyDescent="0.3"/>
    <row r="2571" ht="24.75" customHeight="1" x14ac:dyDescent="0.3"/>
    <row r="2572" ht="24.75" customHeight="1" x14ac:dyDescent="0.3"/>
    <row r="2573" ht="24.75" customHeight="1" x14ac:dyDescent="0.3"/>
    <row r="2574" ht="24.75" customHeight="1" x14ac:dyDescent="0.3"/>
    <row r="2575" ht="24.75" customHeight="1" x14ac:dyDescent="0.3"/>
    <row r="2576" ht="24.75" customHeight="1" x14ac:dyDescent="0.3"/>
    <row r="2577" ht="24.75" customHeight="1" x14ac:dyDescent="0.3"/>
    <row r="2578" ht="24.75" customHeight="1" x14ac:dyDescent="0.3"/>
    <row r="2579" ht="24.75" customHeight="1" x14ac:dyDescent="0.3"/>
    <row r="2580" ht="24.75" customHeight="1" x14ac:dyDescent="0.3"/>
    <row r="2581" ht="24.75" customHeight="1" x14ac:dyDescent="0.3"/>
    <row r="2582" ht="24.75" customHeight="1" x14ac:dyDescent="0.3"/>
    <row r="2583" ht="24.75" customHeight="1" x14ac:dyDescent="0.3"/>
    <row r="2584" ht="24.75" customHeight="1" x14ac:dyDescent="0.3"/>
    <row r="2585" ht="24.75" customHeight="1" x14ac:dyDescent="0.3"/>
    <row r="2586" ht="24.75" customHeight="1" x14ac:dyDescent="0.3"/>
    <row r="2587" ht="24.75" customHeight="1" x14ac:dyDescent="0.3"/>
    <row r="2588" ht="24.75" customHeight="1" x14ac:dyDescent="0.3"/>
    <row r="2589" ht="24.75" customHeight="1" x14ac:dyDescent="0.3"/>
    <row r="2590" ht="24.75" customHeight="1" x14ac:dyDescent="0.3"/>
    <row r="2591" ht="24.75" customHeight="1" x14ac:dyDescent="0.3"/>
    <row r="2592" ht="24.75" customHeight="1" x14ac:dyDescent="0.3"/>
    <row r="2593" ht="24.75" customHeight="1" x14ac:dyDescent="0.3"/>
    <row r="2594" ht="24.75" customHeight="1" x14ac:dyDescent="0.3"/>
    <row r="2595" ht="24.75" customHeight="1" x14ac:dyDescent="0.3"/>
    <row r="2596" ht="24.75" customHeight="1" x14ac:dyDescent="0.3"/>
    <row r="2597" ht="24.75" customHeight="1" x14ac:dyDescent="0.3"/>
    <row r="2598" ht="24.75" customHeight="1" x14ac:dyDescent="0.3"/>
    <row r="2599" ht="24.75" customHeight="1" x14ac:dyDescent="0.3"/>
    <row r="2600" ht="24.75" customHeight="1" x14ac:dyDescent="0.3"/>
    <row r="2601" ht="24.75" customHeight="1" x14ac:dyDescent="0.3"/>
    <row r="2602" ht="24.75" customHeight="1" x14ac:dyDescent="0.3"/>
    <row r="2603" ht="24.75" customHeight="1" x14ac:dyDescent="0.3"/>
    <row r="2604" ht="24.75" customHeight="1" x14ac:dyDescent="0.3"/>
    <row r="2605" ht="24.75" customHeight="1" x14ac:dyDescent="0.3"/>
    <row r="2606" ht="24.75" customHeight="1" x14ac:dyDescent="0.3"/>
    <row r="2607" ht="24.75" customHeight="1" x14ac:dyDescent="0.3"/>
    <row r="2608" ht="24.75" customHeight="1" x14ac:dyDescent="0.3"/>
    <row r="2609" ht="24.75" customHeight="1" x14ac:dyDescent="0.3"/>
    <row r="2610" ht="24.75" customHeight="1" x14ac:dyDescent="0.3"/>
    <row r="2611" ht="24.75" customHeight="1" x14ac:dyDescent="0.3"/>
    <row r="2612" ht="24.75" customHeight="1" x14ac:dyDescent="0.3"/>
    <row r="2613" ht="24.75" customHeight="1" x14ac:dyDescent="0.3"/>
    <row r="2614" ht="24.75" customHeight="1" x14ac:dyDescent="0.3"/>
    <row r="2615" ht="24.75" customHeight="1" x14ac:dyDescent="0.3"/>
    <row r="2616" ht="24.75" customHeight="1" x14ac:dyDescent="0.3"/>
    <row r="2617" ht="24.75" customHeight="1" x14ac:dyDescent="0.3"/>
    <row r="2618" ht="24.75" customHeight="1" x14ac:dyDescent="0.3"/>
    <row r="2619" ht="24.75" customHeight="1" x14ac:dyDescent="0.3"/>
    <row r="2620" ht="24.75" customHeight="1" x14ac:dyDescent="0.3"/>
    <row r="2621" ht="24.75" customHeight="1" x14ac:dyDescent="0.3"/>
    <row r="2622" ht="24.75" customHeight="1" x14ac:dyDescent="0.3"/>
    <row r="2623" ht="24.75" customHeight="1" x14ac:dyDescent="0.3"/>
    <row r="2624" ht="24.75" customHeight="1" x14ac:dyDescent="0.3"/>
    <row r="2625" ht="24.75" customHeight="1" x14ac:dyDescent="0.3"/>
    <row r="2626" ht="24.75" customHeight="1" x14ac:dyDescent="0.3"/>
    <row r="2627" ht="24.75" customHeight="1" x14ac:dyDescent="0.3"/>
    <row r="2628" ht="24.75" customHeight="1" x14ac:dyDescent="0.3"/>
    <row r="2629" ht="24.75" customHeight="1" x14ac:dyDescent="0.3"/>
    <row r="2630" ht="24.75" customHeight="1" x14ac:dyDescent="0.3"/>
    <row r="2631" ht="24.75" customHeight="1" x14ac:dyDescent="0.3"/>
    <row r="2632" ht="24.75" customHeight="1" x14ac:dyDescent="0.3"/>
    <row r="2633" ht="24.75" customHeight="1" x14ac:dyDescent="0.3"/>
    <row r="2634" ht="24.75" customHeight="1" x14ac:dyDescent="0.3"/>
    <row r="2635" ht="24.75" customHeight="1" x14ac:dyDescent="0.3"/>
    <row r="2636" ht="24.75" customHeight="1" x14ac:dyDescent="0.3"/>
    <row r="2637" ht="24.75" customHeight="1" x14ac:dyDescent="0.3"/>
    <row r="2638" ht="24.75" customHeight="1" x14ac:dyDescent="0.3"/>
    <row r="2639" ht="24.75" customHeight="1" x14ac:dyDescent="0.3"/>
    <row r="2640" ht="24.75" customHeight="1" x14ac:dyDescent="0.3"/>
    <row r="2641" ht="24.75" customHeight="1" x14ac:dyDescent="0.3"/>
    <row r="2642" ht="24.75" customHeight="1" x14ac:dyDescent="0.3"/>
    <row r="2643" ht="24.75" customHeight="1" x14ac:dyDescent="0.3"/>
    <row r="2644" ht="24.75" customHeight="1" x14ac:dyDescent="0.3"/>
    <row r="2645" ht="24.75" customHeight="1" x14ac:dyDescent="0.3"/>
    <row r="2646" ht="24.75" customHeight="1" x14ac:dyDescent="0.3"/>
    <row r="2647" ht="24.75" customHeight="1" x14ac:dyDescent="0.3"/>
    <row r="2648" ht="24.75" customHeight="1" x14ac:dyDescent="0.3"/>
    <row r="2649" ht="24.75" customHeight="1" x14ac:dyDescent="0.3"/>
    <row r="2650" ht="24.75" customHeight="1" x14ac:dyDescent="0.3"/>
    <row r="2651" ht="24.75" customHeight="1" x14ac:dyDescent="0.3"/>
    <row r="2652" ht="24.75" customHeight="1" x14ac:dyDescent="0.3"/>
    <row r="2653" ht="24.75" customHeight="1" x14ac:dyDescent="0.3"/>
    <row r="2654" ht="24.75" customHeight="1" x14ac:dyDescent="0.3"/>
    <row r="2655" ht="24.75" customHeight="1" x14ac:dyDescent="0.3"/>
    <row r="2656" ht="24.75" customHeight="1" x14ac:dyDescent="0.3"/>
    <row r="2657" ht="24.75" customHeight="1" x14ac:dyDescent="0.3"/>
    <row r="2658" ht="24.75" customHeight="1" x14ac:dyDescent="0.3"/>
    <row r="2659" ht="24.75" customHeight="1" x14ac:dyDescent="0.3"/>
    <row r="2660" ht="24.75" customHeight="1" x14ac:dyDescent="0.3"/>
    <row r="2661" ht="24.75" customHeight="1" x14ac:dyDescent="0.3"/>
    <row r="2662" ht="24.75" customHeight="1" x14ac:dyDescent="0.3"/>
    <row r="2663" ht="24.75" customHeight="1" x14ac:dyDescent="0.3"/>
    <row r="2664" ht="24.75" customHeight="1" x14ac:dyDescent="0.3"/>
    <row r="2665" ht="24.75" customHeight="1" x14ac:dyDescent="0.3"/>
    <row r="2666" ht="24.75" customHeight="1" x14ac:dyDescent="0.3"/>
    <row r="2667" ht="24.75" customHeight="1" x14ac:dyDescent="0.3"/>
    <row r="2668" ht="24.75" customHeight="1" x14ac:dyDescent="0.3"/>
    <row r="2669" ht="24.75" customHeight="1" x14ac:dyDescent="0.3"/>
    <row r="2670" ht="24.75" customHeight="1" x14ac:dyDescent="0.3"/>
    <row r="2671" ht="24.75" customHeight="1" x14ac:dyDescent="0.3"/>
    <row r="2672" ht="24.75" customHeight="1" x14ac:dyDescent="0.3"/>
    <row r="2673" ht="24.75" customHeight="1" x14ac:dyDescent="0.3"/>
    <row r="2674" ht="24.75" customHeight="1" x14ac:dyDescent="0.3"/>
    <row r="2675" ht="24.75" customHeight="1" x14ac:dyDescent="0.3"/>
    <row r="2676" ht="24.75" customHeight="1" x14ac:dyDescent="0.3"/>
    <row r="2677" ht="24.75" customHeight="1" x14ac:dyDescent="0.3"/>
    <row r="2678" ht="24.75" customHeight="1" x14ac:dyDescent="0.3"/>
    <row r="2679" ht="24.75" customHeight="1" x14ac:dyDescent="0.3"/>
    <row r="2680" ht="24.75" customHeight="1" x14ac:dyDescent="0.3"/>
    <row r="2681" ht="24.75" customHeight="1" x14ac:dyDescent="0.3"/>
    <row r="2682" ht="24.75" customHeight="1" x14ac:dyDescent="0.3"/>
    <row r="2683" ht="24.75" customHeight="1" x14ac:dyDescent="0.3"/>
    <row r="2684" ht="24.75" customHeight="1" x14ac:dyDescent="0.3"/>
    <row r="2685" ht="24.75" customHeight="1" x14ac:dyDescent="0.3"/>
    <row r="2686" ht="24.75" customHeight="1" x14ac:dyDescent="0.3"/>
    <row r="2687" ht="24.75" customHeight="1" x14ac:dyDescent="0.3"/>
    <row r="2688" ht="24.75" customHeight="1" x14ac:dyDescent="0.3"/>
    <row r="2689" ht="24.75" customHeight="1" x14ac:dyDescent="0.3"/>
    <row r="2690" ht="24.75" customHeight="1" x14ac:dyDescent="0.3"/>
    <row r="2691" ht="24.75" customHeight="1" x14ac:dyDescent="0.3"/>
    <row r="2692" ht="24.75" customHeight="1" x14ac:dyDescent="0.3"/>
    <row r="2693" ht="24.75" customHeight="1" x14ac:dyDescent="0.3"/>
    <row r="2694" ht="24.75" customHeight="1" x14ac:dyDescent="0.3"/>
    <row r="2695" ht="24.75" customHeight="1" x14ac:dyDescent="0.3"/>
    <row r="2696" ht="24.75" customHeight="1" x14ac:dyDescent="0.3"/>
    <row r="2697" ht="24.75" customHeight="1" x14ac:dyDescent="0.3"/>
    <row r="2698" ht="24.75" customHeight="1" x14ac:dyDescent="0.3"/>
    <row r="2699" ht="24.75" customHeight="1" x14ac:dyDescent="0.3"/>
    <row r="2700" ht="24.75" customHeight="1" x14ac:dyDescent="0.3"/>
    <row r="2701" ht="24.75" customHeight="1" x14ac:dyDescent="0.3"/>
    <row r="2702" ht="24.75" customHeight="1" x14ac:dyDescent="0.3"/>
    <row r="2703" ht="24.75" customHeight="1" x14ac:dyDescent="0.3"/>
    <row r="2704" ht="24.75" customHeight="1" x14ac:dyDescent="0.3"/>
    <row r="2705" ht="24.75" customHeight="1" x14ac:dyDescent="0.3"/>
    <row r="2706" ht="24.75" customHeight="1" x14ac:dyDescent="0.3"/>
    <row r="2707" ht="24.75" customHeight="1" x14ac:dyDescent="0.3"/>
    <row r="2708" ht="24.75" customHeight="1" x14ac:dyDescent="0.3"/>
    <row r="2709" ht="24.75" customHeight="1" x14ac:dyDescent="0.3"/>
    <row r="2710" ht="24.75" customHeight="1" x14ac:dyDescent="0.3"/>
    <row r="2711" ht="24.75" customHeight="1" x14ac:dyDescent="0.3"/>
    <row r="2712" ht="24.75" customHeight="1" x14ac:dyDescent="0.3"/>
    <row r="2713" ht="24.75" customHeight="1" x14ac:dyDescent="0.3"/>
    <row r="2714" ht="24.75" customHeight="1" x14ac:dyDescent="0.3"/>
    <row r="2715" ht="24.75" customHeight="1" x14ac:dyDescent="0.3"/>
    <row r="2716" ht="24.75" customHeight="1" x14ac:dyDescent="0.3"/>
    <row r="2717" ht="24.75" customHeight="1" x14ac:dyDescent="0.3"/>
    <row r="2718" ht="24.75" customHeight="1" x14ac:dyDescent="0.3"/>
    <row r="2719" ht="24.75" customHeight="1" x14ac:dyDescent="0.3"/>
    <row r="2720" ht="24.75" customHeight="1" x14ac:dyDescent="0.3"/>
    <row r="2721" ht="24.75" customHeight="1" x14ac:dyDescent="0.3"/>
    <row r="2722" ht="24.75" customHeight="1" x14ac:dyDescent="0.3"/>
    <row r="2723" ht="24.75" customHeight="1" x14ac:dyDescent="0.3"/>
    <row r="2724" ht="24.75" customHeight="1" x14ac:dyDescent="0.3"/>
    <row r="2725" ht="24.75" customHeight="1" x14ac:dyDescent="0.3"/>
    <row r="2726" ht="24.75" customHeight="1" x14ac:dyDescent="0.3"/>
    <row r="2727" ht="24.75" customHeight="1" x14ac:dyDescent="0.3"/>
    <row r="2728" ht="24.75" customHeight="1" x14ac:dyDescent="0.3"/>
    <row r="2729" ht="24.75" customHeight="1" x14ac:dyDescent="0.3"/>
    <row r="2730" ht="24.75" customHeight="1" x14ac:dyDescent="0.3"/>
    <row r="2731" ht="24.75" customHeight="1" x14ac:dyDescent="0.3"/>
    <row r="2732" ht="24.75" customHeight="1" x14ac:dyDescent="0.3"/>
    <row r="2733" ht="24.75" customHeight="1" x14ac:dyDescent="0.3"/>
    <row r="2734" ht="24.75" customHeight="1" x14ac:dyDescent="0.3"/>
    <row r="2735" ht="24.75" customHeight="1" x14ac:dyDescent="0.3"/>
    <row r="2736" ht="24.75" customHeight="1" x14ac:dyDescent="0.3"/>
    <row r="2737" ht="24.75" customHeight="1" x14ac:dyDescent="0.3"/>
    <row r="2738" ht="24.75" customHeight="1" x14ac:dyDescent="0.3"/>
    <row r="2739" ht="24.75" customHeight="1" x14ac:dyDescent="0.3"/>
    <row r="2740" ht="24.75" customHeight="1" x14ac:dyDescent="0.3"/>
    <row r="2741" ht="24.75" customHeight="1" x14ac:dyDescent="0.3"/>
    <row r="2742" ht="24.75" customHeight="1" x14ac:dyDescent="0.3"/>
    <row r="2743" ht="24.75" customHeight="1" x14ac:dyDescent="0.3"/>
    <row r="2744" ht="24.75" customHeight="1" x14ac:dyDescent="0.3"/>
    <row r="2745" ht="24.75" customHeight="1" x14ac:dyDescent="0.3"/>
    <row r="2746" ht="24.75" customHeight="1" x14ac:dyDescent="0.3"/>
    <row r="2747" ht="24.75" customHeight="1" x14ac:dyDescent="0.3"/>
    <row r="2748" ht="24.75" customHeight="1" x14ac:dyDescent="0.3"/>
    <row r="2749" ht="24.75" customHeight="1" x14ac:dyDescent="0.3"/>
    <row r="2750" ht="24.75" customHeight="1" x14ac:dyDescent="0.3"/>
    <row r="2751" ht="24.75" customHeight="1" x14ac:dyDescent="0.3"/>
    <row r="2752" ht="24.75" customHeight="1" x14ac:dyDescent="0.3"/>
    <row r="2753" ht="24.75" customHeight="1" x14ac:dyDescent="0.3"/>
    <row r="2754" ht="24.75" customHeight="1" x14ac:dyDescent="0.3"/>
    <row r="2755" ht="24.75" customHeight="1" x14ac:dyDescent="0.3"/>
    <row r="2756" ht="24.75" customHeight="1" x14ac:dyDescent="0.3"/>
    <row r="2757" ht="24.75" customHeight="1" x14ac:dyDescent="0.3"/>
    <row r="2758" ht="24.75" customHeight="1" x14ac:dyDescent="0.3"/>
    <row r="2759" ht="24.75" customHeight="1" x14ac:dyDescent="0.3"/>
    <row r="2760" ht="24.75" customHeight="1" x14ac:dyDescent="0.3"/>
    <row r="2761" ht="24.75" customHeight="1" x14ac:dyDescent="0.3"/>
    <row r="2762" ht="24.75" customHeight="1" x14ac:dyDescent="0.3"/>
    <row r="2763" ht="24.75" customHeight="1" x14ac:dyDescent="0.3"/>
    <row r="2764" ht="24.75" customHeight="1" x14ac:dyDescent="0.3"/>
    <row r="2765" ht="24.75" customHeight="1" x14ac:dyDescent="0.3"/>
    <row r="2766" ht="24.75" customHeight="1" x14ac:dyDescent="0.3"/>
    <row r="2767" ht="24.75" customHeight="1" x14ac:dyDescent="0.3"/>
    <row r="2768" ht="24.75" customHeight="1" x14ac:dyDescent="0.3"/>
    <row r="2769" ht="24.75" customHeight="1" x14ac:dyDescent="0.3"/>
    <row r="2770" ht="24.75" customHeight="1" x14ac:dyDescent="0.3"/>
    <row r="2771" ht="24.75" customHeight="1" x14ac:dyDescent="0.3"/>
    <row r="2772" ht="24.75" customHeight="1" x14ac:dyDescent="0.3"/>
    <row r="2773" ht="24.75" customHeight="1" x14ac:dyDescent="0.3"/>
    <row r="2774" ht="24.75" customHeight="1" x14ac:dyDescent="0.3"/>
    <row r="2775" ht="24.75" customHeight="1" x14ac:dyDescent="0.3"/>
    <row r="2776" ht="24.75" customHeight="1" x14ac:dyDescent="0.3"/>
    <row r="2777" ht="24.75" customHeight="1" x14ac:dyDescent="0.3"/>
    <row r="2778" ht="24.75" customHeight="1" x14ac:dyDescent="0.3"/>
    <row r="2779" ht="24.75" customHeight="1" x14ac:dyDescent="0.3"/>
    <row r="2780" ht="24.75" customHeight="1" x14ac:dyDescent="0.3"/>
    <row r="2781" ht="24.75" customHeight="1" x14ac:dyDescent="0.3"/>
    <row r="2782" ht="24.75" customHeight="1" x14ac:dyDescent="0.3"/>
    <row r="2783" ht="24.75" customHeight="1" x14ac:dyDescent="0.3"/>
    <row r="2784" ht="24.75" customHeight="1" x14ac:dyDescent="0.3"/>
    <row r="2785" ht="24.75" customHeight="1" x14ac:dyDescent="0.3"/>
    <row r="2786" ht="24.75" customHeight="1" x14ac:dyDescent="0.3"/>
    <row r="2787" ht="24.75" customHeight="1" x14ac:dyDescent="0.3"/>
    <row r="2788" ht="24.75" customHeight="1" x14ac:dyDescent="0.3"/>
    <row r="2789" ht="24.75" customHeight="1" x14ac:dyDescent="0.3"/>
    <row r="2790" ht="24.75" customHeight="1" x14ac:dyDescent="0.3"/>
    <row r="2791" ht="24.75" customHeight="1" x14ac:dyDescent="0.3"/>
    <row r="2792" ht="24.75" customHeight="1" x14ac:dyDescent="0.3"/>
    <row r="2793" ht="24.75" customHeight="1" x14ac:dyDescent="0.3"/>
    <row r="2794" ht="24.75" customHeight="1" x14ac:dyDescent="0.3"/>
    <row r="2795" ht="24.75" customHeight="1" x14ac:dyDescent="0.3"/>
    <row r="2796" ht="24.75" customHeight="1" x14ac:dyDescent="0.3"/>
    <row r="2797" ht="24.75" customHeight="1" x14ac:dyDescent="0.3"/>
    <row r="2798" ht="24.75" customHeight="1" x14ac:dyDescent="0.3"/>
    <row r="2799" ht="24.75" customHeight="1" x14ac:dyDescent="0.3"/>
    <row r="2800" ht="24.75" customHeight="1" x14ac:dyDescent="0.3"/>
    <row r="2801" ht="24.75" customHeight="1" x14ac:dyDescent="0.3"/>
    <row r="2802" ht="24.75" customHeight="1" x14ac:dyDescent="0.3"/>
    <row r="2803" ht="24.75" customHeight="1" x14ac:dyDescent="0.3"/>
    <row r="2804" ht="24.75" customHeight="1" x14ac:dyDescent="0.3"/>
    <row r="2805" ht="24.75" customHeight="1" x14ac:dyDescent="0.3"/>
    <row r="2806" ht="24.75" customHeight="1" x14ac:dyDescent="0.3"/>
    <row r="2807" ht="24.75" customHeight="1" x14ac:dyDescent="0.3"/>
    <row r="2808" ht="24.75" customHeight="1" x14ac:dyDescent="0.3"/>
    <row r="2809" ht="24.75" customHeight="1" x14ac:dyDescent="0.3"/>
    <row r="2810" ht="24.75" customHeight="1" x14ac:dyDescent="0.3"/>
    <row r="2811" ht="24.75" customHeight="1" x14ac:dyDescent="0.3"/>
    <row r="2812" ht="24.75" customHeight="1" x14ac:dyDescent="0.3"/>
    <row r="2813" ht="24.75" customHeight="1" x14ac:dyDescent="0.3"/>
    <row r="2814" ht="24.75" customHeight="1" x14ac:dyDescent="0.3"/>
    <row r="2815" ht="24.75" customHeight="1" x14ac:dyDescent="0.3"/>
    <row r="2816" ht="24.75" customHeight="1" x14ac:dyDescent="0.3"/>
    <row r="2817" ht="24.75" customHeight="1" x14ac:dyDescent="0.3"/>
    <row r="2818" ht="24.75" customHeight="1" x14ac:dyDescent="0.3"/>
    <row r="2819" ht="24.75" customHeight="1" x14ac:dyDescent="0.3"/>
    <row r="2820" ht="24.75" customHeight="1" x14ac:dyDescent="0.3"/>
    <row r="2821" ht="24.75" customHeight="1" x14ac:dyDescent="0.3"/>
    <row r="2822" ht="24.75" customHeight="1" x14ac:dyDescent="0.3"/>
    <row r="2823" ht="24.75" customHeight="1" x14ac:dyDescent="0.3"/>
    <row r="2824" ht="24.75" customHeight="1" x14ac:dyDescent="0.3"/>
    <row r="2825" ht="24.75" customHeight="1" x14ac:dyDescent="0.3"/>
    <row r="2826" ht="24.75" customHeight="1" x14ac:dyDescent="0.3"/>
    <row r="2827" ht="24.75" customHeight="1" x14ac:dyDescent="0.3"/>
    <row r="2828" ht="24.75" customHeight="1" x14ac:dyDescent="0.3"/>
    <row r="2829" ht="24.75" customHeight="1" x14ac:dyDescent="0.3"/>
    <row r="2830" ht="24.75" customHeight="1" x14ac:dyDescent="0.3"/>
    <row r="2831" ht="24.75" customHeight="1" x14ac:dyDescent="0.3"/>
    <row r="2832" ht="24.75" customHeight="1" x14ac:dyDescent="0.3"/>
    <row r="2833" ht="24.75" customHeight="1" x14ac:dyDescent="0.3"/>
    <row r="2834" ht="24.75" customHeight="1" x14ac:dyDescent="0.3"/>
    <row r="2835" ht="24.75" customHeight="1" x14ac:dyDescent="0.3"/>
    <row r="2836" ht="24.75" customHeight="1" x14ac:dyDescent="0.3"/>
    <row r="2837" ht="24.75" customHeight="1" x14ac:dyDescent="0.3"/>
    <row r="2838" ht="24.75" customHeight="1" x14ac:dyDescent="0.3"/>
    <row r="2839" ht="24.75" customHeight="1" x14ac:dyDescent="0.3"/>
    <row r="2840" ht="24.75" customHeight="1" x14ac:dyDescent="0.3"/>
    <row r="2841" ht="24.75" customHeight="1" x14ac:dyDescent="0.3"/>
    <row r="2842" ht="24.75" customHeight="1" x14ac:dyDescent="0.3"/>
    <row r="2843" ht="24.75" customHeight="1" x14ac:dyDescent="0.3"/>
    <row r="2844" ht="24.75" customHeight="1" x14ac:dyDescent="0.3"/>
    <row r="2845" ht="24.75" customHeight="1" x14ac:dyDescent="0.3"/>
    <row r="2846" ht="24.75" customHeight="1" x14ac:dyDescent="0.3"/>
    <row r="2847" ht="24.75" customHeight="1" x14ac:dyDescent="0.3"/>
    <row r="2848" ht="24.75" customHeight="1" x14ac:dyDescent="0.3"/>
    <row r="2849" ht="24.75" customHeight="1" x14ac:dyDescent="0.3"/>
    <row r="2850" ht="24.75" customHeight="1" x14ac:dyDescent="0.3"/>
    <row r="2851" ht="24.75" customHeight="1" x14ac:dyDescent="0.3"/>
    <row r="2852" ht="24.75" customHeight="1" x14ac:dyDescent="0.3"/>
    <row r="2853" ht="24.75" customHeight="1" x14ac:dyDescent="0.3"/>
    <row r="2854" ht="24.75" customHeight="1" x14ac:dyDescent="0.3"/>
    <row r="2855" ht="24.75" customHeight="1" x14ac:dyDescent="0.3"/>
    <row r="2856" ht="24.75" customHeight="1" x14ac:dyDescent="0.3"/>
    <row r="2857" ht="24.75" customHeight="1" x14ac:dyDescent="0.3"/>
    <row r="2858" ht="24.75" customHeight="1" x14ac:dyDescent="0.3"/>
    <row r="2859" ht="24.75" customHeight="1" x14ac:dyDescent="0.3"/>
    <row r="2860" ht="24.75" customHeight="1" x14ac:dyDescent="0.3"/>
    <row r="2861" ht="24.75" customHeight="1" x14ac:dyDescent="0.3"/>
    <row r="2862" ht="24.75" customHeight="1" x14ac:dyDescent="0.3"/>
    <row r="2863" ht="24.75" customHeight="1" x14ac:dyDescent="0.3"/>
    <row r="2864" ht="24.75" customHeight="1" x14ac:dyDescent="0.3"/>
    <row r="2865" ht="24.75" customHeight="1" x14ac:dyDescent="0.3"/>
    <row r="2866" ht="24.75" customHeight="1" x14ac:dyDescent="0.3"/>
    <row r="2867" ht="24.75" customHeight="1" x14ac:dyDescent="0.3"/>
    <row r="2868" ht="24.75" customHeight="1" x14ac:dyDescent="0.3"/>
    <row r="2869" ht="24.75" customHeight="1" x14ac:dyDescent="0.3"/>
    <row r="2870" ht="24.75" customHeight="1" x14ac:dyDescent="0.3"/>
    <row r="2871" ht="24.75" customHeight="1" x14ac:dyDescent="0.3"/>
    <row r="2872" ht="24.75" customHeight="1" x14ac:dyDescent="0.3"/>
    <row r="2873" ht="24.75" customHeight="1" x14ac:dyDescent="0.3"/>
    <row r="2874" ht="24.75" customHeight="1" x14ac:dyDescent="0.3"/>
    <row r="2875" ht="24.75" customHeight="1" x14ac:dyDescent="0.3"/>
    <row r="2876" ht="24.75" customHeight="1" x14ac:dyDescent="0.3"/>
    <row r="2877" ht="24.75" customHeight="1" x14ac:dyDescent="0.3"/>
    <row r="2878" ht="24.75" customHeight="1" x14ac:dyDescent="0.3"/>
    <row r="2879" ht="24.75" customHeight="1" x14ac:dyDescent="0.3"/>
    <row r="2880" ht="24.75" customHeight="1" x14ac:dyDescent="0.3"/>
    <row r="2881" ht="24.75" customHeight="1" x14ac:dyDescent="0.3"/>
    <row r="2882" ht="24.75" customHeight="1" x14ac:dyDescent="0.3"/>
    <row r="2883" ht="24.75" customHeight="1" x14ac:dyDescent="0.3"/>
    <row r="2884" ht="24.75" customHeight="1" x14ac:dyDescent="0.3"/>
    <row r="2885" ht="24.75" customHeight="1" x14ac:dyDescent="0.3"/>
    <row r="2886" ht="24.75" customHeight="1" x14ac:dyDescent="0.3"/>
    <row r="2887" ht="24.75" customHeight="1" x14ac:dyDescent="0.3"/>
    <row r="2888" ht="24.75" customHeight="1" x14ac:dyDescent="0.3"/>
    <row r="2889" ht="24.75" customHeight="1" x14ac:dyDescent="0.3"/>
    <row r="2890" ht="24.75" customHeight="1" x14ac:dyDescent="0.3"/>
    <row r="2891" ht="24.75" customHeight="1" x14ac:dyDescent="0.3"/>
    <row r="2892" ht="24.75" customHeight="1" x14ac:dyDescent="0.3"/>
    <row r="2893" ht="24.75" customHeight="1" x14ac:dyDescent="0.3"/>
    <row r="2894" ht="24.75" customHeight="1" x14ac:dyDescent="0.3"/>
    <row r="2895" ht="24.75" customHeight="1" x14ac:dyDescent="0.3"/>
    <row r="2896" ht="24.75" customHeight="1" x14ac:dyDescent="0.3"/>
    <row r="2897" ht="24.75" customHeight="1" x14ac:dyDescent="0.3"/>
    <row r="2898" ht="24.75" customHeight="1" x14ac:dyDescent="0.3"/>
    <row r="2899" ht="24.75" customHeight="1" x14ac:dyDescent="0.3"/>
    <row r="2900" ht="24.75" customHeight="1" x14ac:dyDescent="0.3"/>
    <row r="2901" ht="24.75" customHeight="1" x14ac:dyDescent="0.3"/>
    <row r="2902" ht="24.75" customHeight="1" x14ac:dyDescent="0.3"/>
    <row r="2903" ht="24.75" customHeight="1" x14ac:dyDescent="0.3"/>
    <row r="2904" ht="24.75" customHeight="1" x14ac:dyDescent="0.3"/>
    <row r="2905" ht="24.75" customHeight="1" x14ac:dyDescent="0.3"/>
    <row r="2906" ht="24.75" customHeight="1" x14ac:dyDescent="0.3"/>
    <row r="2907" ht="24.75" customHeight="1" x14ac:dyDescent="0.3"/>
    <row r="2908" ht="24.75" customHeight="1" x14ac:dyDescent="0.3"/>
    <row r="2909" ht="24.75" customHeight="1" x14ac:dyDescent="0.3"/>
    <row r="2910" ht="24.75" customHeight="1" x14ac:dyDescent="0.3"/>
    <row r="2911" ht="24.75" customHeight="1" x14ac:dyDescent="0.3"/>
    <row r="2912" ht="24.75" customHeight="1" x14ac:dyDescent="0.3"/>
    <row r="2913" ht="24.75" customHeight="1" x14ac:dyDescent="0.3"/>
    <row r="2914" ht="24.75" customHeight="1" x14ac:dyDescent="0.3"/>
    <row r="2915" ht="24.75" customHeight="1" x14ac:dyDescent="0.3"/>
    <row r="2916" ht="24.75" customHeight="1" x14ac:dyDescent="0.3"/>
    <row r="2917" ht="24.75" customHeight="1" x14ac:dyDescent="0.3"/>
    <row r="2918" ht="24.75" customHeight="1" x14ac:dyDescent="0.3"/>
    <row r="2919" ht="24.75" customHeight="1" x14ac:dyDescent="0.3"/>
    <row r="2920" ht="24.75" customHeight="1" x14ac:dyDescent="0.3"/>
    <row r="2921" ht="24.75" customHeight="1" x14ac:dyDescent="0.3"/>
    <row r="2922" ht="24.75" customHeight="1" x14ac:dyDescent="0.3"/>
    <row r="2923" ht="24.75" customHeight="1" x14ac:dyDescent="0.3"/>
    <row r="2924" ht="24.75" customHeight="1" x14ac:dyDescent="0.3"/>
    <row r="2925" ht="24.75" customHeight="1" x14ac:dyDescent="0.3"/>
    <row r="2926" ht="24.75" customHeight="1" x14ac:dyDescent="0.3"/>
    <row r="2927" ht="24.75" customHeight="1" x14ac:dyDescent="0.3"/>
    <row r="2928" ht="24.75" customHeight="1" x14ac:dyDescent="0.3"/>
    <row r="2929" ht="24.75" customHeight="1" x14ac:dyDescent="0.3"/>
    <row r="2930" ht="24.75" customHeight="1" x14ac:dyDescent="0.3"/>
    <row r="2931" ht="24.75" customHeight="1" x14ac:dyDescent="0.3"/>
    <row r="2932" ht="24.75" customHeight="1" x14ac:dyDescent="0.3"/>
    <row r="2933" ht="24.75" customHeight="1" x14ac:dyDescent="0.3"/>
    <row r="2934" ht="24.75" customHeight="1" x14ac:dyDescent="0.3"/>
    <row r="2935" ht="24.75" customHeight="1" x14ac:dyDescent="0.3"/>
    <row r="2936" ht="24.75" customHeight="1" x14ac:dyDescent="0.3"/>
    <row r="2937" ht="24.75" customHeight="1" x14ac:dyDescent="0.3"/>
    <row r="2938" ht="24.75" customHeight="1" x14ac:dyDescent="0.3"/>
    <row r="2939" ht="24.75" customHeight="1" x14ac:dyDescent="0.3"/>
    <row r="2940" ht="24.75" customHeight="1" x14ac:dyDescent="0.3"/>
    <row r="2941" ht="24.75" customHeight="1" x14ac:dyDescent="0.3"/>
    <row r="2942" ht="24.75" customHeight="1" x14ac:dyDescent="0.3"/>
    <row r="2943" ht="24.75" customHeight="1" x14ac:dyDescent="0.3"/>
    <row r="2944" ht="24.75" customHeight="1" x14ac:dyDescent="0.3"/>
    <row r="2945" ht="24.75" customHeight="1" x14ac:dyDescent="0.3"/>
    <row r="2946" ht="24.75" customHeight="1" x14ac:dyDescent="0.3"/>
    <row r="2947" ht="24.75" customHeight="1" x14ac:dyDescent="0.3"/>
    <row r="2948" ht="24.75" customHeight="1" x14ac:dyDescent="0.3"/>
    <row r="2949" ht="24.75" customHeight="1" x14ac:dyDescent="0.3"/>
    <row r="2950" ht="24.75" customHeight="1" x14ac:dyDescent="0.3"/>
    <row r="2951" ht="24.75" customHeight="1" x14ac:dyDescent="0.3"/>
    <row r="2952" ht="24.75" customHeight="1" x14ac:dyDescent="0.3"/>
    <row r="2953" ht="24.75" customHeight="1" x14ac:dyDescent="0.3"/>
    <row r="2954" ht="24.75" customHeight="1" x14ac:dyDescent="0.3"/>
    <row r="2955" ht="24.75" customHeight="1" x14ac:dyDescent="0.3"/>
    <row r="2956" ht="24.75" customHeight="1" x14ac:dyDescent="0.3"/>
    <row r="2957" ht="24.75" customHeight="1" x14ac:dyDescent="0.3"/>
    <row r="2958" ht="24.75" customHeight="1" x14ac:dyDescent="0.3"/>
    <row r="2959" ht="24.75" customHeight="1" x14ac:dyDescent="0.3"/>
    <row r="2960" ht="24.75" customHeight="1" x14ac:dyDescent="0.3"/>
    <row r="2961" ht="24.75" customHeight="1" x14ac:dyDescent="0.3"/>
    <row r="2962" ht="24.75" customHeight="1" x14ac:dyDescent="0.3"/>
    <row r="2963" ht="24.75" customHeight="1" x14ac:dyDescent="0.3"/>
    <row r="2964" ht="24.75" customHeight="1" x14ac:dyDescent="0.3"/>
    <row r="2965" ht="24.75" customHeight="1" x14ac:dyDescent="0.3"/>
    <row r="2966" ht="24.75" customHeight="1" x14ac:dyDescent="0.3"/>
    <row r="2967" ht="24.75" customHeight="1" x14ac:dyDescent="0.3"/>
    <row r="2968" ht="24.75" customHeight="1" x14ac:dyDescent="0.3"/>
    <row r="2969" ht="24.75" customHeight="1" x14ac:dyDescent="0.3"/>
    <row r="2970" ht="24.75" customHeight="1" x14ac:dyDescent="0.3"/>
    <row r="2971" ht="24.75" customHeight="1" x14ac:dyDescent="0.3"/>
    <row r="2972" ht="24.75" customHeight="1" x14ac:dyDescent="0.3"/>
    <row r="2973" ht="24.75" customHeight="1" x14ac:dyDescent="0.3"/>
    <row r="2974" ht="24.75" customHeight="1" x14ac:dyDescent="0.3"/>
    <row r="2975" ht="24.75" customHeight="1" x14ac:dyDescent="0.3"/>
    <row r="2976" ht="24.75" customHeight="1" x14ac:dyDescent="0.3"/>
    <row r="2977" ht="24.75" customHeight="1" x14ac:dyDescent="0.3"/>
    <row r="2978" ht="24.75" customHeight="1" x14ac:dyDescent="0.3"/>
    <row r="2979" ht="24.75" customHeight="1" x14ac:dyDescent="0.3"/>
    <row r="2980" ht="24.75" customHeight="1" x14ac:dyDescent="0.3"/>
    <row r="2981" ht="24.75" customHeight="1" x14ac:dyDescent="0.3"/>
    <row r="2982" ht="24.75" customHeight="1" x14ac:dyDescent="0.3"/>
    <row r="2983" ht="24.75" customHeight="1" x14ac:dyDescent="0.3"/>
    <row r="2984" ht="24.75" customHeight="1" x14ac:dyDescent="0.3"/>
    <row r="2985" ht="24.75" customHeight="1" x14ac:dyDescent="0.3"/>
    <row r="2986" ht="24.75" customHeight="1" x14ac:dyDescent="0.3"/>
    <row r="2987" ht="24.75" customHeight="1" x14ac:dyDescent="0.3"/>
    <row r="2988" ht="24.75" customHeight="1" x14ac:dyDescent="0.3"/>
    <row r="2989" ht="24.75" customHeight="1" x14ac:dyDescent="0.3"/>
    <row r="2990" ht="24.75" customHeight="1" x14ac:dyDescent="0.3"/>
    <row r="2991" ht="24.75" customHeight="1" x14ac:dyDescent="0.3"/>
    <row r="2992" ht="24.75" customHeight="1" x14ac:dyDescent="0.3"/>
    <row r="2993" ht="24.75" customHeight="1" x14ac:dyDescent="0.3"/>
    <row r="2994" ht="24.75" customHeight="1" x14ac:dyDescent="0.3"/>
    <row r="2995" ht="24.75" customHeight="1" x14ac:dyDescent="0.3"/>
    <row r="2996" ht="24.75" customHeight="1" x14ac:dyDescent="0.3"/>
    <row r="2997" ht="24.75" customHeight="1" x14ac:dyDescent="0.3"/>
    <row r="2998" ht="24.75" customHeight="1" x14ac:dyDescent="0.3"/>
    <row r="2999" ht="24.75" customHeight="1" x14ac:dyDescent="0.3"/>
    <row r="3000" ht="24.75" customHeight="1" x14ac:dyDescent="0.3"/>
    <row r="3001" ht="24.75" customHeight="1" x14ac:dyDescent="0.3"/>
    <row r="3002" ht="24.75" customHeight="1" x14ac:dyDescent="0.3"/>
    <row r="3003" ht="24.75" customHeight="1" x14ac:dyDescent="0.3"/>
    <row r="3004" ht="24.75" customHeight="1" x14ac:dyDescent="0.3"/>
    <row r="3005" ht="24.75" customHeight="1" x14ac:dyDescent="0.3"/>
    <row r="3006" ht="24.75" customHeight="1" x14ac:dyDescent="0.3"/>
    <row r="3007" ht="24.75" customHeight="1" x14ac:dyDescent="0.3"/>
    <row r="3008" ht="24.75" customHeight="1" x14ac:dyDescent="0.3"/>
    <row r="3009" ht="24.75" customHeight="1" x14ac:dyDescent="0.3"/>
    <row r="3010" ht="24.75" customHeight="1" x14ac:dyDescent="0.3"/>
    <row r="3011" ht="24.75" customHeight="1" x14ac:dyDescent="0.3"/>
    <row r="3012" ht="24.75" customHeight="1" x14ac:dyDescent="0.3"/>
    <row r="3013" ht="24.75" customHeight="1" x14ac:dyDescent="0.3"/>
    <row r="3014" ht="24.75" customHeight="1" x14ac:dyDescent="0.3"/>
    <row r="3015" ht="24.75" customHeight="1" x14ac:dyDescent="0.3"/>
    <row r="3016" ht="24.75" customHeight="1" x14ac:dyDescent="0.3"/>
    <row r="3017" ht="24.75" customHeight="1" x14ac:dyDescent="0.3"/>
    <row r="3018" ht="24.75" customHeight="1" x14ac:dyDescent="0.3"/>
    <row r="3019" ht="24.75" customHeight="1" x14ac:dyDescent="0.3"/>
    <row r="3020" ht="24.75" customHeight="1" x14ac:dyDescent="0.3"/>
    <row r="3021" ht="24.75" customHeight="1" x14ac:dyDescent="0.3"/>
    <row r="3022" ht="24.75" customHeight="1" x14ac:dyDescent="0.3"/>
    <row r="3023" ht="24.75" customHeight="1" x14ac:dyDescent="0.3"/>
    <row r="3024" ht="24.75" customHeight="1" x14ac:dyDescent="0.3"/>
    <row r="3025" ht="24.75" customHeight="1" x14ac:dyDescent="0.3"/>
    <row r="3026" ht="24.75" customHeight="1" x14ac:dyDescent="0.3"/>
    <row r="3027" ht="24.75" customHeight="1" x14ac:dyDescent="0.3"/>
    <row r="3028" ht="24.75" customHeight="1" x14ac:dyDescent="0.3"/>
    <row r="3029" ht="24.75" customHeight="1" x14ac:dyDescent="0.3"/>
    <row r="3030" ht="24.75" customHeight="1" x14ac:dyDescent="0.3"/>
    <row r="3031" ht="24.75" customHeight="1" x14ac:dyDescent="0.3"/>
    <row r="3032" ht="24.75" customHeight="1" x14ac:dyDescent="0.3"/>
    <row r="3033" ht="24.75" customHeight="1" x14ac:dyDescent="0.3"/>
    <row r="3034" ht="24.75" customHeight="1" x14ac:dyDescent="0.3"/>
    <row r="3035" ht="24.75" customHeight="1" x14ac:dyDescent="0.3"/>
    <row r="3036" ht="24.75" customHeight="1" x14ac:dyDescent="0.3"/>
    <row r="3037" ht="24.75" customHeight="1" x14ac:dyDescent="0.3"/>
    <row r="3038" ht="24.75" customHeight="1" x14ac:dyDescent="0.3"/>
    <row r="3039" ht="24.75" customHeight="1" x14ac:dyDescent="0.3"/>
    <row r="3040" ht="24.75" customHeight="1" x14ac:dyDescent="0.3"/>
    <row r="3041" ht="24.75" customHeight="1" x14ac:dyDescent="0.3"/>
    <row r="3042" ht="24.75" customHeight="1" x14ac:dyDescent="0.3"/>
    <row r="3043" ht="24.75" customHeight="1" x14ac:dyDescent="0.3"/>
    <row r="3044" ht="24.75" customHeight="1" x14ac:dyDescent="0.3"/>
    <row r="3045" ht="24.75" customHeight="1" x14ac:dyDescent="0.3"/>
    <row r="3046" ht="24.75" customHeight="1" x14ac:dyDescent="0.3"/>
    <row r="3047" ht="24.75" customHeight="1" x14ac:dyDescent="0.3"/>
    <row r="3048" ht="24.75" customHeight="1" x14ac:dyDescent="0.3"/>
    <row r="3049" ht="24.75" customHeight="1" x14ac:dyDescent="0.3"/>
    <row r="3050" ht="24.75" customHeight="1" x14ac:dyDescent="0.3"/>
    <row r="3051" ht="24.75" customHeight="1" x14ac:dyDescent="0.3"/>
    <row r="3052" ht="24.75" customHeight="1" x14ac:dyDescent="0.3"/>
    <row r="3053" ht="24.75" customHeight="1" x14ac:dyDescent="0.3"/>
    <row r="3054" ht="24.75" customHeight="1" x14ac:dyDescent="0.3"/>
    <row r="3055" ht="24.75" customHeight="1" x14ac:dyDescent="0.3"/>
    <row r="3056" ht="24.75" customHeight="1" x14ac:dyDescent="0.3"/>
    <row r="3057" ht="24.75" customHeight="1" x14ac:dyDescent="0.3"/>
    <row r="3058" ht="24.75" customHeight="1" x14ac:dyDescent="0.3"/>
    <row r="3059" ht="24.75" customHeight="1" x14ac:dyDescent="0.3"/>
    <row r="3060" ht="24.75" customHeight="1" x14ac:dyDescent="0.3"/>
    <row r="3061" ht="24.75" customHeight="1" x14ac:dyDescent="0.3"/>
    <row r="3062" ht="24.75" customHeight="1" x14ac:dyDescent="0.3"/>
    <row r="3063" ht="24.75" customHeight="1" x14ac:dyDescent="0.3"/>
    <row r="3064" ht="24.75" customHeight="1" x14ac:dyDescent="0.3"/>
    <row r="3065" ht="24.75" customHeight="1" x14ac:dyDescent="0.3"/>
    <row r="3066" ht="24.75" customHeight="1" x14ac:dyDescent="0.3"/>
    <row r="3067" ht="24.75" customHeight="1" x14ac:dyDescent="0.3"/>
    <row r="3068" ht="24.75" customHeight="1" x14ac:dyDescent="0.3"/>
    <row r="3069" ht="24.75" customHeight="1" x14ac:dyDescent="0.3"/>
    <row r="3070" ht="24.75" customHeight="1" x14ac:dyDescent="0.3"/>
    <row r="3071" ht="24.75" customHeight="1" x14ac:dyDescent="0.3"/>
    <row r="3072" ht="24.75" customHeight="1" x14ac:dyDescent="0.3"/>
    <row r="3073" ht="24.75" customHeight="1" x14ac:dyDescent="0.3"/>
    <row r="3074" ht="24.75" customHeight="1" x14ac:dyDescent="0.3"/>
    <row r="3075" ht="24.75" customHeight="1" x14ac:dyDescent="0.3"/>
    <row r="3076" ht="24.75" customHeight="1" x14ac:dyDescent="0.3"/>
    <row r="3077" ht="24.75" customHeight="1" x14ac:dyDescent="0.3"/>
    <row r="3078" ht="24.75" customHeight="1" x14ac:dyDescent="0.3"/>
    <row r="3079" ht="24.75" customHeight="1" x14ac:dyDescent="0.3"/>
    <row r="3080" ht="24.75" customHeight="1" x14ac:dyDescent="0.3"/>
    <row r="3081" ht="24.75" customHeight="1" x14ac:dyDescent="0.3"/>
    <row r="3082" ht="24.75" customHeight="1" x14ac:dyDescent="0.3"/>
    <row r="3083" ht="24.75" customHeight="1" x14ac:dyDescent="0.3"/>
    <row r="3084" ht="24.75" customHeight="1" x14ac:dyDescent="0.3"/>
    <row r="3085" ht="24.75" customHeight="1" x14ac:dyDescent="0.3"/>
    <row r="3086" ht="24.75" customHeight="1" x14ac:dyDescent="0.3"/>
    <row r="3087" ht="24.75" customHeight="1" x14ac:dyDescent="0.3"/>
    <row r="3088" ht="24.75" customHeight="1" x14ac:dyDescent="0.3"/>
    <row r="3089" ht="24.75" customHeight="1" x14ac:dyDescent="0.3"/>
    <row r="3090" ht="24.75" customHeight="1" x14ac:dyDescent="0.3"/>
    <row r="3091" ht="24.75" customHeight="1" x14ac:dyDescent="0.3"/>
    <row r="3092" ht="24.75" customHeight="1" x14ac:dyDescent="0.3"/>
    <row r="3093" ht="24.75" customHeight="1" x14ac:dyDescent="0.3"/>
    <row r="3094" ht="24.75" customHeight="1" x14ac:dyDescent="0.3"/>
    <row r="3095" ht="24.75" customHeight="1" x14ac:dyDescent="0.3"/>
    <row r="3096" ht="24.75" customHeight="1" x14ac:dyDescent="0.3"/>
    <row r="3097" ht="24.75" customHeight="1" x14ac:dyDescent="0.3"/>
    <row r="3098" ht="24.75" customHeight="1" x14ac:dyDescent="0.3"/>
    <row r="3099" ht="24.75" customHeight="1" x14ac:dyDescent="0.3"/>
    <row r="3100" ht="24.75" customHeight="1" x14ac:dyDescent="0.3"/>
    <row r="3101" ht="24.75" customHeight="1" x14ac:dyDescent="0.3"/>
    <row r="3102" ht="24.75" customHeight="1" x14ac:dyDescent="0.3"/>
    <row r="3103" ht="24.75" customHeight="1" x14ac:dyDescent="0.3"/>
    <row r="3104" ht="24.75" customHeight="1" x14ac:dyDescent="0.3"/>
    <row r="3105" ht="24.75" customHeight="1" x14ac:dyDescent="0.3"/>
    <row r="3106" ht="24.75" customHeight="1" x14ac:dyDescent="0.3"/>
    <row r="3107" ht="24.75" customHeight="1" x14ac:dyDescent="0.3"/>
    <row r="3108" ht="24.75" customHeight="1" x14ac:dyDescent="0.3"/>
    <row r="3109" ht="24.75" customHeight="1" x14ac:dyDescent="0.3"/>
    <row r="3110" ht="24.75" customHeight="1" x14ac:dyDescent="0.3"/>
    <row r="3111" ht="24.75" customHeight="1" x14ac:dyDescent="0.3"/>
    <row r="3112" ht="24.75" customHeight="1" x14ac:dyDescent="0.3"/>
    <row r="3113" ht="24.75" customHeight="1" x14ac:dyDescent="0.3"/>
    <row r="3114" ht="24.75" customHeight="1" x14ac:dyDescent="0.3"/>
    <row r="3115" ht="24.75" customHeight="1" x14ac:dyDescent="0.3"/>
    <row r="3116" ht="24.75" customHeight="1" x14ac:dyDescent="0.3"/>
    <row r="3117" ht="24.75" customHeight="1" x14ac:dyDescent="0.3"/>
    <row r="3118" ht="24.75" customHeight="1" x14ac:dyDescent="0.3"/>
    <row r="3119" ht="24.75" customHeight="1" x14ac:dyDescent="0.3"/>
    <row r="3120" ht="24.75" customHeight="1" x14ac:dyDescent="0.3"/>
    <row r="3121" ht="24.75" customHeight="1" x14ac:dyDescent="0.3"/>
    <row r="3122" ht="24.75" customHeight="1" x14ac:dyDescent="0.3"/>
    <row r="3123" ht="24.75" customHeight="1" x14ac:dyDescent="0.3"/>
    <row r="3124" ht="24.75" customHeight="1" x14ac:dyDescent="0.3"/>
    <row r="3125" ht="24.75" customHeight="1" x14ac:dyDescent="0.3"/>
    <row r="3126" ht="24.75" customHeight="1" x14ac:dyDescent="0.3"/>
    <row r="3127" ht="24.75" customHeight="1" x14ac:dyDescent="0.3"/>
    <row r="3128" ht="24.75" customHeight="1" x14ac:dyDescent="0.3"/>
    <row r="3129" ht="24.75" customHeight="1" x14ac:dyDescent="0.3"/>
    <row r="3130" ht="24.75" customHeight="1" x14ac:dyDescent="0.3"/>
    <row r="3131" ht="24.75" customHeight="1" x14ac:dyDescent="0.3"/>
    <row r="3132" ht="24.75" customHeight="1" x14ac:dyDescent="0.3"/>
    <row r="3133" ht="24.75" customHeight="1" x14ac:dyDescent="0.3"/>
    <row r="3134" ht="24.75" customHeight="1" x14ac:dyDescent="0.3"/>
    <row r="3135" ht="24.75" customHeight="1" x14ac:dyDescent="0.3"/>
    <row r="3136" ht="24.75" customHeight="1" x14ac:dyDescent="0.3"/>
    <row r="3137" ht="24.75" customHeight="1" x14ac:dyDescent="0.3"/>
    <row r="3138" ht="24.75" customHeight="1" x14ac:dyDescent="0.3"/>
    <row r="3139" ht="24.75" customHeight="1" x14ac:dyDescent="0.3"/>
    <row r="3140" ht="24.75" customHeight="1" x14ac:dyDescent="0.3"/>
    <row r="3141" ht="24.75" customHeight="1" x14ac:dyDescent="0.3"/>
    <row r="3142" ht="24.75" customHeight="1" x14ac:dyDescent="0.3"/>
    <row r="3143" ht="24.75" customHeight="1" x14ac:dyDescent="0.3"/>
    <row r="3144" ht="24.75" customHeight="1" x14ac:dyDescent="0.3"/>
    <row r="3145" ht="24.75" customHeight="1" x14ac:dyDescent="0.3"/>
    <row r="3146" ht="24.75" customHeight="1" x14ac:dyDescent="0.3"/>
    <row r="3147" ht="24.75" customHeight="1" x14ac:dyDescent="0.3"/>
    <row r="3148" ht="24.75" customHeight="1" x14ac:dyDescent="0.3"/>
    <row r="3149" ht="24.75" customHeight="1" x14ac:dyDescent="0.3"/>
    <row r="3150" ht="24.75" customHeight="1" x14ac:dyDescent="0.3"/>
    <row r="3151" ht="24.75" customHeight="1" x14ac:dyDescent="0.3"/>
    <row r="3152" ht="24.75" customHeight="1" x14ac:dyDescent="0.3"/>
    <row r="3153" ht="24.75" customHeight="1" x14ac:dyDescent="0.3"/>
    <row r="3154" ht="24.75" customHeight="1" x14ac:dyDescent="0.3"/>
    <row r="3155" ht="24.75" customHeight="1" x14ac:dyDescent="0.3"/>
    <row r="3156" ht="24.75" customHeight="1" x14ac:dyDescent="0.3"/>
    <row r="3157" ht="24.75" customHeight="1" x14ac:dyDescent="0.3"/>
    <row r="3158" ht="24.75" customHeight="1" x14ac:dyDescent="0.3"/>
    <row r="3159" ht="24.75" customHeight="1" x14ac:dyDescent="0.3"/>
    <row r="3160" ht="24.75" customHeight="1" x14ac:dyDescent="0.3"/>
    <row r="3161" ht="24.75" customHeight="1" x14ac:dyDescent="0.3"/>
    <row r="3162" ht="24.75" customHeight="1" x14ac:dyDescent="0.3"/>
    <row r="3163" ht="24.75" customHeight="1" x14ac:dyDescent="0.3"/>
    <row r="3164" ht="24.75" customHeight="1" x14ac:dyDescent="0.3"/>
    <row r="3165" ht="24.75" customHeight="1" x14ac:dyDescent="0.3"/>
    <row r="3166" ht="24.75" customHeight="1" x14ac:dyDescent="0.3"/>
    <row r="3167" ht="24.75" customHeight="1" x14ac:dyDescent="0.3"/>
    <row r="3168" ht="24.75" customHeight="1" x14ac:dyDescent="0.3"/>
    <row r="3169" ht="24.75" customHeight="1" x14ac:dyDescent="0.3"/>
    <row r="3170" ht="24.75" customHeight="1" x14ac:dyDescent="0.3"/>
    <row r="3171" ht="24.75" customHeight="1" x14ac:dyDescent="0.3"/>
    <row r="3172" ht="24.75" customHeight="1" x14ac:dyDescent="0.3"/>
    <row r="3173" ht="24.75" customHeight="1" x14ac:dyDescent="0.3"/>
    <row r="3174" ht="24.75" customHeight="1" x14ac:dyDescent="0.3"/>
    <row r="3175" ht="24.75" customHeight="1" x14ac:dyDescent="0.3"/>
    <row r="3176" ht="24.75" customHeight="1" x14ac:dyDescent="0.3"/>
    <row r="3177" ht="24.75" customHeight="1" x14ac:dyDescent="0.3"/>
    <row r="3178" ht="24.75" customHeight="1" x14ac:dyDescent="0.3"/>
    <row r="3179" ht="24.75" customHeight="1" x14ac:dyDescent="0.3"/>
    <row r="3180" ht="24.75" customHeight="1" x14ac:dyDescent="0.3"/>
    <row r="3181" ht="24.75" customHeight="1" x14ac:dyDescent="0.3"/>
    <row r="3182" ht="24.75" customHeight="1" x14ac:dyDescent="0.3"/>
    <row r="3183" ht="24.75" customHeight="1" x14ac:dyDescent="0.3"/>
    <row r="3184" ht="24.75" customHeight="1" x14ac:dyDescent="0.3"/>
    <row r="3185" ht="24.75" customHeight="1" x14ac:dyDescent="0.3"/>
    <row r="3186" ht="24.75" customHeight="1" x14ac:dyDescent="0.3"/>
    <row r="3187" ht="24.75" customHeight="1" x14ac:dyDescent="0.3"/>
    <row r="3188" ht="24.75" customHeight="1" x14ac:dyDescent="0.3"/>
    <row r="3189" ht="24.75" customHeight="1" x14ac:dyDescent="0.3"/>
    <row r="3190" ht="24.75" customHeight="1" x14ac:dyDescent="0.3"/>
    <row r="3191" ht="24.75" customHeight="1" x14ac:dyDescent="0.3"/>
    <row r="3192" ht="24.75" customHeight="1" x14ac:dyDescent="0.3"/>
    <row r="3193" ht="24.75" customHeight="1" x14ac:dyDescent="0.3"/>
    <row r="3194" ht="24.75" customHeight="1" x14ac:dyDescent="0.3"/>
    <row r="3195" ht="24.75" customHeight="1" x14ac:dyDescent="0.3"/>
    <row r="3196" ht="24.75" customHeight="1" x14ac:dyDescent="0.3"/>
    <row r="3197" ht="24.75" customHeight="1" x14ac:dyDescent="0.3"/>
    <row r="3198" ht="24.75" customHeight="1" x14ac:dyDescent="0.3"/>
    <row r="3199" ht="24.75" customHeight="1" x14ac:dyDescent="0.3"/>
    <row r="3200" ht="24.75" customHeight="1" x14ac:dyDescent="0.3"/>
    <row r="3201" ht="24.75" customHeight="1" x14ac:dyDescent="0.3"/>
    <row r="3202" ht="24.75" customHeight="1" x14ac:dyDescent="0.3"/>
    <row r="3203" ht="24.75" customHeight="1" x14ac:dyDescent="0.3"/>
    <row r="3204" ht="24.75" customHeight="1" x14ac:dyDescent="0.3"/>
    <row r="3205" ht="24.75" customHeight="1" x14ac:dyDescent="0.3"/>
    <row r="3206" ht="24.75" customHeight="1" x14ac:dyDescent="0.3"/>
    <row r="3207" ht="24.75" customHeight="1" x14ac:dyDescent="0.3"/>
    <row r="3208" ht="24.75" customHeight="1" x14ac:dyDescent="0.3"/>
    <row r="3209" ht="24.75" customHeight="1" x14ac:dyDescent="0.3"/>
    <row r="3210" ht="24.75" customHeight="1" x14ac:dyDescent="0.3"/>
    <row r="3211" ht="24.75" customHeight="1" x14ac:dyDescent="0.3"/>
    <row r="3212" ht="24.75" customHeight="1" x14ac:dyDescent="0.3"/>
    <row r="3213" ht="24.75" customHeight="1" x14ac:dyDescent="0.3"/>
    <row r="3214" ht="24.75" customHeight="1" x14ac:dyDescent="0.3"/>
    <row r="3215" ht="24.75" customHeight="1" x14ac:dyDescent="0.3"/>
    <row r="3216" ht="24.75" customHeight="1" x14ac:dyDescent="0.3"/>
    <row r="3217" ht="24.75" customHeight="1" x14ac:dyDescent="0.3"/>
    <row r="3218" ht="24.75" customHeight="1" x14ac:dyDescent="0.3"/>
    <row r="3219" ht="24.75" customHeight="1" x14ac:dyDescent="0.3"/>
    <row r="3220" ht="24.75" customHeight="1" x14ac:dyDescent="0.3"/>
    <row r="3221" ht="24.75" customHeight="1" x14ac:dyDescent="0.3"/>
    <row r="3222" ht="24.75" customHeight="1" x14ac:dyDescent="0.3"/>
    <row r="3223" ht="24.75" customHeight="1" x14ac:dyDescent="0.3"/>
    <row r="3224" ht="24.75" customHeight="1" x14ac:dyDescent="0.3"/>
    <row r="3225" ht="24.75" customHeight="1" x14ac:dyDescent="0.3"/>
    <row r="3226" ht="24.75" customHeight="1" x14ac:dyDescent="0.3"/>
    <row r="3227" ht="24.75" customHeight="1" x14ac:dyDescent="0.3"/>
    <row r="3228" ht="24.75" customHeight="1" x14ac:dyDescent="0.3"/>
    <row r="3229" ht="24.75" customHeight="1" x14ac:dyDescent="0.3"/>
    <row r="3230" ht="24.75" customHeight="1" x14ac:dyDescent="0.3"/>
    <row r="3231" ht="24.75" customHeight="1" x14ac:dyDescent="0.3"/>
    <row r="3232" ht="24.75" customHeight="1" x14ac:dyDescent="0.3"/>
    <row r="3233" ht="24.75" customHeight="1" x14ac:dyDescent="0.3"/>
    <row r="3234" ht="24.75" customHeight="1" x14ac:dyDescent="0.3"/>
    <row r="3235" ht="24.75" customHeight="1" x14ac:dyDescent="0.3"/>
    <row r="3236" ht="24.75" customHeight="1" x14ac:dyDescent="0.3"/>
    <row r="3237" ht="24.75" customHeight="1" x14ac:dyDescent="0.3"/>
    <row r="3238" ht="24.75" customHeight="1" x14ac:dyDescent="0.3"/>
    <row r="3239" ht="24.75" customHeight="1" x14ac:dyDescent="0.3"/>
    <row r="3240" ht="24.75" customHeight="1" x14ac:dyDescent="0.3"/>
    <row r="3241" ht="24.75" customHeight="1" x14ac:dyDescent="0.3"/>
    <row r="3242" ht="24.75" customHeight="1" x14ac:dyDescent="0.3"/>
    <row r="3243" ht="24.75" customHeight="1" x14ac:dyDescent="0.3"/>
    <row r="3244" ht="24.75" customHeight="1" x14ac:dyDescent="0.3"/>
    <row r="3245" ht="24.75" customHeight="1" x14ac:dyDescent="0.3"/>
    <row r="3246" ht="24.75" customHeight="1" x14ac:dyDescent="0.3"/>
    <row r="3247" ht="24.75" customHeight="1" x14ac:dyDescent="0.3"/>
    <row r="3248" ht="24.75" customHeight="1" x14ac:dyDescent="0.3"/>
    <row r="3249" ht="24.75" customHeight="1" x14ac:dyDescent="0.3"/>
    <row r="3250" ht="24.75" customHeight="1" x14ac:dyDescent="0.3"/>
    <row r="3251" ht="24.75" customHeight="1" x14ac:dyDescent="0.3"/>
    <row r="3252" ht="24.75" customHeight="1" x14ac:dyDescent="0.3"/>
    <row r="3253" ht="24.75" customHeight="1" x14ac:dyDescent="0.3"/>
    <row r="3254" ht="24.75" customHeight="1" x14ac:dyDescent="0.3"/>
    <row r="3255" ht="24.75" customHeight="1" x14ac:dyDescent="0.3"/>
    <row r="3256" ht="24.75" customHeight="1" x14ac:dyDescent="0.3"/>
    <row r="3257" ht="24.75" customHeight="1" x14ac:dyDescent="0.3"/>
    <row r="3258" ht="24.75" customHeight="1" x14ac:dyDescent="0.3"/>
    <row r="3259" ht="24.75" customHeight="1" x14ac:dyDescent="0.3"/>
    <row r="3260" ht="24.75" customHeight="1" x14ac:dyDescent="0.3"/>
    <row r="3261" ht="24.75" customHeight="1" x14ac:dyDescent="0.3"/>
    <row r="3262" ht="24.75" customHeight="1" x14ac:dyDescent="0.3"/>
    <row r="3263" ht="24.75" customHeight="1" x14ac:dyDescent="0.3"/>
    <row r="3264" ht="24.75" customHeight="1" x14ac:dyDescent="0.3"/>
    <row r="3265" ht="24.75" customHeight="1" x14ac:dyDescent="0.3"/>
    <row r="3266" ht="24.75" customHeight="1" x14ac:dyDescent="0.3"/>
    <row r="3267" ht="24.75" customHeight="1" x14ac:dyDescent="0.3"/>
    <row r="3268" ht="24.75" customHeight="1" x14ac:dyDescent="0.3"/>
    <row r="3269" ht="24.75" customHeight="1" x14ac:dyDescent="0.3"/>
    <row r="3270" ht="24.75" customHeight="1" x14ac:dyDescent="0.3"/>
    <row r="3271" ht="24.75" customHeight="1" x14ac:dyDescent="0.3"/>
    <row r="3272" ht="24.75" customHeight="1" x14ac:dyDescent="0.3"/>
    <row r="3273" ht="24.75" customHeight="1" x14ac:dyDescent="0.3"/>
    <row r="3274" ht="24.75" customHeight="1" x14ac:dyDescent="0.3"/>
    <row r="3275" ht="24.75" customHeight="1" x14ac:dyDescent="0.3"/>
    <row r="3276" ht="24.75" customHeight="1" x14ac:dyDescent="0.3"/>
    <row r="3277" ht="24.75" customHeight="1" x14ac:dyDescent="0.3"/>
    <row r="3278" ht="24.75" customHeight="1" x14ac:dyDescent="0.3"/>
    <row r="3279" ht="24.75" customHeight="1" x14ac:dyDescent="0.3"/>
    <row r="3280" ht="24.75" customHeight="1" x14ac:dyDescent="0.3"/>
    <row r="3281" ht="24.75" customHeight="1" x14ac:dyDescent="0.3"/>
    <row r="3282" ht="24.75" customHeight="1" x14ac:dyDescent="0.3"/>
    <row r="3283" ht="24.75" customHeight="1" x14ac:dyDescent="0.3"/>
    <row r="3284" ht="24.75" customHeight="1" x14ac:dyDescent="0.3"/>
    <row r="3285" ht="24.75" customHeight="1" x14ac:dyDescent="0.3"/>
    <row r="3286" ht="24.75" customHeight="1" x14ac:dyDescent="0.3"/>
    <row r="3287" ht="24.75" customHeight="1" x14ac:dyDescent="0.3"/>
    <row r="3288" ht="24.75" customHeight="1" x14ac:dyDescent="0.3"/>
    <row r="3289" ht="24.75" customHeight="1" x14ac:dyDescent="0.3"/>
    <row r="3290" ht="24.75" customHeight="1" x14ac:dyDescent="0.3"/>
    <row r="3291" ht="24.75" customHeight="1" x14ac:dyDescent="0.3"/>
    <row r="3292" ht="24.75" customHeight="1" x14ac:dyDescent="0.3"/>
    <row r="3293" ht="24.75" customHeight="1" x14ac:dyDescent="0.3"/>
    <row r="3294" ht="24.75" customHeight="1" x14ac:dyDescent="0.3"/>
    <row r="3295" ht="24.75" customHeight="1" x14ac:dyDescent="0.3"/>
    <row r="3296" ht="24.75" customHeight="1" x14ac:dyDescent="0.3"/>
    <row r="3297" ht="24.75" customHeight="1" x14ac:dyDescent="0.3"/>
    <row r="3298" ht="24.75" customHeight="1" x14ac:dyDescent="0.3"/>
    <row r="3299" ht="24.75" customHeight="1" x14ac:dyDescent="0.3"/>
    <row r="3300" ht="24.75" customHeight="1" x14ac:dyDescent="0.3"/>
    <row r="3301" ht="24.75" customHeight="1" x14ac:dyDescent="0.3"/>
    <row r="3302" ht="24.75" customHeight="1" x14ac:dyDescent="0.3"/>
    <row r="3303" ht="24.75" customHeight="1" x14ac:dyDescent="0.3"/>
    <row r="3304" ht="24.75" customHeight="1" x14ac:dyDescent="0.3"/>
    <row r="3305" ht="24.75" customHeight="1" x14ac:dyDescent="0.3"/>
    <row r="3306" ht="24.75" customHeight="1" x14ac:dyDescent="0.3"/>
    <row r="3307" ht="24.75" customHeight="1" x14ac:dyDescent="0.3"/>
    <row r="3308" ht="24.75" customHeight="1" x14ac:dyDescent="0.3"/>
    <row r="3309" ht="24.75" customHeight="1" x14ac:dyDescent="0.3"/>
    <row r="3310" ht="24.75" customHeight="1" x14ac:dyDescent="0.3"/>
    <row r="3311" ht="24.75" customHeight="1" x14ac:dyDescent="0.3"/>
    <row r="3312" ht="24.75" customHeight="1" x14ac:dyDescent="0.3"/>
    <row r="3313" ht="24.75" customHeight="1" x14ac:dyDescent="0.3"/>
    <row r="3314" ht="24.75" customHeight="1" x14ac:dyDescent="0.3"/>
    <row r="3315" ht="24.75" customHeight="1" x14ac:dyDescent="0.3"/>
    <row r="3316" ht="24.75" customHeight="1" x14ac:dyDescent="0.3"/>
    <row r="3317" ht="24.75" customHeight="1" x14ac:dyDescent="0.3"/>
    <row r="3318" ht="24.75" customHeight="1" x14ac:dyDescent="0.3"/>
    <row r="3319" ht="24.75" customHeight="1" x14ac:dyDescent="0.3"/>
    <row r="3320" ht="24.75" customHeight="1" x14ac:dyDescent="0.3"/>
    <row r="3321" ht="24.75" customHeight="1" x14ac:dyDescent="0.3"/>
    <row r="3322" ht="24.75" customHeight="1" x14ac:dyDescent="0.3"/>
    <row r="3323" ht="24.75" customHeight="1" x14ac:dyDescent="0.3"/>
    <row r="3324" ht="24.75" customHeight="1" x14ac:dyDescent="0.3"/>
    <row r="3325" ht="24.75" customHeight="1" x14ac:dyDescent="0.3"/>
    <row r="3326" ht="24.75" customHeight="1" x14ac:dyDescent="0.3"/>
    <row r="3327" ht="24.75" customHeight="1" x14ac:dyDescent="0.3"/>
    <row r="3328" ht="24.75" customHeight="1" x14ac:dyDescent="0.3"/>
    <row r="3329" ht="24.75" customHeight="1" x14ac:dyDescent="0.3"/>
    <row r="3330" ht="24.75" customHeight="1" x14ac:dyDescent="0.3"/>
    <row r="3331" ht="24.75" customHeight="1" x14ac:dyDescent="0.3"/>
    <row r="3332" ht="24.75" customHeight="1" x14ac:dyDescent="0.3"/>
    <row r="3333" ht="24.75" customHeight="1" x14ac:dyDescent="0.3"/>
    <row r="3334" ht="24.75" customHeight="1" x14ac:dyDescent="0.3"/>
    <row r="3335" ht="24.75" customHeight="1" x14ac:dyDescent="0.3"/>
    <row r="3336" ht="24.75" customHeight="1" x14ac:dyDescent="0.3"/>
    <row r="3337" ht="24.75" customHeight="1" x14ac:dyDescent="0.3"/>
    <row r="3338" ht="24.75" customHeight="1" x14ac:dyDescent="0.3"/>
    <row r="3339" ht="24.75" customHeight="1" x14ac:dyDescent="0.3"/>
    <row r="3340" ht="24.75" customHeight="1" x14ac:dyDescent="0.3"/>
    <row r="3341" ht="24.75" customHeight="1" x14ac:dyDescent="0.3"/>
    <row r="3342" ht="24.75" customHeight="1" x14ac:dyDescent="0.3"/>
    <row r="3343" ht="24.75" customHeight="1" x14ac:dyDescent="0.3"/>
    <row r="3344" ht="24.75" customHeight="1" x14ac:dyDescent="0.3"/>
    <row r="3345" ht="24.75" customHeight="1" x14ac:dyDescent="0.3"/>
    <row r="3346" ht="24.75" customHeight="1" x14ac:dyDescent="0.3"/>
    <row r="3347" ht="24.75" customHeight="1" x14ac:dyDescent="0.3"/>
    <row r="3348" ht="24.75" customHeight="1" x14ac:dyDescent="0.3"/>
    <row r="3349" ht="24.75" customHeight="1" x14ac:dyDescent="0.3"/>
    <row r="3350" ht="24.75" customHeight="1" x14ac:dyDescent="0.3"/>
    <row r="3351" ht="24.75" customHeight="1" x14ac:dyDescent="0.3"/>
    <row r="3352" ht="24.75" customHeight="1" x14ac:dyDescent="0.3"/>
    <row r="3353" ht="24.75" customHeight="1" x14ac:dyDescent="0.3"/>
    <row r="3354" ht="24.75" customHeight="1" x14ac:dyDescent="0.3"/>
    <row r="3355" ht="24.75" customHeight="1" x14ac:dyDescent="0.3"/>
    <row r="3356" ht="24.75" customHeight="1" x14ac:dyDescent="0.3"/>
    <row r="3357" ht="24.75" customHeight="1" x14ac:dyDescent="0.3"/>
    <row r="3358" ht="24.75" customHeight="1" x14ac:dyDescent="0.3"/>
    <row r="3359" ht="24.75" customHeight="1" x14ac:dyDescent="0.3"/>
    <row r="3360" ht="24.75" customHeight="1" x14ac:dyDescent="0.3"/>
    <row r="3361" ht="24.75" customHeight="1" x14ac:dyDescent="0.3"/>
    <row r="3362" ht="24.75" customHeight="1" x14ac:dyDescent="0.3"/>
    <row r="3363" ht="24.75" customHeight="1" x14ac:dyDescent="0.3"/>
    <row r="3364" ht="24.75" customHeight="1" x14ac:dyDescent="0.3"/>
    <row r="3365" ht="24.75" customHeight="1" x14ac:dyDescent="0.3"/>
    <row r="3366" ht="24.75" customHeight="1" x14ac:dyDescent="0.3"/>
    <row r="3367" ht="24.75" customHeight="1" x14ac:dyDescent="0.3"/>
    <row r="3368" ht="24.75" customHeight="1" x14ac:dyDescent="0.3"/>
    <row r="3369" ht="24.75" customHeight="1" x14ac:dyDescent="0.3"/>
    <row r="3370" ht="24.75" customHeight="1" x14ac:dyDescent="0.3"/>
    <row r="3371" ht="24.75" customHeight="1" x14ac:dyDescent="0.3"/>
    <row r="3372" ht="24.75" customHeight="1" x14ac:dyDescent="0.3"/>
    <row r="3373" ht="24.75" customHeight="1" x14ac:dyDescent="0.3"/>
    <row r="3374" ht="24.75" customHeight="1" x14ac:dyDescent="0.3"/>
    <row r="3375" ht="24.75" customHeight="1" x14ac:dyDescent="0.3"/>
    <row r="3376" ht="24.75" customHeight="1" x14ac:dyDescent="0.3"/>
    <row r="3377" ht="24.75" customHeight="1" x14ac:dyDescent="0.3"/>
    <row r="3378" ht="24.75" customHeight="1" x14ac:dyDescent="0.3"/>
    <row r="3379" ht="24.75" customHeight="1" x14ac:dyDescent="0.3"/>
    <row r="3380" ht="24.75" customHeight="1" x14ac:dyDescent="0.3"/>
    <row r="3381" ht="24.75" customHeight="1" x14ac:dyDescent="0.3"/>
    <row r="3382" ht="24.75" customHeight="1" x14ac:dyDescent="0.3"/>
    <row r="3383" ht="24.75" customHeight="1" x14ac:dyDescent="0.3"/>
    <row r="3384" ht="24.75" customHeight="1" x14ac:dyDescent="0.3"/>
    <row r="3385" ht="24.75" customHeight="1" x14ac:dyDescent="0.3"/>
    <row r="3386" ht="24.75" customHeight="1" x14ac:dyDescent="0.3"/>
    <row r="3387" ht="24.75" customHeight="1" x14ac:dyDescent="0.3"/>
    <row r="3388" ht="24.75" customHeight="1" x14ac:dyDescent="0.3"/>
    <row r="3389" ht="24.75" customHeight="1" x14ac:dyDescent="0.3"/>
    <row r="3390" ht="24.75" customHeight="1" x14ac:dyDescent="0.3"/>
    <row r="3391" ht="24.75" customHeight="1" x14ac:dyDescent="0.3"/>
    <row r="3392" ht="24.75" customHeight="1" x14ac:dyDescent="0.3"/>
    <row r="3393" ht="24.75" customHeight="1" x14ac:dyDescent="0.3"/>
    <row r="3394" ht="24.75" customHeight="1" x14ac:dyDescent="0.3"/>
    <row r="3395" ht="24.75" customHeight="1" x14ac:dyDescent="0.3"/>
    <row r="3396" ht="24.75" customHeight="1" x14ac:dyDescent="0.3"/>
    <row r="3397" ht="24.75" customHeight="1" x14ac:dyDescent="0.3"/>
    <row r="3398" ht="24.75" customHeight="1" x14ac:dyDescent="0.3"/>
    <row r="3399" ht="24.75" customHeight="1" x14ac:dyDescent="0.3"/>
    <row r="3400" ht="24.75" customHeight="1" x14ac:dyDescent="0.3"/>
    <row r="3401" ht="24.75" customHeight="1" x14ac:dyDescent="0.3"/>
    <row r="3402" ht="24.75" customHeight="1" x14ac:dyDescent="0.3"/>
    <row r="3403" ht="24.75" customHeight="1" x14ac:dyDescent="0.3"/>
    <row r="3404" ht="24.75" customHeight="1" x14ac:dyDescent="0.3"/>
    <row r="3405" ht="24.75" customHeight="1" x14ac:dyDescent="0.3"/>
    <row r="3406" ht="24.75" customHeight="1" x14ac:dyDescent="0.3"/>
    <row r="3407" ht="24.75" customHeight="1" x14ac:dyDescent="0.3"/>
    <row r="3408" ht="24.75" customHeight="1" x14ac:dyDescent="0.3"/>
    <row r="3409" ht="24.75" customHeight="1" x14ac:dyDescent="0.3"/>
    <row r="3410" ht="24.75" customHeight="1" x14ac:dyDescent="0.3"/>
    <row r="3411" ht="24.75" customHeight="1" x14ac:dyDescent="0.3"/>
    <row r="3412" ht="24.75" customHeight="1" x14ac:dyDescent="0.3"/>
    <row r="3413" ht="24.75" customHeight="1" x14ac:dyDescent="0.3"/>
    <row r="3414" ht="24.75" customHeight="1" x14ac:dyDescent="0.3"/>
    <row r="3415" ht="24.75" customHeight="1" x14ac:dyDescent="0.3"/>
    <row r="3416" ht="24.75" customHeight="1" x14ac:dyDescent="0.3"/>
    <row r="3417" ht="24.75" customHeight="1" x14ac:dyDescent="0.3"/>
    <row r="3418" ht="24.75" customHeight="1" x14ac:dyDescent="0.3"/>
    <row r="3419" ht="24.75" customHeight="1" x14ac:dyDescent="0.3"/>
    <row r="3420" ht="24.75" customHeight="1" x14ac:dyDescent="0.3"/>
    <row r="3421" ht="24.75" customHeight="1" x14ac:dyDescent="0.3"/>
    <row r="3422" ht="24.75" customHeight="1" x14ac:dyDescent="0.3"/>
    <row r="3423" ht="24.75" customHeight="1" x14ac:dyDescent="0.3"/>
    <row r="3424" ht="24.75" customHeight="1" x14ac:dyDescent="0.3"/>
    <row r="3425" ht="24.75" customHeight="1" x14ac:dyDescent="0.3"/>
    <row r="3426" ht="24.75" customHeight="1" x14ac:dyDescent="0.3"/>
    <row r="3427" ht="24.75" customHeight="1" x14ac:dyDescent="0.3"/>
    <row r="3428" ht="24.75" customHeight="1" x14ac:dyDescent="0.3"/>
    <row r="3429" ht="24.75" customHeight="1" x14ac:dyDescent="0.3"/>
    <row r="3430" ht="24.75" customHeight="1" x14ac:dyDescent="0.3"/>
    <row r="3431" ht="24.75" customHeight="1" x14ac:dyDescent="0.3"/>
    <row r="3432" ht="24.75" customHeight="1" x14ac:dyDescent="0.3"/>
    <row r="3433" ht="24.75" customHeight="1" x14ac:dyDescent="0.3"/>
    <row r="3434" ht="24.75" customHeight="1" x14ac:dyDescent="0.3"/>
    <row r="3435" ht="24.75" customHeight="1" x14ac:dyDescent="0.3"/>
    <row r="3436" ht="24.75" customHeight="1" x14ac:dyDescent="0.3"/>
    <row r="3437" ht="24.75" customHeight="1" x14ac:dyDescent="0.3"/>
    <row r="3438" ht="24.75" customHeight="1" x14ac:dyDescent="0.3"/>
    <row r="3439" ht="24.75" customHeight="1" x14ac:dyDescent="0.3"/>
    <row r="3440" ht="24.75" customHeight="1" x14ac:dyDescent="0.3"/>
    <row r="3441" ht="24.75" customHeight="1" x14ac:dyDescent="0.3"/>
    <row r="3442" ht="24.75" customHeight="1" x14ac:dyDescent="0.3"/>
    <row r="3443" ht="24.75" customHeight="1" x14ac:dyDescent="0.3"/>
    <row r="3444" ht="24.75" customHeight="1" x14ac:dyDescent="0.3"/>
    <row r="3445" ht="24.75" customHeight="1" x14ac:dyDescent="0.3"/>
    <row r="3446" ht="24.75" customHeight="1" x14ac:dyDescent="0.3"/>
    <row r="3447" ht="24.75" customHeight="1" x14ac:dyDescent="0.3"/>
    <row r="3448" ht="24.75" customHeight="1" x14ac:dyDescent="0.3"/>
    <row r="3449" ht="24.75" customHeight="1" x14ac:dyDescent="0.3"/>
    <row r="3450" ht="24.75" customHeight="1" x14ac:dyDescent="0.3"/>
    <row r="3451" ht="24.75" customHeight="1" x14ac:dyDescent="0.3"/>
    <row r="3452" ht="24.75" customHeight="1" x14ac:dyDescent="0.3"/>
    <row r="3453" ht="24.75" customHeight="1" x14ac:dyDescent="0.3"/>
    <row r="3454" ht="24.75" customHeight="1" x14ac:dyDescent="0.3"/>
    <row r="3455" ht="24.75" customHeight="1" x14ac:dyDescent="0.3"/>
    <row r="3456" ht="24.75" customHeight="1" x14ac:dyDescent="0.3"/>
    <row r="3457" ht="24.75" customHeight="1" x14ac:dyDescent="0.3"/>
    <row r="3458" ht="24.75" customHeight="1" x14ac:dyDescent="0.3"/>
    <row r="3459" ht="24.75" customHeight="1" x14ac:dyDescent="0.3"/>
    <row r="3460" ht="24.75" customHeight="1" x14ac:dyDescent="0.3"/>
    <row r="3461" ht="24.75" customHeight="1" x14ac:dyDescent="0.3"/>
    <row r="3462" ht="24.75" customHeight="1" x14ac:dyDescent="0.3"/>
    <row r="3463" ht="24.75" customHeight="1" x14ac:dyDescent="0.3"/>
    <row r="3464" ht="24.75" customHeight="1" x14ac:dyDescent="0.3"/>
    <row r="3465" ht="24.75" customHeight="1" x14ac:dyDescent="0.3"/>
    <row r="3466" ht="24.75" customHeight="1" x14ac:dyDescent="0.3"/>
    <row r="3467" ht="24.75" customHeight="1" x14ac:dyDescent="0.3"/>
    <row r="3468" ht="24.75" customHeight="1" x14ac:dyDescent="0.3"/>
    <row r="3469" ht="24.75" customHeight="1" x14ac:dyDescent="0.3"/>
    <row r="3470" ht="24.75" customHeight="1" x14ac:dyDescent="0.3"/>
    <row r="3471" ht="24.75" customHeight="1" x14ac:dyDescent="0.3"/>
    <row r="3472" ht="24.75" customHeight="1" x14ac:dyDescent="0.3"/>
    <row r="3473" ht="24.75" customHeight="1" x14ac:dyDescent="0.3"/>
    <row r="3474" ht="24.75" customHeight="1" x14ac:dyDescent="0.3"/>
    <row r="3475" ht="24.75" customHeight="1" x14ac:dyDescent="0.3"/>
    <row r="3476" ht="24.75" customHeight="1" x14ac:dyDescent="0.3"/>
    <row r="3477" ht="24.75" customHeight="1" x14ac:dyDescent="0.3"/>
    <row r="3478" ht="24.75" customHeight="1" x14ac:dyDescent="0.3"/>
    <row r="3479" ht="24.75" customHeight="1" x14ac:dyDescent="0.3"/>
    <row r="3480" ht="24.75" customHeight="1" x14ac:dyDescent="0.3"/>
    <row r="3481" ht="24.75" customHeight="1" x14ac:dyDescent="0.3"/>
    <row r="3482" ht="24.75" customHeight="1" x14ac:dyDescent="0.3"/>
    <row r="3483" ht="24.75" customHeight="1" x14ac:dyDescent="0.3"/>
    <row r="3484" ht="24.75" customHeight="1" x14ac:dyDescent="0.3"/>
    <row r="3485" ht="24.75" customHeight="1" x14ac:dyDescent="0.3"/>
    <row r="3486" ht="24.75" customHeight="1" x14ac:dyDescent="0.3"/>
    <row r="3487" ht="24.75" customHeight="1" x14ac:dyDescent="0.3"/>
    <row r="3488" ht="24.75" customHeight="1" x14ac:dyDescent="0.3"/>
    <row r="3489" ht="24.75" customHeight="1" x14ac:dyDescent="0.3"/>
    <row r="3490" ht="24.75" customHeight="1" x14ac:dyDescent="0.3"/>
    <row r="3491" ht="24.75" customHeight="1" x14ac:dyDescent="0.3"/>
    <row r="3492" ht="24.75" customHeight="1" x14ac:dyDescent="0.3"/>
    <row r="3493" ht="24.75" customHeight="1" x14ac:dyDescent="0.3"/>
    <row r="3494" ht="24.75" customHeight="1" x14ac:dyDescent="0.3"/>
    <row r="3495" ht="24.75" customHeight="1" x14ac:dyDescent="0.3"/>
    <row r="3496" ht="24.75" customHeight="1" x14ac:dyDescent="0.3"/>
    <row r="3497" ht="24.75" customHeight="1" x14ac:dyDescent="0.3"/>
    <row r="3498" ht="24.75" customHeight="1" x14ac:dyDescent="0.3"/>
    <row r="3499" ht="24.75" customHeight="1" x14ac:dyDescent="0.3"/>
    <row r="3500" ht="24.75" customHeight="1" x14ac:dyDescent="0.3"/>
    <row r="3501" ht="24.75" customHeight="1" x14ac:dyDescent="0.3"/>
    <row r="3502" ht="24.75" customHeight="1" x14ac:dyDescent="0.3"/>
    <row r="3503" ht="24.75" customHeight="1" x14ac:dyDescent="0.3"/>
    <row r="3504" ht="24.75" customHeight="1" x14ac:dyDescent="0.3"/>
    <row r="3505" ht="24.75" customHeight="1" x14ac:dyDescent="0.3"/>
    <row r="3506" ht="24.75" customHeight="1" x14ac:dyDescent="0.3"/>
    <row r="3507" ht="24.75" customHeight="1" x14ac:dyDescent="0.3"/>
    <row r="3508" ht="24.75" customHeight="1" x14ac:dyDescent="0.3"/>
    <row r="3509" ht="24.75" customHeight="1" x14ac:dyDescent="0.3"/>
    <row r="3510" ht="24.75" customHeight="1" x14ac:dyDescent="0.3"/>
    <row r="3511" ht="24.75" customHeight="1" x14ac:dyDescent="0.3"/>
    <row r="3512" ht="24.75" customHeight="1" x14ac:dyDescent="0.3"/>
    <row r="3513" ht="24.75" customHeight="1" x14ac:dyDescent="0.3"/>
    <row r="3514" ht="24.75" customHeight="1" x14ac:dyDescent="0.3"/>
    <row r="3515" ht="24.75" customHeight="1" x14ac:dyDescent="0.3"/>
    <row r="3516" ht="24.75" customHeight="1" x14ac:dyDescent="0.3"/>
    <row r="3517" ht="24.75" customHeight="1" x14ac:dyDescent="0.3"/>
    <row r="3518" ht="24.75" customHeight="1" x14ac:dyDescent="0.3"/>
    <row r="3519" ht="24.75" customHeight="1" x14ac:dyDescent="0.3"/>
    <row r="3520" ht="24.75" customHeight="1" x14ac:dyDescent="0.3"/>
    <row r="3521" ht="24.75" customHeight="1" x14ac:dyDescent="0.3"/>
    <row r="3522" ht="24.75" customHeight="1" x14ac:dyDescent="0.3"/>
    <row r="3523" ht="24.75" customHeight="1" x14ac:dyDescent="0.3"/>
    <row r="3524" ht="24.75" customHeight="1" x14ac:dyDescent="0.3"/>
    <row r="3525" ht="24.75" customHeight="1" x14ac:dyDescent="0.3"/>
    <row r="3526" ht="24.75" customHeight="1" x14ac:dyDescent="0.3"/>
    <row r="3527" ht="24.75" customHeight="1" x14ac:dyDescent="0.3"/>
    <row r="3528" ht="24.75" customHeight="1" x14ac:dyDescent="0.3"/>
    <row r="3529" ht="24.75" customHeight="1" x14ac:dyDescent="0.3"/>
    <row r="3530" ht="24.75" customHeight="1" x14ac:dyDescent="0.3"/>
    <row r="3531" ht="24.75" customHeight="1" x14ac:dyDescent="0.3"/>
    <row r="3532" ht="24.75" customHeight="1" x14ac:dyDescent="0.3"/>
    <row r="3533" ht="24.75" customHeight="1" x14ac:dyDescent="0.3"/>
    <row r="3534" ht="24.75" customHeight="1" x14ac:dyDescent="0.3"/>
    <row r="3535" ht="24.75" customHeight="1" x14ac:dyDescent="0.3"/>
    <row r="3536" ht="24.75" customHeight="1" x14ac:dyDescent="0.3"/>
    <row r="3537" ht="24.75" customHeight="1" x14ac:dyDescent="0.3"/>
    <row r="3538" ht="24.75" customHeight="1" x14ac:dyDescent="0.3"/>
    <row r="3539" ht="24.75" customHeight="1" x14ac:dyDescent="0.3"/>
    <row r="3540" ht="24.75" customHeight="1" x14ac:dyDescent="0.3"/>
    <row r="3541" ht="24.75" customHeight="1" x14ac:dyDescent="0.3"/>
    <row r="3542" ht="24.75" customHeight="1" x14ac:dyDescent="0.3"/>
    <row r="3543" ht="24.75" customHeight="1" x14ac:dyDescent="0.3"/>
    <row r="3544" ht="24.75" customHeight="1" x14ac:dyDescent="0.3"/>
    <row r="3545" ht="24.75" customHeight="1" x14ac:dyDescent="0.3"/>
    <row r="3546" ht="24.75" customHeight="1" x14ac:dyDescent="0.3"/>
    <row r="3547" ht="24.75" customHeight="1" x14ac:dyDescent="0.3"/>
    <row r="3548" ht="24.75" customHeight="1" x14ac:dyDescent="0.3"/>
    <row r="3549" ht="24.75" customHeight="1" x14ac:dyDescent="0.3"/>
    <row r="3550" ht="24.75" customHeight="1" x14ac:dyDescent="0.3"/>
    <row r="3551" ht="24.75" customHeight="1" x14ac:dyDescent="0.3"/>
    <row r="3552" ht="24.75" customHeight="1" x14ac:dyDescent="0.3"/>
    <row r="3553" ht="24.75" customHeight="1" x14ac:dyDescent="0.3"/>
    <row r="3554" ht="24.75" customHeight="1" x14ac:dyDescent="0.3"/>
    <row r="3555" ht="24.75" customHeight="1" x14ac:dyDescent="0.3"/>
    <row r="3556" ht="24.75" customHeight="1" x14ac:dyDescent="0.3"/>
    <row r="3557" ht="24.75" customHeight="1" x14ac:dyDescent="0.3"/>
    <row r="3558" ht="24.75" customHeight="1" x14ac:dyDescent="0.3"/>
    <row r="3559" ht="24.75" customHeight="1" x14ac:dyDescent="0.3"/>
    <row r="3560" ht="24.75" customHeight="1" x14ac:dyDescent="0.3"/>
    <row r="3561" ht="24.75" customHeight="1" x14ac:dyDescent="0.3"/>
    <row r="3562" ht="24.75" customHeight="1" x14ac:dyDescent="0.3"/>
    <row r="3563" ht="24.75" customHeight="1" x14ac:dyDescent="0.3"/>
    <row r="3564" ht="24.75" customHeight="1" x14ac:dyDescent="0.3"/>
    <row r="3565" ht="24.75" customHeight="1" x14ac:dyDescent="0.3"/>
    <row r="3566" ht="24.75" customHeight="1" x14ac:dyDescent="0.3"/>
    <row r="3567" ht="24.75" customHeight="1" x14ac:dyDescent="0.3"/>
    <row r="3568" ht="24.75" customHeight="1" x14ac:dyDescent="0.3"/>
    <row r="3569" ht="24.75" customHeight="1" x14ac:dyDescent="0.3"/>
    <row r="3570" ht="24.75" customHeight="1" x14ac:dyDescent="0.3"/>
    <row r="3571" ht="24.75" customHeight="1" x14ac:dyDescent="0.3"/>
    <row r="3572" ht="24.75" customHeight="1" x14ac:dyDescent="0.3"/>
    <row r="3573" ht="24.75" customHeight="1" x14ac:dyDescent="0.3"/>
    <row r="3574" ht="24.75" customHeight="1" x14ac:dyDescent="0.3"/>
    <row r="3575" ht="24.75" customHeight="1" x14ac:dyDescent="0.3"/>
    <row r="3576" ht="24.75" customHeight="1" x14ac:dyDescent="0.3"/>
    <row r="3577" ht="24.75" customHeight="1" x14ac:dyDescent="0.3"/>
    <row r="3578" ht="24.75" customHeight="1" x14ac:dyDescent="0.3"/>
    <row r="3579" ht="24.75" customHeight="1" x14ac:dyDescent="0.3"/>
    <row r="3580" ht="24.75" customHeight="1" x14ac:dyDescent="0.3"/>
    <row r="3581" ht="24.75" customHeight="1" x14ac:dyDescent="0.3"/>
    <row r="3582" ht="24.75" customHeight="1" x14ac:dyDescent="0.3"/>
    <row r="3583" ht="24.75" customHeight="1" x14ac:dyDescent="0.3"/>
    <row r="3584" ht="24.75" customHeight="1" x14ac:dyDescent="0.3"/>
    <row r="3585" ht="24.75" customHeight="1" x14ac:dyDescent="0.3"/>
    <row r="3586" ht="24.75" customHeight="1" x14ac:dyDescent="0.3"/>
    <row r="3587" ht="24.75" customHeight="1" x14ac:dyDescent="0.3"/>
    <row r="3588" ht="24.75" customHeight="1" x14ac:dyDescent="0.3"/>
    <row r="3589" ht="24.75" customHeight="1" x14ac:dyDescent="0.3"/>
    <row r="3590" ht="24.75" customHeight="1" x14ac:dyDescent="0.3"/>
    <row r="3591" ht="24.75" customHeight="1" x14ac:dyDescent="0.3"/>
    <row r="3592" ht="24.75" customHeight="1" x14ac:dyDescent="0.3"/>
    <row r="3593" ht="24.75" customHeight="1" x14ac:dyDescent="0.3"/>
    <row r="3594" ht="24.75" customHeight="1" x14ac:dyDescent="0.3"/>
    <row r="3595" ht="24.75" customHeight="1" x14ac:dyDescent="0.3"/>
    <row r="3596" ht="24.75" customHeight="1" x14ac:dyDescent="0.3"/>
    <row r="3597" ht="24.75" customHeight="1" x14ac:dyDescent="0.3"/>
    <row r="3598" ht="24.75" customHeight="1" x14ac:dyDescent="0.3"/>
    <row r="3599" ht="24.75" customHeight="1" x14ac:dyDescent="0.3"/>
    <row r="3600" ht="24.75" customHeight="1" x14ac:dyDescent="0.3"/>
    <row r="3601" ht="24.75" customHeight="1" x14ac:dyDescent="0.3"/>
    <row r="3602" ht="24.75" customHeight="1" x14ac:dyDescent="0.3"/>
    <row r="3603" ht="24.75" customHeight="1" x14ac:dyDescent="0.3"/>
    <row r="3604" ht="24.75" customHeight="1" x14ac:dyDescent="0.3"/>
    <row r="3605" ht="24.75" customHeight="1" x14ac:dyDescent="0.3"/>
    <row r="3606" ht="24.75" customHeight="1" x14ac:dyDescent="0.3"/>
    <row r="3607" ht="24.75" customHeight="1" x14ac:dyDescent="0.3"/>
    <row r="3608" ht="24.75" customHeight="1" x14ac:dyDescent="0.3"/>
    <row r="3609" ht="24.75" customHeight="1" x14ac:dyDescent="0.3"/>
    <row r="3610" ht="24.75" customHeight="1" x14ac:dyDescent="0.3"/>
    <row r="3611" ht="24.75" customHeight="1" x14ac:dyDescent="0.3"/>
    <row r="3612" ht="24.75" customHeight="1" x14ac:dyDescent="0.3"/>
    <row r="3613" ht="24.75" customHeight="1" x14ac:dyDescent="0.3"/>
    <row r="3614" ht="24.75" customHeight="1" x14ac:dyDescent="0.3"/>
    <row r="3615" ht="24.75" customHeight="1" x14ac:dyDescent="0.3"/>
    <row r="3616" ht="24.75" customHeight="1" x14ac:dyDescent="0.3"/>
    <row r="3617" ht="24.75" customHeight="1" x14ac:dyDescent="0.3"/>
    <row r="3618" ht="24.75" customHeight="1" x14ac:dyDescent="0.3"/>
    <row r="3619" ht="24.75" customHeight="1" x14ac:dyDescent="0.3"/>
    <row r="3620" ht="24.75" customHeight="1" x14ac:dyDescent="0.3"/>
    <row r="3621" ht="24.75" customHeight="1" x14ac:dyDescent="0.3"/>
    <row r="3622" ht="24.75" customHeight="1" x14ac:dyDescent="0.3"/>
    <row r="3623" ht="24.75" customHeight="1" x14ac:dyDescent="0.3"/>
    <row r="3624" ht="24.75" customHeight="1" x14ac:dyDescent="0.3"/>
    <row r="3625" ht="24.75" customHeight="1" x14ac:dyDescent="0.3"/>
    <row r="3626" ht="24.75" customHeight="1" x14ac:dyDescent="0.3"/>
    <row r="3627" ht="24.75" customHeight="1" x14ac:dyDescent="0.3"/>
    <row r="3628" ht="24.75" customHeight="1" x14ac:dyDescent="0.3"/>
    <row r="3629" ht="24.75" customHeight="1" x14ac:dyDescent="0.3"/>
    <row r="3630" ht="24.75" customHeight="1" x14ac:dyDescent="0.3"/>
    <row r="3631" ht="24.75" customHeight="1" x14ac:dyDescent="0.3"/>
    <row r="3632" ht="24.75" customHeight="1" x14ac:dyDescent="0.3"/>
    <row r="3633" ht="24.75" customHeight="1" x14ac:dyDescent="0.3"/>
    <row r="3634" ht="24.75" customHeight="1" x14ac:dyDescent="0.3"/>
    <row r="3635" ht="24.75" customHeight="1" x14ac:dyDescent="0.3"/>
    <row r="3636" ht="24.75" customHeight="1" x14ac:dyDescent="0.3"/>
    <row r="3637" ht="24.75" customHeight="1" x14ac:dyDescent="0.3"/>
    <row r="3638" ht="24.75" customHeight="1" x14ac:dyDescent="0.3"/>
    <row r="3639" ht="24.75" customHeight="1" x14ac:dyDescent="0.3"/>
    <row r="3640" ht="24.75" customHeight="1" x14ac:dyDescent="0.3"/>
    <row r="3641" ht="24.75" customHeight="1" x14ac:dyDescent="0.3"/>
    <row r="3642" ht="24.75" customHeight="1" x14ac:dyDescent="0.3"/>
    <row r="3643" ht="24.75" customHeight="1" x14ac:dyDescent="0.3"/>
    <row r="3644" ht="24.75" customHeight="1" x14ac:dyDescent="0.3"/>
    <row r="3645" ht="24.75" customHeight="1" x14ac:dyDescent="0.3"/>
    <row r="3646" ht="24.75" customHeight="1" x14ac:dyDescent="0.3"/>
    <row r="3647" ht="24.75" customHeight="1" x14ac:dyDescent="0.3"/>
    <row r="3648" ht="24.75" customHeight="1" x14ac:dyDescent="0.3"/>
    <row r="3649" ht="24.75" customHeight="1" x14ac:dyDescent="0.3"/>
    <row r="3650" ht="24.75" customHeight="1" x14ac:dyDescent="0.3"/>
    <row r="3651" ht="24.75" customHeight="1" x14ac:dyDescent="0.3"/>
    <row r="3652" ht="24.75" customHeight="1" x14ac:dyDescent="0.3"/>
    <row r="3653" ht="24.75" customHeight="1" x14ac:dyDescent="0.3"/>
    <row r="3654" ht="24.75" customHeight="1" x14ac:dyDescent="0.3"/>
    <row r="3655" ht="24.75" customHeight="1" x14ac:dyDescent="0.3"/>
    <row r="3656" ht="24.75" customHeight="1" x14ac:dyDescent="0.3"/>
    <row r="3657" ht="24.75" customHeight="1" x14ac:dyDescent="0.3"/>
    <row r="3658" ht="24.75" customHeight="1" x14ac:dyDescent="0.3"/>
    <row r="3659" ht="24.75" customHeight="1" x14ac:dyDescent="0.3"/>
    <row r="3660" ht="24.75" customHeight="1" x14ac:dyDescent="0.3"/>
    <row r="3661" ht="24.75" customHeight="1" x14ac:dyDescent="0.3"/>
    <row r="3662" ht="24.75" customHeight="1" x14ac:dyDescent="0.3"/>
    <row r="3663" ht="24.75" customHeight="1" x14ac:dyDescent="0.3"/>
    <row r="3664" ht="24.75" customHeight="1" x14ac:dyDescent="0.3"/>
    <row r="3665" ht="24.75" customHeight="1" x14ac:dyDescent="0.3"/>
    <row r="3666" ht="24.75" customHeight="1" x14ac:dyDescent="0.3"/>
    <row r="3667" ht="24.75" customHeight="1" x14ac:dyDescent="0.3"/>
    <row r="3668" ht="24.75" customHeight="1" x14ac:dyDescent="0.3"/>
    <row r="3669" ht="24.75" customHeight="1" x14ac:dyDescent="0.3"/>
    <row r="3670" ht="24.75" customHeight="1" x14ac:dyDescent="0.3"/>
    <row r="3671" ht="24.75" customHeight="1" x14ac:dyDescent="0.3"/>
    <row r="3672" ht="24.75" customHeight="1" x14ac:dyDescent="0.3"/>
    <row r="3673" ht="24.75" customHeight="1" x14ac:dyDescent="0.3"/>
    <row r="3674" ht="24.75" customHeight="1" x14ac:dyDescent="0.3"/>
    <row r="3675" ht="24.75" customHeight="1" x14ac:dyDescent="0.3"/>
    <row r="3676" ht="24.75" customHeight="1" x14ac:dyDescent="0.3"/>
    <row r="3677" ht="24.75" customHeight="1" x14ac:dyDescent="0.3"/>
    <row r="3678" ht="24.75" customHeight="1" x14ac:dyDescent="0.3"/>
    <row r="3679" ht="24.75" customHeight="1" x14ac:dyDescent="0.3"/>
    <row r="3680" ht="24.75" customHeight="1" x14ac:dyDescent="0.3"/>
    <row r="3681" ht="24.75" customHeight="1" x14ac:dyDescent="0.3"/>
    <row r="3682" ht="24.75" customHeight="1" x14ac:dyDescent="0.3"/>
    <row r="3683" ht="24.75" customHeight="1" x14ac:dyDescent="0.3"/>
    <row r="3684" ht="24.75" customHeight="1" x14ac:dyDescent="0.3"/>
    <row r="3685" ht="24.75" customHeight="1" x14ac:dyDescent="0.3"/>
    <row r="3686" ht="24.75" customHeight="1" x14ac:dyDescent="0.3"/>
    <row r="3687" ht="24.75" customHeight="1" x14ac:dyDescent="0.3"/>
    <row r="3688" ht="24.75" customHeight="1" x14ac:dyDescent="0.3"/>
    <row r="3689" ht="24.75" customHeight="1" x14ac:dyDescent="0.3"/>
    <row r="3690" ht="24.75" customHeight="1" x14ac:dyDescent="0.3"/>
    <row r="3691" ht="24.75" customHeight="1" x14ac:dyDescent="0.3"/>
    <row r="3692" ht="24.75" customHeight="1" x14ac:dyDescent="0.3"/>
    <row r="3693" ht="24.75" customHeight="1" x14ac:dyDescent="0.3"/>
    <row r="3694" ht="24.75" customHeight="1" x14ac:dyDescent="0.3"/>
    <row r="3695" ht="24.75" customHeight="1" x14ac:dyDescent="0.3"/>
    <row r="3696" ht="24.75" customHeight="1" x14ac:dyDescent="0.3"/>
    <row r="3697" ht="24.75" customHeight="1" x14ac:dyDescent="0.3"/>
    <row r="3698" ht="24.75" customHeight="1" x14ac:dyDescent="0.3"/>
    <row r="3699" ht="24.75" customHeight="1" x14ac:dyDescent="0.3"/>
    <row r="3700" ht="24.75" customHeight="1" x14ac:dyDescent="0.3"/>
    <row r="3701" ht="24.75" customHeight="1" x14ac:dyDescent="0.3"/>
    <row r="3702" ht="24.75" customHeight="1" x14ac:dyDescent="0.3"/>
    <row r="3703" ht="24.75" customHeight="1" x14ac:dyDescent="0.3"/>
    <row r="3704" ht="24.75" customHeight="1" x14ac:dyDescent="0.3"/>
    <row r="3705" ht="24.75" customHeight="1" x14ac:dyDescent="0.3"/>
    <row r="3706" ht="24.75" customHeight="1" x14ac:dyDescent="0.3"/>
    <row r="3707" ht="24.75" customHeight="1" x14ac:dyDescent="0.3"/>
    <row r="3708" ht="24.75" customHeight="1" x14ac:dyDescent="0.3"/>
    <row r="3709" ht="24.75" customHeight="1" x14ac:dyDescent="0.3"/>
    <row r="3710" ht="24.75" customHeight="1" x14ac:dyDescent="0.3"/>
    <row r="3711" ht="24.75" customHeight="1" x14ac:dyDescent="0.3"/>
    <row r="3712" ht="24.75" customHeight="1" x14ac:dyDescent="0.3"/>
    <row r="3713" ht="24.75" customHeight="1" x14ac:dyDescent="0.3"/>
    <row r="3714" ht="24.75" customHeight="1" x14ac:dyDescent="0.3"/>
    <row r="3715" ht="24.75" customHeight="1" x14ac:dyDescent="0.3"/>
    <row r="3716" ht="24.75" customHeight="1" x14ac:dyDescent="0.3"/>
    <row r="3717" ht="24.75" customHeight="1" x14ac:dyDescent="0.3"/>
    <row r="3718" ht="24.75" customHeight="1" x14ac:dyDescent="0.3"/>
    <row r="3719" ht="24.75" customHeight="1" x14ac:dyDescent="0.3"/>
    <row r="3720" ht="24.75" customHeight="1" x14ac:dyDescent="0.3"/>
    <row r="3721" ht="24.75" customHeight="1" x14ac:dyDescent="0.3"/>
    <row r="3722" ht="24.75" customHeight="1" x14ac:dyDescent="0.3"/>
    <row r="3723" ht="24.75" customHeight="1" x14ac:dyDescent="0.3"/>
    <row r="3724" ht="24.75" customHeight="1" x14ac:dyDescent="0.3"/>
    <row r="3725" ht="24.75" customHeight="1" x14ac:dyDescent="0.3"/>
    <row r="3726" ht="24.75" customHeight="1" x14ac:dyDescent="0.3"/>
    <row r="3727" ht="24.75" customHeight="1" x14ac:dyDescent="0.3"/>
    <row r="3728" ht="24.75" customHeight="1" x14ac:dyDescent="0.3"/>
    <row r="3729" ht="24.75" customHeight="1" x14ac:dyDescent="0.3"/>
    <row r="3730" ht="24.75" customHeight="1" x14ac:dyDescent="0.3"/>
    <row r="3731" ht="24.75" customHeight="1" x14ac:dyDescent="0.3"/>
    <row r="3732" ht="24.75" customHeight="1" x14ac:dyDescent="0.3"/>
    <row r="3733" ht="24.75" customHeight="1" x14ac:dyDescent="0.3"/>
    <row r="3734" ht="24.75" customHeight="1" x14ac:dyDescent="0.3"/>
    <row r="3735" ht="24.75" customHeight="1" x14ac:dyDescent="0.3"/>
    <row r="3736" ht="24.75" customHeight="1" x14ac:dyDescent="0.3"/>
    <row r="3737" ht="24.75" customHeight="1" x14ac:dyDescent="0.3"/>
    <row r="3738" ht="24.75" customHeight="1" x14ac:dyDescent="0.3"/>
    <row r="3739" ht="24.75" customHeight="1" x14ac:dyDescent="0.3"/>
    <row r="3740" ht="24.75" customHeight="1" x14ac:dyDescent="0.3"/>
    <row r="3741" ht="24.75" customHeight="1" x14ac:dyDescent="0.3"/>
    <row r="3742" ht="24.75" customHeight="1" x14ac:dyDescent="0.3"/>
    <row r="3743" ht="24.75" customHeight="1" x14ac:dyDescent="0.3"/>
    <row r="3744" ht="24.75" customHeight="1" x14ac:dyDescent="0.3"/>
    <row r="3745" ht="24.75" customHeight="1" x14ac:dyDescent="0.3"/>
    <row r="3746" ht="24.75" customHeight="1" x14ac:dyDescent="0.3"/>
    <row r="3747" ht="24.75" customHeight="1" x14ac:dyDescent="0.3"/>
    <row r="3748" ht="24.75" customHeight="1" x14ac:dyDescent="0.3"/>
    <row r="3749" ht="24.75" customHeight="1" x14ac:dyDescent="0.3"/>
    <row r="3750" ht="24.75" customHeight="1" x14ac:dyDescent="0.3"/>
    <row r="3751" ht="24.75" customHeight="1" x14ac:dyDescent="0.3"/>
    <row r="3752" ht="24.75" customHeight="1" x14ac:dyDescent="0.3"/>
    <row r="3753" ht="24.75" customHeight="1" x14ac:dyDescent="0.3"/>
    <row r="3754" ht="24.75" customHeight="1" x14ac:dyDescent="0.3"/>
    <row r="3755" ht="24.75" customHeight="1" x14ac:dyDescent="0.3"/>
    <row r="3756" ht="24.75" customHeight="1" x14ac:dyDescent="0.3"/>
    <row r="3757" ht="24.75" customHeight="1" x14ac:dyDescent="0.3"/>
    <row r="3758" ht="24.75" customHeight="1" x14ac:dyDescent="0.3"/>
    <row r="3759" ht="24.75" customHeight="1" x14ac:dyDescent="0.3"/>
    <row r="3760" ht="24.75" customHeight="1" x14ac:dyDescent="0.3"/>
    <row r="3761" ht="24.75" customHeight="1" x14ac:dyDescent="0.3"/>
    <row r="3762" ht="24.75" customHeight="1" x14ac:dyDescent="0.3"/>
    <row r="3763" ht="24.75" customHeight="1" x14ac:dyDescent="0.3"/>
    <row r="3764" ht="24.75" customHeight="1" x14ac:dyDescent="0.3"/>
    <row r="3765" ht="24.75" customHeight="1" x14ac:dyDescent="0.3"/>
    <row r="3766" ht="24.75" customHeight="1" x14ac:dyDescent="0.3"/>
    <row r="3767" ht="24.75" customHeight="1" x14ac:dyDescent="0.3"/>
    <row r="3768" ht="24.75" customHeight="1" x14ac:dyDescent="0.3"/>
    <row r="3769" ht="24.75" customHeight="1" x14ac:dyDescent="0.3"/>
    <row r="3770" ht="24.75" customHeight="1" x14ac:dyDescent="0.3"/>
    <row r="3771" ht="24.75" customHeight="1" x14ac:dyDescent="0.3"/>
    <row r="3772" ht="24.75" customHeight="1" x14ac:dyDescent="0.3"/>
    <row r="3773" ht="24.75" customHeight="1" x14ac:dyDescent="0.3"/>
    <row r="3774" ht="24.75" customHeight="1" x14ac:dyDescent="0.3"/>
    <row r="3775" ht="24.75" customHeight="1" x14ac:dyDescent="0.3"/>
    <row r="3776" ht="24.75" customHeight="1" x14ac:dyDescent="0.3"/>
    <row r="3777" ht="24.75" customHeight="1" x14ac:dyDescent="0.3"/>
    <row r="3778" ht="24.75" customHeight="1" x14ac:dyDescent="0.3"/>
    <row r="3779" ht="24.75" customHeight="1" x14ac:dyDescent="0.3"/>
    <row r="3780" ht="24.75" customHeight="1" x14ac:dyDescent="0.3"/>
    <row r="3781" ht="24.75" customHeight="1" x14ac:dyDescent="0.3"/>
    <row r="3782" ht="24.75" customHeight="1" x14ac:dyDescent="0.3"/>
    <row r="3783" ht="24.75" customHeight="1" x14ac:dyDescent="0.3"/>
    <row r="3784" ht="24.75" customHeight="1" x14ac:dyDescent="0.3"/>
    <row r="3785" ht="24.75" customHeight="1" x14ac:dyDescent="0.3"/>
    <row r="3786" ht="24.75" customHeight="1" x14ac:dyDescent="0.3"/>
    <row r="3787" ht="24.75" customHeight="1" x14ac:dyDescent="0.3"/>
    <row r="3788" ht="24.75" customHeight="1" x14ac:dyDescent="0.3"/>
    <row r="3789" ht="24.75" customHeight="1" x14ac:dyDescent="0.3"/>
    <row r="3790" ht="24.75" customHeight="1" x14ac:dyDescent="0.3"/>
    <row r="3791" ht="24.75" customHeight="1" x14ac:dyDescent="0.3"/>
    <row r="3792" ht="24.75" customHeight="1" x14ac:dyDescent="0.3"/>
    <row r="3793" ht="24.75" customHeight="1" x14ac:dyDescent="0.3"/>
    <row r="3794" ht="24.75" customHeight="1" x14ac:dyDescent="0.3"/>
    <row r="3795" ht="24.75" customHeight="1" x14ac:dyDescent="0.3"/>
    <row r="3796" ht="24.75" customHeight="1" x14ac:dyDescent="0.3"/>
    <row r="3797" ht="24.75" customHeight="1" x14ac:dyDescent="0.3"/>
    <row r="3798" ht="24.75" customHeight="1" x14ac:dyDescent="0.3"/>
    <row r="3799" ht="24.75" customHeight="1" x14ac:dyDescent="0.3"/>
    <row r="3800" ht="24.75" customHeight="1" x14ac:dyDescent="0.3"/>
    <row r="3801" ht="24.75" customHeight="1" x14ac:dyDescent="0.3"/>
    <row r="3802" ht="24.75" customHeight="1" x14ac:dyDescent="0.3"/>
    <row r="3803" ht="24.75" customHeight="1" x14ac:dyDescent="0.3"/>
    <row r="3804" ht="24.75" customHeight="1" x14ac:dyDescent="0.3"/>
    <row r="3805" ht="24.75" customHeight="1" x14ac:dyDescent="0.3"/>
    <row r="3806" ht="24.75" customHeight="1" x14ac:dyDescent="0.3"/>
    <row r="3807" ht="24.75" customHeight="1" x14ac:dyDescent="0.3"/>
    <row r="3808" ht="24.75" customHeight="1" x14ac:dyDescent="0.3"/>
    <row r="3809" ht="24.75" customHeight="1" x14ac:dyDescent="0.3"/>
    <row r="3810" ht="24.75" customHeight="1" x14ac:dyDescent="0.3"/>
    <row r="3811" ht="24.75" customHeight="1" x14ac:dyDescent="0.3"/>
    <row r="3812" ht="24.75" customHeight="1" x14ac:dyDescent="0.3"/>
    <row r="3813" ht="24.75" customHeight="1" x14ac:dyDescent="0.3"/>
    <row r="3814" ht="24.75" customHeight="1" x14ac:dyDescent="0.3"/>
    <row r="3815" ht="24.75" customHeight="1" x14ac:dyDescent="0.3"/>
    <row r="3816" ht="24.75" customHeight="1" x14ac:dyDescent="0.3"/>
    <row r="3817" ht="24.75" customHeight="1" x14ac:dyDescent="0.3"/>
    <row r="3818" ht="24.75" customHeight="1" x14ac:dyDescent="0.3"/>
    <row r="3819" ht="24.75" customHeight="1" x14ac:dyDescent="0.3"/>
    <row r="3820" ht="24.75" customHeight="1" x14ac:dyDescent="0.3"/>
    <row r="3821" ht="24.75" customHeight="1" x14ac:dyDescent="0.3"/>
    <row r="3822" ht="24.75" customHeight="1" x14ac:dyDescent="0.3"/>
    <row r="3823" ht="24.75" customHeight="1" x14ac:dyDescent="0.3"/>
    <row r="3824" ht="24.75" customHeight="1" x14ac:dyDescent="0.3"/>
    <row r="3825" ht="24.75" customHeight="1" x14ac:dyDescent="0.3"/>
    <row r="3826" ht="24.75" customHeight="1" x14ac:dyDescent="0.3"/>
    <row r="3827" ht="24.75" customHeight="1" x14ac:dyDescent="0.3"/>
    <row r="3828" ht="24.75" customHeight="1" x14ac:dyDescent="0.3"/>
    <row r="3829" ht="24.75" customHeight="1" x14ac:dyDescent="0.3"/>
    <row r="3830" ht="24.75" customHeight="1" x14ac:dyDescent="0.3"/>
    <row r="3831" ht="24.75" customHeight="1" x14ac:dyDescent="0.3"/>
    <row r="3832" ht="24.75" customHeight="1" x14ac:dyDescent="0.3"/>
    <row r="3833" ht="24.75" customHeight="1" x14ac:dyDescent="0.3"/>
    <row r="3834" ht="24.75" customHeight="1" x14ac:dyDescent="0.3"/>
    <row r="3835" ht="24.75" customHeight="1" x14ac:dyDescent="0.3"/>
    <row r="3836" ht="24.75" customHeight="1" x14ac:dyDescent="0.3"/>
    <row r="3837" ht="24.75" customHeight="1" x14ac:dyDescent="0.3"/>
    <row r="3838" ht="24.75" customHeight="1" x14ac:dyDescent="0.3"/>
    <row r="3839" ht="24.75" customHeight="1" x14ac:dyDescent="0.3"/>
    <row r="3840" ht="24.75" customHeight="1" x14ac:dyDescent="0.3"/>
    <row r="3841" ht="24.75" customHeight="1" x14ac:dyDescent="0.3"/>
    <row r="3842" ht="24.75" customHeight="1" x14ac:dyDescent="0.3"/>
    <row r="3843" ht="24.75" customHeight="1" x14ac:dyDescent="0.3"/>
    <row r="3844" ht="24.75" customHeight="1" x14ac:dyDescent="0.3"/>
    <row r="3845" ht="24.75" customHeight="1" x14ac:dyDescent="0.3"/>
    <row r="3846" ht="24.75" customHeight="1" x14ac:dyDescent="0.3"/>
    <row r="3847" ht="24.75" customHeight="1" x14ac:dyDescent="0.3"/>
    <row r="3848" ht="24.75" customHeight="1" x14ac:dyDescent="0.3"/>
    <row r="3849" ht="24.75" customHeight="1" x14ac:dyDescent="0.3"/>
    <row r="3850" ht="24.75" customHeight="1" x14ac:dyDescent="0.3"/>
    <row r="3851" ht="24.75" customHeight="1" x14ac:dyDescent="0.3"/>
    <row r="3852" ht="24.75" customHeight="1" x14ac:dyDescent="0.3"/>
    <row r="3853" ht="24.75" customHeight="1" x14ac:dyDescent="0.3"/>
    <row r="3854" ht="24.75" customHeight="1" x14ac:dyDescent="0.3"/>
    <row r="3855" ht="24.75" customHeight="1" x14ac:dyDescent="0.3"/>
    <row r="3856" ht="24.75" customHeight="1" x14ac:dyDescent="0.3"/>
    <row r="3857" ht="24.75" customHeight="1" x14ac:dyDescent="0.3"/>
    <row r="3858" ht="24.75" customHeight="1" x14ac:dyDescent="0.3"/>
    <row r="3859" ht="24.75" customHeight="1" x14ac:dyDescent="0.3"/>
    <row r="3860" ht="24.75" customHeight="1" x14ac:dyDescent="0.3"/>
    <row r="3861" ht="24.75" customHeight="1" x14ac:dyDescent="0.3"/>
    <row r="3862" ht="24.75" customHeight="1" x14ac:dyDescent="0.3"/>
    <row r="3863" ht="24.75" customHeight="1" x14ac:dyDescent="0.3"/>
    <row r="3864" ht="24.75" customHeight="1" x14ac:dyDescent="0.3"/>
    <row r="3865" ht="24.75" customHeight="1" x14ac:dyDescent="0.3"/>
    <row r="3866" ht="24.75" customHeight="1" x14ac:dyDescent="0.3"/>
    <row r="3867" ht="24.75" customHeight="1" x14ac:dyDescent="0.3"/>
    <row r="3868" ht="24.75" customHeight="1" x14ac:dyDescent="0.3"/>
    <row r="3869" ht="24.75" customHeight="1" x14ac:dyDescent="0.3"/>
    <row r="3870" ht="24.75" customHeight="1" x14ac:dyDescent="0.3"/>
    <row r="3871" ht="24.75" customHeight="1" x14ac:dyDescent="0.3"/>
    <row r="3872" ht="24.75" customHeight="1" x14ac:dyDescent="0.3"/>
    <row r="3873" ht="24.75" customHeight="1" x14ac:dyDescent="0.3"/>
    <row r="3874" ht="24.75" customHeight="1" x14ac:dyDescent="0.3"/>
    <row r="3875" ht="24.75" customHeight="1" x14ac:dyDescent="0.3"/>
    <row r="3876" ht="24.75" customHeight="1" x14ac:dyDescent="0.3"/>
    <row r="3877" ht="24.75" customHeight="1" x14ac:dyDescent="0.3"/>
    <row r="3878" ht="24.75" customHeight="1" x14ac:dyDescent="0.3"/>
    <row r="3879" ht="24.75" customHeight="1" x14ac:dyDescent="0.3"/>
    <row r="3880" ht="24.75" customHeight="1" x14ac:dyDescent="0.3"/>
    <row r="3881" ht="24.75" customHeight="1" x14ac:dyDescent="0.3"/>
    <row r="3882" ht="24.75" customHeight="1" x14ac:dyDescent="0.3"/>
    <row r="3883" ht="24.75" customHeight="1" x14ac:dyDescent="0.3"/>
    <row r="3884" ht="24.75" customHeight="1" x14ac:dyDescent="0.3"/>
    <row r="3885" ht="24.75" customHeight="1" x14ac:dyDescent="0.3"/>
    <row r="3886" ht="24.75" customHeight="1" x14ac:dyDescent="0.3"/>
    <row r="3887" ht="24.75" customHeight="1" x14ac:dyDescent="0.3"/>
    <row r="3888" ht="24.75" customHeight="1" x14ac:dyDescent="0.3"/>
    <row r="3889" ht="24.75" customHeight="1" x14ac:dyDescent="0.3"/>
    <row r="3890" ht="24.75" customHeight="1" x14ac:dyDescent="0.3"/>
    <row r="3891" ht="24.75" customHeight="1" x14ac:dyDescent="0.3"/>
    <row r="3892" ht="24.75" customHeight="1" x14ac:dyDescent="0.3"/>
    <row r="3893" ht="24.75" customHeight="1" x14ac:dyDescent="0.3"/>
    <row r="3894" ht="24.75" customHeight="1" x14ac:dyDescent="0.3"/>
    <row r="3895" ht="24.75" customHeight="1" x14ac:dyDescent="0.3"/>
    <row r="3896" ht="24.75" customHeight="1" x14ac:dyDescent="0.3"/>
    <row r="3897" ht="24.75" customHeight="1" x14ac:dyDescent="0.3"/>
    <row r="3898" ht="24.75" customHeight="1" x14ac:dyDescent="0.3"/>
    <row r="3899" ht="24.75" customHeight="1" x14ac:dyDescent="0.3"/>
    <row r="3900" ht="24.75" customHeight="1" x14ac:dyDescent="0.3"/>
    <row r="3901" ht="24.75" customHeight="1" x14ac:dyDescent="0.3"/>
    <row r="3902" ht="24.75" customHeight="1" x14ac:dyDescent="0.3"/>
    <row r="3903" ht="24.75" customHeight="1" x14ac:dyDescent="0.3"/>
    <row r="3904" ht="24.75" customHeight="1" x14ac:dyDescent="0.3"/>
    <row r="3905" ht="24.75" customHeight="1" x14ac:dyDescent="0.3"/>
    <row r="3906" ht="24.75" customHeight="1" x14ac:dyDescent="0.3"/>
    <row r="3907" ht="24.75" customHeight="1" x14ac:dyDescent="0.3"/>
    <row r="3908" ht="24.75" customHeight="1" x14ac:dyDescent="0.3"/>
    <row r="3909" ht="24.75" customHeight="1" x14ac:dyDescent="0.3"/>
    <row r="3910" ht="24.75" customHeight="1" x14ac:dyDescent="0.3"/>
    <row r="3911" ht="24.75" customHeight="1" x14ac:dyDescent="0.3"/>
    <row r="3912" ht="24.75" customHeight="1" x14ac:dyDescent="0.3"/>
    <row r="3913" ht="24.75" customHeight="1" x14ac:dyDescent="0.3"/>
    <row r="3914" ht="24.75" customHeight="1" x14ac:dyDescent="0.3"/>
    <row r="3915" ht="24.75" customHeight="1" x14ac:dyDescent="0.3"/>
    <row r="3916" ht="24.75" customHeight="1" x14ac:dyDescent="0.3"/>
    <row r="3917" ht="24.75" customHeight="1" x14ac:dyDescent="0.3"/>
    <row r="3918" ht="24.75" customHeight="1" x14ac:dyDescent="0.3"/>
    <row r="3919" ht="24.75" customHeight="1" x14ac:dyDescent="0.3"/>
    <row r="3920" ht="24.75" customHeight="1" x14ac:dyDescent="0.3"/>
    <row r="3921" ht="24.75" customHeight="1" x14ac:dyDescent="0.3"/>
    <row r="3922" ht="24.75" customHeight="1" x14ac:dyDescent="0.3"/>
    <row r="3923" ht="24.75" customHeight="1" x14ac:dyDescent="0.3"/>
    <row r="3924" ht="24.75" customHeight="1" x14ac:dyDescent="0.3"/>
    <row r="3925" ht="24.75" customHeight="1" x14ac:dyDescent="0.3"/>
    <row r="3926" ht="24.75" customHeight="1" x14ac:dyDescent="0.3"/>
    <row r="3927" ht="24.75" customHeight="1" x14ac:dyDescent="0.3"/>
    <row r="3928" ht="24.75" customHeight="1" x14ac:dyDescent="0.3"/>
    <row r="3929" ht="24.75" customHeight="1" x14ac:dyDescent="0.3"/>
    <row r="3930" ht="24.75" customHeight="1" x14ac:dyDescent="0.3"/>
    <row r="3931" ht="24.75" customHeight="1" x14ac:dyDescent="0.3"/>
    <row r="3932" ht="24.75" customHeight="1" x14ac:dyDescent="0.3"/>
    <row r="3933" ht="24.75" customHeight="1" x14ac:dyDescent="0.3"/>
    <row r="3934" ht="24.75" customHeight="1" x14ac:dyDescent="0.3"/>
    <row r="3935" ht="24.75" customHeight="1" x14ac:dyDescent="0.3"/>
    <row r="3936" ht="24.75" customHeight="1" x14ac:dyDescent="0.3"/>
    <row r="3937" ht="24.75" customHeight="1" x14ac:dyDescent="0.3"/>
    <row r="3938" ht="24.75" customHeight="1" x14ac:dyDescent="0.3"/>
    <row r="3939" ht="24.75" customHeight="1" x14ac:dyDescent="0.3"/>
    <row r="3940" ht="24.75" customHeight="1" x14ac:dyDescent="0.3"/>
    <row r="3941" ht="24.75" customHeight="1" x14ac:dyDescent="0.3"/>
    <row r="3942" ht="24.75" customHeight="1" x14ac:dyDescent="0.3"/>
    <row r="3943" ht="24.75" customHeight="1" x14ac:dyDescent="0.3"/>
    <row r="3944" ht="24.75" customHeight="1" x14ac:dyDescent="0.3"/>
    <row r="3945" ht="24.75" customHeight="1" x14ac:dyDescent="0.3"/>
    <row r="3946" ht="24.75" customHeight="1" x14ac:dyDescent="0.3"/>
    <row r="3947" ht="24.75" customHeight="1" x14ac:dyDescent="0.3"/>
    <row r="3948" ht="24.75" customHeight="1" x14ac:dyDescent="0.3"/>
    <row r="3949" ht="24.75" customHeight="1" x14ac:dyDescent="0.3"/>
    <row r="3950" ht="24.75" customHeight="1" x14ac:dyDescent="0.3"/>
    <row r="3951" ht="24.75" customHeight="1" x14ac:dyDescent="0.3"/>
    <row r="3952" ht="24.75" customHeight="1" x14ac:dyDescent="0.3"/>
    <row r="3953" ht="24.75" customHeight="1" x14ac:dyDescent="0.3"/>
    <row r="3954" ht="24.75" customHeight="1" x14ac:dyDescent="0.3"/>
    <row r="3955" ht="24.75" customHeight="1" x14ac:dyDescent="0.3"/>
    <row r="3956" ht="24.75" customHeight="1" x14ac:dyDescent="0.3"/>
    <row r="3957" ht="24.75" customHeight="1" x14ac:dyDescent="0.3"/>
    <row r="3958" ht="24.75" customHeight="1" x14ac:dyDescent="0.3"/>
    <row r="3959" ht="24.75" customHeight="1" x14ac:dyDescent="0.3"/>
    <row r="3960" ht="24.75" customHeight="1" x14ac:dyDescent="0.3"/>
    <row r="3961" ht="24.75" customHeight="1" x14ac:dyDescent="0.3"/>
    <row r="3962" ht="24.75" customHeight="1" x14ac:dyDescent="0.3"/>
    <row r="3963" ht="24.75" customHeight="1" x14ac:dyDescent="0.3"/>
    <row r="3964" ht="24.75" customHeight="1" x14ac:dyDescent="0.3"/>
    <row r="3965" ht="24.75" customHeight="1" x14ac:dyDescent="0.3"/>
    <row r="3966" ht="24.75" customHeight="1" x14ac:dyDescent="0.3"/>
    <row r="3967" ht="24.75" customHeight="1" x14ac:dyDescent="0.3"/>
    <row r="3968" ht="24.75" customHeight="1" x14ac:dyDescent="0.3"/>
    <row r="3969" ht="24.75" customHeight="1" x14ac:dyDescent="0.3"/>
    <row r="3970" ht="24.75" customHeight="1" x14ac:dyDescent="0.3"/>
    <row r="3971" ht="24.75" customHeight="1" x14ac:dyDescent="0.3"/>
    <row r="3972" ht="24.75" customHeight="1" x14ac:dyDescent="0.3"/>
    <row r="3973" ht="24.75" customHeight="1" x14ac:dyDescent="0.3"/>
    <row r="3974" ht="24.75" customHeight="1" x14ac:dyDescent="0.3"/>
    <row r="3975" ht="24.75" customHeight="1" x14ac:dyDescent="0.3"/>
    <row r="3976" ht="24.75" customHeight="1" x14ac:dyDescent="0.3"/>
    <row r="3977" ht="24.75" customHeight="1" x14ac:dyDescent="0.3"/>
    <row r="3978" ht="24.75" customHeight="1" x14ac:dyDescent="0.3"/>
    <row r="3979" ht="24.75" customHeight="1" x14ac:dyDescent="0.3"/>
    <row r="3980" ht="24.75" customHeight="1" x14ac:dyDescent="0.3"/>
    <row r="3981" ht="24.75" customHeight="1" x14ac:dyDescent="0.3"/>
    <row r="3982" ht="24.75" customHeight="1" x14ac:dyDescent="0.3"/>
    <row r="3983" ht="24.75" customHeight="1" x14ac:dyDescent="0.3"/>
    <row r="3984" ht="24.75" customHeight="1" x14ac:dyDescent="0.3"/>
    <row r="3985" ht="24.75" customHeight="1" x14ac:dyDescent="0.3"/>
    <row r="3986" ht="24.75" customHeight="1" x14ac:dyDescent="0.3"/>
    <row r="3987" ht="24.75" customHeight="1" x14ac:dyDescent="0.3"/>
    <row r="3988" ht="24.75" customHeight="1" x14ac:dyDescent="0.3"/>
    <row r="3989" ht="24.75" customHeight="1" x14ac:dyDescent="0.3"/>
    <row r="3990" ht="24.75" customHeight="1" x14ac:dyDescent="0.3"/>
    <row r="3991" ht="24.75" customHeight="1" x14ac:dyDescent="0.3"/>
    <row r="3992" ht="24.75" customHeight="1" x14ac:dyDescent="0.3"/>
    <row r="3993" ht="24.75" customHeight="1" x14ac:dyDescent="0.3"/>
    <row r="3994" ht="24.75" customHeight="1" x14ac:dyDescent="0.3"/>
    <row r="3995" ht="24.75" customHeight="1" x14ac:dyDescent="0.3"/>
    <row r="3996" ht="24.75" customHeight="1" x14ac:dyDescent="0.3"/>
    <row r="3997" ht="24.75" customHeight="1" x14ac:dyDescent="0.3"/>
    <row r="3998" ht="24.75" customHeight="1" x14ac:dyDescent="0.3"/>
    <row r="3999" ht="24.75" customHeight="1" x14ac:dyDescent="0.3"/>
    <row r="4000" ht="24.75" customHeight="1" x14ac:dyDescent="0.3"/>
    <row r="4001" ht="24.75" customHeight="1" x14ac:dyDescent="0.3"/>
    <row r="4002" ht="24.75" customHeight="1" x14ac:dyDescent="0.3"/>
    <row r="4003" ht="24.75" customHeight="1" x14ac:dyDescent="0.3"/>
    <row r="4004" ht="24.75" customHeight="1" x14ac:dyDescent="0.3"/>
    <row r="4005" ht="24.75" customHeight="1" x14ac:dyDescent="0.3"/>
    <row r="4006" ht="24.75" customHeight="1" x14ac:dyDescent="0.3"/>
    <row r="4007" ht="24.75" customHeight="1" x14ac:dyDescent="0.3"/>
    <row r="4008" ht="24.75" customHeight="1" x14ac:dyDescent="0.3"/>
    <row r="4009" ht="24.75" customHeight="1" x14ac:dyDescent="0.3"/>
    <row r="4010" ht="24.75" customHeight="1" x14ac:dyDescent="0.3"/>
    <row r="4011" ht="24.75" customHeight="1" x14ac:dyDescent="0.3"/>
    <row r="4012" ht="24.75" customHeight="1" x14ac:dyDescent="0.3"/>
    <row r="4013" ht="24.75" customHeight="1" x14ac:dyDescent="0.3"/>
    <row r="4014" ht="24.75" customHeight="1" x14ac:dyDescent="0.3"/>
    <row r="4015" ht="24.75" customHeight="1" x14ac:dyDescent="0.3"/>
    <row r="4016" ht="24.75" customHeight="1" x14ac:dyDescent="0.3"/>
    <row r="4017" ht="24.75" customHeight="1" x14ac:dyDescent="0.3"/>
    <row r="4018" ht="24.75" customHeight="1" x14ac:dyDescent="0.3"/>
    <row r="4019" ht="24.75" customHeight="1" x14ac:dyDescent="0.3"/>
    <row r="4020" ht="24.75" customHeight="1" x14ac:dyDescent="0.3"/>
    <row r="4021" ht="24.75" customHeight="1" x14ac:dyDescent="0.3"/>
    <row r="4022" ht="24.75" customHeight="1" x14ac:dyDescent="0.3"/>
    <row r="4023" ht="24.75" customHeight="1" x14ac:dyDescent="0.3"/>
    <row r="4024" ht="24.75" customHeight="1" x14ac:dyDescent="0.3"/>
    <row r="4025" ht="24.75" customHeight="1" x14ac:dyDescent="0.3"/>
    <row r="4026" ht="24.75" customHeight="1" x14ac:dyDescent="0.3"/>
    <row r="4027" ht="24.75" customHeight="1" x14ac:dyDescent="0.3"/>
    <row r="4028" ht="24.75" customHeight="1" x14ac:dyDescent="0.3"/>
    <row r="4029" ht="24.75" customHeight="1" x14ac:dyDescent="0.3"/>
    <row r="4030" ht="24.75" customHeight="1" x14ac:dyDescent="0.3"/>
    <row r="4031" ht="24.75" customHeight="1" x14ac:dyDescent="0.3"/>
    <row r="4032" ht="24.75" customHeight="1" x14ac:dyDescent="0.3"/>
    <row r="4033" ht="24.75" customHeight="1" x14ac:dyDescent="0.3"/>
    <row r="4034" ht="24.75" customHeight="1" x14ac:dyDescent="0.3"/>
    <row r="4035" ht="24.75" customHeight="1" x14ac:dyDescent="0.3"/>
    <row r="4036" ht="24.75" customHeight="1" x14ac:dyDescent="0.3"/>
    <row r="4037" ht="24.75" customHeight="1" x14ac:dyDescent="0.3"/>
    <row r="4038" ht="24.75" customHeight="1" x14ac:dyDescent="0.3"/>
    <row r="4039" ht="24.75" customHeight="1" x14ac:dyDescent="0.3"/>
    <row r="4040" ht="24.75" customHeight="1" x14ac:dyDescent="0.3"/>
    <row r="4041" ht="24.75" customHeight="1" x14ac:dyDescent="0.3"/>
    <row r="4042" ht="24.75" customHeight="1" x14ac:dyDescent="0.3"/>
    <row r="4043" ht="24.75" customHeight="1" x14ac:dyDescent="0.3"/>
    <row r="4044" ht="24.75" customHeight="1" x14ac:dyDescent="0.3"/>
    <row r="4045" ht="24.75" customHeight="1" x14ac:dyDescent="0.3"/>
    <row r="4046" ht="24.75" customHeight="1" x14ac:dyDescent="0.3"/>
    <row r="4047" ht="24.75" customHeight="1" x14ac:dyDescent="0.3"/>
    <row r="4048" ht="24.75" customHeight="1" x14ac:dyDescent="0.3"/>
    <row r="4049" ht="24.75" customHeight="1" x14ac:dyDescent="0.3"/>
    <row r="4050" ht="24.75" customHeight="1" x14ac:dyDescent="0.3"/>
    <row r="4051" ht="24.75" customHeight="1" x14ac:dyDescent="0.3"/>
    <row r="4052" ht="24.75" customHeight="1" x14ac:dyDescent="0.3"/>
    <row r="4053" ht="24.75" customHeight="1" x14ac:dyDescent="0.3"/>
    <row r="4054" ht="24.75" customHeight="1" x14ac:dyDescent="0.3"/>
    <row r="4055" ht="24.75" customHeight="1" x14ac:dyDescent="0.3"/>
    <row r="4056" ht="24.75" customHeight="1" x14ac:dyDescent="0.3"/>
    <row r="4057" ht="24.75" customHeight="1" x14ac:dyDescent="0.3"/>
    <row r="4058" ht="24.75" customHeight="1" x14ac:dyDescent="0.3"/>
    <row r="4059" ht="24.75" customHeight="1" x14ac:dyDescent="0.3"/>
    <row r="4060" ht="24.75" customHeight="1" x14ac:dyDescent="0.3"/>
    <row r="4061" ht="24.75" customHeight="1" x14ac:dyDescent="0.3"/>
    <row r="4062" ht="24.75" customHeight="1" x14ac:dyDescent="0.3"/>
    <row r="4063" ht="24.75" customHeight="1" x14ac:dyDescent="0.3"/>
    <row r="4064" ht="24.75" customHeight="1" x14ac:dyDescent="0.3"/>
    <row r="4065" ht="24.75" customHeight="1" x14ac:dyDescent="0.3"/>
    <row r="4066" ht="24.75" customHeight="1" x14ac:dyDescent="0.3"/>
    <row r="4067" ht="24.75" customHeight="1" x14ac:dyDescent="0.3"/>
    <row r="4068" ht="24.75" customHeight="1" x14ac:dyDescent="0.3"/>
    <row r="4069" ht="24.75" customHeight="1" x14ac:dyDescent="0.3"/>
    <row r="4070" ht="24.75" customHeight="1" x14ac:dyDescent="0.3"/>
    <row r="4071" ht="24.75" customHeight="1" x14ac:dyDescent="0.3"/>
    <row r="4072" ht="24.75" customHeight="1" x14ac:dyDescent="0.3"/>
    <row r="4073" ht="24.75" customHeight="1" x14ac:dyDescent="0.3"/>
    <row r="4074" ht="24.75" customHeight="1" x14ac:dyDescent="0.3"/>
    <row r="4075" ht="24.75" customHeight="1" x14ac:dyDescent="0.3"/>
    <row r="4076" ht="24.75" customHeight="1" x14ac:dyDescent="0.3"/>
    <row r="4077" ht="24.75" customHeight="1" x14ac:dyDescent="0.3"/>
    <row r="4078" ht="24.75" customHeight="1" x14ac:dyDescent="0.3"/>
    <row r="4079" ht="24.75" customHeight="1" x14ac:dyDescent="0.3"/>
    <row r="4080" ht="24.75" customHeight="1" x14ac:dyDescent="0.3"/>
    <row r="4081" ht="24.75" customHeight="1" x14ac:dyDescent="0.3"/>
    <row r="4082" ht="24.75" customHeight="1" x14ac:dyDescent="0.3"/>
    <row r="4083" ht="24.75" customHeight="1" x14ac:dyDescent="0.3"/>
    <row r="4084" ht="24.75" customHeight="1" x14ac:dyDescent="0.3"/>
    <row r="4085" ht="24.75" customHeight="1" x14ac:dyDescent="0.3"/>
    <row r="4086" ht="24.75" customHeight="1" x14ac:dyDescent="0.3"/>
    <row r="4087" ht="24.75" customHeight="1" x14ac:dyDescent="0.3"/>
    <row r="4088" ht="24.75" customHeight="1" x14ac:dyDescent="0.3"/>
    <row r="4089" ht="24.75" customHeight="1" x14ac:dyDescent="0.3"/>
    <row r="4090" ht="24.75" customHeight="1" x14ac:dyDescent="0.3"/>
    <row r="4091" ht="24.75" customHeight="1" x14ac:dyDescent="0.3"/>
    <row r="4092" ht="24.75" customHeight="1" x14ac:dyDescent="0.3"/>
    <row r="4093" ht="24.75" customHeight="1" x14ac:dyDescent="0.3"/>
    <row r="4094" ht="24.75" customHeight="1" x14ac:dyDescent="0.3"/>
    <row r="4095" ht="24.75" customHeight="1" x14ac:dyDescent="0.3"/>
    <row r="4096" ht="24.75" customHeight="1" x14ac:dyDescent="0.3"/>
    <row r="4097" ht="24.75" customHeight="1" x14ac:dyDescent="0.3"/>
    <row r="4098" ht="24.75" customHeight="1" x14ac:dyDescent="0.3"/>
    <row r="4099" ht="24.75" customHeight="1" x14ac:dyDescent="0.3"/>
    <row r="4100" ht="24.75" customHeight="1" x14ac:dyDescent="0.3"/>
    <row r="4101" ht="24.75" customHeight="1" x14ac:dyDescent="0.3"/>
    <row r="4102" ht="24.75" customHeight="1" x14ac:dyDescent="0.3"/>
    <row r="4103" ht="24.75" customHeight="1" x14ac:dyDescent="0.3"/>
    <row r="4104" ht="24.75" customHeight="1" x14ac:dyDescent="0.3"/>
    <row r="4105" ht="24.75" customHeight="1" x14ac:dyDescent="0.3"/>
    <row r="4106" ht="24.75" customHeight="1" x14ac:dyDescent="0.3"/>
    <row r="4107" ht="24.75" customHeight="1" x14ac:dyDescent="0.3"/>
    <row r="4108" ht="24.75" customHeight="1" x14ac:dyDescent="0.3"/>
    <row r="4109" ht="24.75" customHeight="1" x14ac:dyDescent="0.3"/>
    <row r="4110" ht="24.75" customHeight="1" x14ac:dyDescent="0.3"/>
    <row r="4111" ht="24.75" customHeight="1" x14ac:dyDescent="0.3"/>
    <row r="4112" ht="24.75" customHeight="1" x14ac:dyDescent="0.3"/>
    <row r="4113" ht="24.75" customHeight="1" x14ac:dyDescent="0.3"/>
    <row r="4114" ht="24.75" customHeight="1" x14ac:dyDescent="0.3"/>
    <row r="4115" ht="24.75" customHeight="1" x14ac:dyDescent="0.3"/>
    <row r="4116" ht="24.75" customHeight="1" x14ac:dyDescent="0.3"/>
    <row r="4117" ht="24.75" customHeight="1" x14ac:dyDescent="0.3"/>
    <row r="4118" ht="24.75" customHeight="1" x14ac:dyDescent="0.3"/>
    <row r="4119" ht="24.75" customHeight="1" x14ac:dyDescent="0.3"/>
    <row r="4120" ht="24.75" customHeight="1" x14ac:dyDescent="0.3"/>
    <row r="4121" ht="24.75" customHeight="1" x14ac:dyDescent="0.3"/>
    <row r="4122" ht="24.75" customHeight="1" x14ac:dyDescent="0.3"/>
    <row r="4123" ht="24.75" customHeight="1" x14ac:dyDescent="0.3"/>
    <row r="4124" ht="24.75" customHeight="1" x14ac:dyDescent="0.3"/>
    <row r="4125" ht="24.75" customHeight="1" x14ac:dyDescent="0.3"/>
    <row r="4126" ht="24.75" customHeight="1" x14ac:dyDescent="0.3"/>
    <row r="4127" ht="24.75" customHeight="1" x14ac:dyDescent="0.3"/>
    <row r="4128" ht="24.75" customHeight="1" x14ac:dyDescent="0.3"/>
    <row r="4129" ht="24.75" customHeight="1" x14ac:dyDescent="0.3"/>
    <row r="4130" ht="24.75" customHeight="1" x14ac:dyDescent="0.3"/>
    <row r="4131" ht="24.75" customHeight="1" x14ac:dyDescent="0.3"/>
    <row r="4132" ht="24.75" customHeight="1" x14ac:dyDescent="0.3"/>
    <row r="4133" ht="24.75" customHeight="1" x14ac:dyDescent="0.3"/>
    <row r="4134" ht="24.75" customHeight="1" x14ac:dyDescent="0.3"/>
    <row r="4135" ht="24.75" customHeight="1" x14ac:dyDescent="0.3"/>
    <row r="4136" ht="24.75" customHeight="1" x14ac:dyDescent="0.3"/>
    <row r="4137" ht="24.75" customHeight="1" x14ac:dyDescent="0.3"/>
    <row r="4138" ht="24.75" customHeight="1" x14ac:dyDescent="0.3"/>
    <row r="4139" ht="24.75" customHeight="1" x14ac:dyDescent="0.3"/>
    <row r="4140" ht="24.75" customHeight="1" x14ac:dyDescent="0.3"/>
    <row r="4141" ht="24.75" customHeight="1" x14ac:dyDescent="0.3"/>
    <row r="4142" ht="24.75" customHeight="1" x14ac:dyDescent="0.3"/>
    <row r="4143" ht="24.75" customHeight="1" x14ac:dyDescent="0.3"/>
    <row r="4144" ht="24.75" customHeight="1" x14ac:dyDescent="0.3"/>
    <row r="4145" ht="24.75" customHeight="1" x14ac:dyDescent="0.3"/>
    <row r="4146" ht="24.75" customHeight="1" x14ac:dyDescent="0.3"/>
    <row r="4147" ht="24.75" customHeight="1" x14ac:dyDescent="0.3"/>
    <row r="4148" ht="24.75" customHeight="1" x14ac:dyDescent="0.3"/>
    <row r="4149" ht="24.75" customHeight="1" x14ac:dyDescent="0.3"/>
    <row r="4150" ht="24.75" customHeight="1" x14ac:dyDescent="0.3"/>
    <row r="4151" ht="24.75" customHeight="1" x14ac:dyDescent="0.3"/>
    <row r="4152" ht="24.75" customHeight="1" x14ac:dyDescent="0.3"/>
    <row r="4153" ht="24.75" customHeight="1" x14ac:dyDescent="0.3"/>
    <row r="4154" ht="24.75" customHeight="1" x14ac:dyDescent="0.3"/>
    <row r="4155" ht="24.75" customHeight="1" x14ac:dyDescent="0.3"/>
    <row r="4156" ht="24.75" customHeight="1" x14ac:dyDescent="0.3"/>
    <row r="4157" ht="24.75" customHeight="1" x14ac:dyDescent="0.3"/>
    <row r="4158" ht="24.75" customHeight="1" x14ac:dyDescent="0.3"/>
    <row r="4159" ht="24.75" customHeight="1" x14ac:dyDescent="0.3"/>
    <row r="4160" ht="24.75" customHeight="1" x14ac:dyDescent="0.3"/>
    <row r="4161" ht="24.75" customHeight="1" x14ac:dyDescent="0.3"/>
    <row r="4162" ht="24.75" customHeight="1" x14ac:dyDescent="0.3"/>
    <row r="4163" ht="24.75" customHeight="1" x14ac:dyDescent="0.3"/>
    <row r="4164" ht="24.75" customHeight="1" x14ac:dyDescent="0.3"/>
    <row r="4165" ht="24.75" customHeight="1" x14ac:dyDescent="0.3"/>
    <row r="4166" ht="24.75" customHeight="1" x14ac:dyDescent="0.3"/>
    <row r="4167" ht="24.75" customHeight="1" x14ac:dyDescent="0.3"/>
    <row r="4168" ht="24.75" customHeight="1" x14ac:dyDescent="0.3"/>
    <row r="4169" ht="24.75" customHeight="1" x14ac:dyDescent="0.3"/>
    <row r="4170" ht="24.75" customHeight="1" x14ac:dyDescent="0.3"/>
    <row r="4171" ht="24.75" customHeight="1" x14ac:dyDescent="0.3"/>
    <row r="4172" ht="24.75" customHeight="1" x14ac:dyDescent="0.3"/>
    <row r="4173" ht="24.75" customHeight="1" x14ac:dyDescent="0.3"/>
    <row r="4174" ht="24.75" customHeight="1" x14ac:dyDescent="0.3"/>
    <row r="4175" ht="24.75" customHeight="1" x14ac:dyDescent="0.3"/>
    <row r="4176" ht="24.75" customHeight="1" x14ac:dyDescent="0.3"/>
    <row r="4177" ht="24.75" customHeight="1" x14ac:dyDescent="0.3"/>
    <row r="4178" ht="24.75" customHeight="1" x14ac:dyDescent="0.3"/>
    <row r="4179" ht="24.75" customHeight="1" x14ac:dyDescent="0.3"/>
    <row r="4180" ht="24.75" customHeight="1" x14ac:dyDescent="0.3"/>
    <row r="4181" ht="24.75" customHeight="1" x14ac:dyDescent="0.3"/>
    <row r="4182" ht="24.75" customHeight="1" x14ac:dyDescent="0.3"/>
    <row r="4183" ht="24.75" customHeight="1" x14ac:dyDescent="0.3"/>
    <row r="4184" ht="24.75" customHeight="1" x14ac:dyDescent="0.3"/>
    <row r="4185" ht="24.75" customHeight="1" x14ac:dyDescent="0.3"/>
    <row r="4186" ht="24.75" customHeight="1" x14ac:dyDescent="0.3"/>
    <row r="4187" ht="24.75" customHeight="1" x14ac:dyDescent="0.3"/>
    <row r="4188" ht="24.75" customHeight="1" x14ac:dyDescent="0.3"/>
    <row r="4189" ht="24.75" customHeight="1" x14ac:dyDescent="0.3"/>
    <row r="4190" ht="24.75" customHeight="1" x14ac:dyDescent="0.3"/>
    <row r="4191" ht="24.75" customHeight="1" x14ac:dyDescent="0.3"/>
    <row r="4192" ht="24.75" customHeight="1" x14ac:dyDescent="0.3"/>
    <row r="4193" ht="24.75" customHeight="1" x14ac:dyDescent="0.3"/>
    <row r="4194" ht="24.75" customHeight="1" x14ac:dyDescent="0.3"/>
    <row r="4195" ht="24.75" customHeight="1" x14ac:dyDescent="0.3"/>
    <row r="4196" ht="24.75" customHeight="1" x14ac:dyDescent="0.3"/>
    <row r="4197" ht="24.75" customHeight="1" x14ac:dyDescent="0.3"/>
    <row r="4198" ht="24.75" customHeight="1" x14ac:dyDescent="0.3"/>
    <row r="4199" ht="24.75" customHeight="1" x14ac:dyDescent="0.3"/>
    <row r="4200" ht="24.75" customHeight="1" x14ac:dyDescent="0.3"/>
    <row r="4201" ht="24.75" customHeight="1" x14ac:dyDescent="0.3"/>
    <row r="4202" ht="24.75" customHeight="1" x14ac:dyDescent="0.3"/>
    <row r="4203" ht="24.75" customHeight="1" x14ac:dyDescent="0.3"/>
    <row r="4204" ht="24.75" customHeight="1" x14ac:dyDescent="0.3"/>
    <row r="4205" ht="24.75" customHeight="1" x14ac:dyDescent="0.3"/>
    <row r="4206" ht="24.75" customHeight="1" x14ac:dyDescent="0.3"/>
    <row r="4207" ht="24.75" customHeight="1" x14ac:dyDescent="0.3"/>
    <row r="4208" ht="24.75" customHeight="1" x14ac:dyDescent="0.3"/>
    <row r="4209" ht="24.75" customHeight="1" x14ac:dyDescent="0.3"/>
    <row r="4210" ht="24.75" customHeight="1" x14ac:dyDescent="0.3"/>
    <row r="4211" ht="24.75" customHeight="1" x14ac:dyDescent="0.3"/>
    <row r="4212" ht="24.75" customHeight="1" x14ac:dyDescent="0.3"/>
    <row r="4213" ht="24.75" customHeight="1" x14ac:dyDescent="0.3"/>
    <row r="4214" ht="24.75" customHeight="1" x14ac:dyDescent="0.3"/>
    <row r="4215" ht="24.75" customHeight="1" x14ac:dyDescent="0.3"/>
    <row r="4216" ht="24.75" customHeight="1" x14ac:dyDescent="0.3"/>
    <row r="4217" ht="24.75" customHeight="1" x14ac:dyDescent="0.3"/>
    <row r="4218" ht="24.75" customHeight="1" x14ac:dyDescent="0.3"/>
    <row r="4219" ht="24.75" customHeight="1" x14ac:dyDescent="0.3"/>
    <row r="4220" ht="24.75" customHeight="1" x14ac:dyDescent="0.3"/>
    <row r="4221" ht="24.75" customHeight="1" x14ac:dyDescent="0.3"/>
    <row r="4222" ht="24.75" customHeight="1" x14ac:dyDescent="0.3"/>
    <row r="4223" ht="24.75" customHeight="1" x14ac:dyDescent="0.3"/>
    <row r="4224" ht="24.75" customHeight="1" x14ac:dyDescent="0.3"/>
    <row r="4225" ht="24.75" customHeight="1" x14ac:dyDescent="0.3"/>
    <row r="4226" ht="24.75" customHeight="1" x14ac:dyDescent="0.3"/>
    <row r="4227" ht="24.75" customHeight="1" x14ac:dyDescent="0.3"/>
    <row r="4228" ht="24.75" customHeight="1" x14ac:dyDescent="0.3"/>
    <row r="4229" ht="24.75" customHeight="1" x14ac:dyDescent="0.3"/>
    <row r="4230" ht="24.75" customHeight="1" x14ac:dyDescent="0.3"/>
    <row r="4231" ht="24.75" customHeight="1" x14ac:dyDescent="0.3"/>
    <row r="4232" ht="24.75" customHeight="1" x14ac:dyDescent="0.3"/>
    <row r="4233" ht="24.75" customHeight="1" x14ac:dyDescent="0.3"/>
    <row r="4234" ht="24.75" customHeight="1" x14ac:dyDescent="0.3"/>
    <row r="4235" ht="24.75" customHeight="1" x14ac:dyDescent="0.3"/>
    <row r="4236" ht="24.75" customHeight="1" x14ac:dyDescent="0.3"/>
    <row r="4237" ht="24.75" customHeight="1" x14ac:dyDescent="0.3"/>
    <row r="4238" ht="24.75" customHeight="1" x14ac:dyDescent="0.3"/>
    <row r="4239" ht="24.75" customHeight="1" x14ac:dyDescent="0.3"/>
    <row r="4240" ht="24.75" customHeight="1" x14ac:dyDescent="0.3"/>
    <row r="4241" ht="24.75" customHeight="1" x14ac:dyDescent="0.3"/>
    <row r="4242" ht="24.75" customHeight="1" x14ac:dyDescent="0.3"/>
    <row r="4243" ht="24.75" customHeight="1" x14ac:dyDescent="0.3"/>
    <row r="4244" ht="24.75" customHeight="1" x14ac:dyDescent="0.3"/>
    <row r="4245" ht="24.75" customHeight="1" x14ac:dyDescent="0.3"/>
    <row r="4246" ht="24.75" customHeight="1" x14ac:dyDescent="0.3"/>
    <row r="4247" ht="24.75" customHeight="1" x14ac:dyDescent="0.3"/>
    <row r="4248" ht="24.75" customHeight="1" x14ac:dyDescent="0.3"/>
    <row r="4249" ht="24.75" customHeight="1" x14ac:dyDescent="0.3"/>
    <row r="4250" ht="24.75" customHeight="1" x14ac:dyDescent="0.3"/>
    <row r="4251" ht="24.75" customHeight="1" x14ac:dyDescent="0.3"/>
    <row r="4252" ht="24.75" customHeight="1" x14ac:dyDescent="0.3"/>
    <row r="4253" ht="24.75" customHeight="1" x14ac:dyDescent="0.3"/>
    <row r="4254" ht="24.75" customHeight="1" x14ac:dyDescent="0.3"/>
    <row r="4255" ht="24.75" customHeight="1" x14ac:dyDescent="0.3"/>
    <row r="4256" ht="24.75" customHeight="1" x14ac:dyDescent="0.3"/>
    <row r="4257" ht="24.75" customHeight="1" x14ac:dyDescent="0.3"/>
    <row r="4258" ht="24.75" customHeight="1" x14ac:dyDescent="0.3"/>
    <row r="4259" ht="24.75" customHeight="1" x14ac:dyDescent="0.3"/>
    <row r="4260" ht="24.75" customHeight="1" x14ac:dyDescent="0.3"/>
    <row r="4261" ht="24.75" customHeight="1" x14ac:dyDescent="0.3"/>
    <row r="4262" ht="24.75" customHeight="1" x14ac:dyDescent="0.3"/>
    <row r="4263" ht="24.75" customHeight="1" x14ac:dyDescent="0.3"/>
    <row r="4264" ht="24.75" customHeight="1" x14ac:dyDescent="0.3"/>
    <row r="4265" ht="24.75" customHeight="1" x14ac:dyDescent="0.3"/>
    <row r="4266" ht="24.75" customHeight="1" x14ac:dyDescent="0.3"/>
    <row r="4267" ht="24.75" customHeight="1" x14ac:dyDescent="0.3"/>
    <row r="4268" ht="24.75" customHeight="1" x14ac:dyDescent="0.3"/>
    <row r="4269" ht="24.75" customHeight="1" x14ac:dyDescent="0.3"/>
    <row r="4270" ht="24.75" customHeight="1" x14ac:dyDescent="0.3"/>
    <row r="4271" ht="24.75" customHeight="1" x14ac:dyDescent="0.3"/>
    <row r="4272" ht="24.75" customHeight="1" x14ac:dyDescent="0.3"/>
    <row r="4273" ht="24.75" customHeight="1" x14ac:dyDescent="0.3"/>
    <row r="4274" ht="24.75" customHeight="1" x14ac:dyDescent="0.3"/>
    <row r="4275" ht="24.75" customHeight="1" x14ac:dyDescent="0.3"/>
    <row r="4276" ht="24.75" customHeight="1" x14ac:dyDescent="0.3"/>
    <row r="4277" ht="24.75" customHeight="1" x14ac:dyDescent="0.3"/>
    <row r="4278" ht="24.75" customHeight="1" x14ac:dyDescent="0.3"/>
    <row r="4279" ht="24.75" customHeight="1" x14ac:dyDescent="0.3"/>
    <row r="4280" ht="24.75" customHeight="1" x14ac:dyDescent="0.3"/>
    <row r="4281" ht="24.75" customHeight="1" x14ac:dyDescent="0.3"/>
    <row r="4282" ht="24.75" customHeight="1" x14ac:dyDescent="0.3"/>
    <row r="4283" ht="24.75" customHeight="1" x14ac:dyDescent="0.3"/>
    <row r="4284" ht="24.75" customHeight="1" x14ac:dyDescent="0.3"/>
    <row r="4285" ht="24.75" customHeight="1" x14ac:dyDescent="0.3"/>
    <row r="4286" ht="24.75" customHeight="1" x14ac:dyDescent="0.3"/>
    <row r="4287" ht="24.75" customHeight="1" x14ac:dyDescent="0.3"/>
    <row r="4288" ht="24.75" customHeight="1" x14ac:dyDescent="0.3"/>
    <row r="4289" ht="24.75" customHeight="1" x14ac:dyDescent="0.3"/>
    <row r="4290" ht="24.75" customHeight="1" x14ac:dyDescent="0.3"/>
    <row r="4291" ht="24.75" customHeight="1" x14ac:dyDescent="0.3"/>
    <row r="4292" ht="24.75" customHeight="1" x14ac:dyDescent="0.3"/>
    <row r="4293" ht="24.75" customHeight="1" x14ac:dyDescent="0.3"/>
    <row r="4294" ht="24.75" customHeight="1" x14ac:dyDescent="0.3"/>
    <row r="4295" ht="24.75" customHeight="1" x14ac:dyDescent="0.3"/>
    <row r="4296" ht="24.75" customHeight="1" x14ac:dyDescent="0.3"/>
    <row r="4297" ht="24.75" customHeight="1" x14ac:dyDescent="0.3"/>
    <row r="4298" ht="24.75" customHeight="1" x14ac:dyDescent="0.3"/>
    <row r="4299" ht="24.75" customHeight="1" x14ac:dyDescent="0.3"/>
    <row r="4300" ht="24.75" customHeight="1" x14ac:dyDescent="0.3"/>
    <row r="4301" ht="24.75" customHeight="1" x14ac:dyDescent="0.3"/>
    <row r="4302" ht="24.75" customHeight="1" x14ac:dyDescent="0.3"/>
    <row r="4303" ht="24.75" customHeight="1" x14ac:dyDescent="0.3"/>
    <row r="4304" ht="24.75" customHeight="1" x14ac:dyDescent="0.3"/>
    <row r="4305" ht="24.75" customHeight="1" x14ac:dyDescent="0.3"/>
    <row r="4306" ht="24.75" customHeight="1" x14ac:dyDescent="0.3"/>
    <row r="4307" ht="24.75" customHeight="1" x14ac:dyDescent="0.3"/>
    <row r="4308" ht="24.75" customHeight="1" x14ac:dyDescent="0.3"/>
    <row r="4309" ht="24.75" customHeight="1" x14ac:dyDescent="0.3"/>
    <row r="4310" ht="24.75" customHeight="1" x14ac:dyDescent="0.3"/>
    <row r="4311" ht="24.75" customHeight="1" x14ac:dyDescent="0.3"/>
    <row r="4312" ht="24.75" customHeight="1" x14ac:dyDescent="0.3"/>
    <row r="4313" ht="24.75" customHeight="1" x14ac:dyDescent="0.3"/>
    <row r="4314" ht="24.75" customHeight="1" x14ac:dyDescent="0.3"/>
    <row r="4315" ht="24.75" customHeight="1" x14ac:dyDescent="0.3"/>
    <row r="4316" ht="24.75" customHeight="1" x14ac:dyDescent="0.3"/>
    <row r="4317" ht="24.75" customHeight="1" x14ac:dyDescent="0.3"/>
    <row r="4318" ht="24.75" customHeight="1" x14ac:dyDescent="0.3"/>
    <row r="4319" ht="24.75" customHeight="1" x14ac:dyDescent="0.3"/>
    <row r="4320" ht="24.75" customHeight="1" x14ac:dyDescent="0.3"/>
    <row r="4321" ht="24.75" customHeight="1" x14ac:dyDescent="0.3"/>
    <row r="4322" ht="24.75" customHeight="1" x14ac:dyDescent="0.3"/>
    <row r="4323" ht="24.75" customHeight="1" x14ac:dyDescent="0.3"/>
    <row r="4324" ht="24.75" customHeight="1" x14ac:dyDescent="0.3"/>
    <row r="4325" ht="24.75" customHeight="1" x14ac:dyDescent="0.3"/>
    <row r="4326" ht="24.75" customHeight="1" x14ac:dyDescent="0.3"/>
    <row r="4327" ht="24.75" customHeight="1" x14ac:dyDescent="0.3"/>
    <row r="4328" ht="24.75" customHeight="1" x14ac:dyDescent="0.3"/>
    <row r="4329" ht="24.75" customHeight="1" x14ac:dyDescent="0.3"/>
    <row r="4330" ht="24.75" customHeight="1" x14ac:dyDescent="0.3"/>
    <row r="4331" ht="24.75" customHeight="1" x14ac:dyDescent="0.3"/>
    <row r="4332" ht="24.75" customHeight="1" x14ac:dyDescent="0.3"/>
    <row r="4333" ht="24.75" customHeight="1" x14ac:dyDescent="0.3"/>
    <row r="4334" ht="24.75" customHeight="1" x14ac:dyDescent="0.3"/>
    <row r="4335" ht="24.75" customHeight="1" x14ac:dyDescent="0.3"/>
    <row r="4336" ht="24.75" customHeight="1" x14ac:dyDescent="0.3"/>
    <row r="4337" ht="24.75" customHeight="1" x14ac:dyDescent="0.3"/>
    <row r="4338" ht="24.75" customHeight="1" x14ac:dyDescent="0.3"/>
    <row r="4339" ht="24.75" customHeight="1" x14ac:dyDescent="0.3"/>
    <row r="4340" ht="24.75" customHeight="1" x14ac:dyDescent="0.3"/>
    <row r="4341" ht="24.75" customHeight="1" x14ac:dyDescent="0.3"/>
    <row r="4342" ht="24.75" customHeight="1" x14ac:dyDescent="0.3"/>
    <row r="4343" ht="24.75" customHeight="1" x14ac:dyDescent="0.3"/>
    <row r="4344" ht="24.75" customHeight="1" x14ac:dyDescent="0.3"/>
    <row r="4345" ht="24.75" customHeight="1" x14ac:dyDescent="0.3"/>
    <row r="4346" ht="24.75" customHeight="1" x14ac:dyDescent="0.3"/>
    <row r="4347" ht="24.75" customHeight="1" x14ac:dyDescent="0.3"/>
    <row r="4348" ht="24.75" customHeight="1" x14ac:dyDescent="0.3"/>
    <row r="4349" ht="24.75" customHeight="1" x14ac:dyDescent="0.3"/>
    <row r="4350" ht="24.75" customHeight="1" x14ac:dyDescent="0.3"/>
    <row r="4351" ht="24.75" customHeight="1" x14ac:dyDescent="0.3"/>
    <row r="4352" ht="24.75" customHeight="1" x14ac:dyDescent="0.3"/>
    <row r="4353" ht="24.75" customHeight="1" x14ac:dyDescent="0.3"/>
    <row r="4354" ht="24.75" customHeight="1" x14ac:dyDescent="0.3"/>
    <row r="4355" ht="24.75" customHeight="1" x14ac:dyDescent="0.3"/>
    <row r="4356" ht="24.75" customHeight="1" x14ac:dyDescent="0.3"/>
    <row r="4357" ht="24.75" customHeight="1" x14ac:dyDescent="0.3"/>
    <row r="4358" ht="24.75" customHeight="1" x14ac:dyDescent="0.3"/>
    <row r="4359" ht="24.75" customHeight="1" x14ac:dyDescent="0.3"/>
    <row r="4360" ht="24.75" customHeight="1" x14ac:dyDescent="0.3"/>
    <row r="4361" ht="24.75" customHeight="1" x14ac:dyDescent="0.3"/>
    <row r="4362" ht="24.75" customHeight="1" x14ac:dyDescent="0.3"/>
    <row r="4363" ht="24.75" customHeight="1" x14ac:dyDescent="0.3"/>
    <row r="4364" ht="24.75" customHeight="1" x14ac:dyDescent="0.3"/>
    <row r="4365" ht="24.75" customHeight="1" x14ac:dyDescent="0.3"/>
    <row r="4366" ht="24.75" customHeight="1" x14ac:dyDescent="0.3"/>
    <row r="4367" ht="24.75" customHeight="1" x14ac:dyDescent="0.3"/>
    <row r="4368" ht="24.75" customHeight="1" x14ac:dyDescent="0.3"/>
    <row r="4369" ht="24.75" customHeight="1" x14ac:dyDescent="0.3"/>
    <row r="4370" ht="24.75" customHeight="1" x14ac:dyDescent="0.3"/>
    <row r="4371" ht="24.75" customHeight="1" x14ac:dyDescent="0.3"/>
    <row r="4372" ht="24.75" customHeight="1" x14ac:dyDescent="0.3"/>
    <row r="4373" ht="24.75" customHeight="1" x14ac:dyDescent="0.3"/>
    <row r="4374" ht="24.75" customHeight="1" x14ac:dyDescent="0.3"/>
    <row r="4375" ht="24.75" customHeight="1" x14ac:dyDescent="0.3"/>
    <row r="4376" ht="24.75" customHeight="1" x14ac:dyDescent="0.3"/>
    <row r="4377" ht="24.75" customHeight="1" x14ac:dyDescent="0.3"/>
    <row r="4378" ht="24.75" customHeight="1" x14ac:dyDescent="0.3"/>
    <row r="4379" ht="24.75" customHeight="1" x14ac:dyDescent="0.3"/>
    <row r="4380" ht="24.75" customHeight="1" x14ac:dyDescent="0.3"/>
    <row r="4381" ht="24.75" customHeight="1" x14ac:dyDescent="0.3"/>
    <row r="4382" ht="24.75" customHeight="1" x14ac:dyDescent="0.3"/>
    <row r="4383" ht="24.75" customHeight="1" x14ac:dyDescent="0.3"/>
    <row r="4384" ht="24.75" customHeight="1" x14ac:dyDescent="0.3"/>
    <row r="4385" ht="24.75" customHeight="1" x14ac:dyDescent="0.3"/>
    <row r="4386" ht="24.75" customHeight="1" x14ac:dyDescent="0.3"/>
    <row r="4387" ht="24.75" customHeight="1" x14ac:dyDescent="0.3"/>
    <row r="4388" ht="24.75" customHeight="1" x14ac:dyDescent="0.3"/>
    <row r="4389" ht="24.75" customHeight="1" x14ac:dyDescent="0.3"/>
    <row r="4390" ht="24.75" customHeight="1" x14ac:dyDescent="0.3"/>
    <row r="4391" ht="24.75" customHeight="1" x14ac:dyDescent="0.3"/>
    <row r="4392" ht="24.75" customHeight="1" x14ac:dyDescent="0.3"/>
    <row r="4393" ht="24.75" customHeight="1" x14ac:dyDescent="0.3"/>
    <row r="4394" ht="24.75" customHeight="1" x14ac:dyDescent="0.3"/>
    <row r="4395" ht="24.75" customHeight="1" x14ac:dyDescent="0.3"/>
    <row r="4396" ht="24.75" customHeight="1" x14ac:dyDescent="0.3"/>
    <row r="4397" ht="24.75" customHeight="1" x14ac:dyDescent="0.3"/>
    <row r="4398" ht="24.75" customHeight="1" x14ac:dyDescent="0.3"/>
    <row r="4399" ht="24.75" customHeight="1" x14ac:dyDescent="0.3"/>
    <row r="4400" ht="24.75" customHeight="1" x14ac:dyDescent="0.3"/>
    <row r="4401" ht="24.75" customHeight="1" x14ac:dyDescent="0.3"/>
    <row r="4402" ht="24.75" customHeight="1" x14ac:dyDescent="0.3"/>
    <row r="4403" ht="24.75" customHeight="1" x14ac:dyDescent="0.3"/>
    <row r="4404" ht="24.75" customHeight="1" x14ac:dyDescent="0.3"/>
    <row r="4405" ht="24.75" customHeight="1" x14ac:dyDescent="0.3"/>
    <row r="4406" ht="24.75" customHeight="1" x14ac:dyDescent="0.3"/>
    <row r="4407" ht="24.75" customHeight="1" x14ac:dyDescent="0.3"/>
    <row r="4408" ht="24.75" customHeight="1" x14ac:dyDescent="0.3"/>
    <row r="4409" ht="24.75" customHeight="1" x14ac:dyDescent="0.3"/>
    <row r="4410" ht="24.75" customHeight="1" x14ac:dyDescent="0.3"/>
    <row r="4411" ht="24.75" customHeight="1" x14ac:dyDescent="0.3"/>
    <row r="4412" ht="24.75" customHeight="1" x14ac:dyDescent="0.3"/>
    <row r="4413" ht="24.75" customHeight="1" x14ac:dyDescent="0.3"/>
    <row r="4414" ht="24.75" customHeight="1" x14ac:dyDescent="0.3"/>
    <row r="4415" ht="24.75" customHeight="1" x14ac:dyDescent="0.3"/>
    <row r="4416" ht="24.75" customHeight="1" x14ac:dyDescent="0.3"/>
    <row r="4417" ht="24.75" customHeight="1" x14ac:dyDescent="0.3"/>
    <row r="4418" ht="24.75" customHeight="1" x14ac:dyDescent="0.3"/>
    <row r="4419" ht="24.75" customHeight="1" x14ac:dyDescent="0.3"/>
    <row r="4420" ht="24.75" customHeight="1" x14ac:dyDescent="0.3"/>
    <row r="4421" ht="24.75" customHeight="1" x14ac:dyDescent="0.3"/>
    <row r="4422" ht="24.75" customHeight="1" x14ac:dyDescent="0.3"/>
    <row r="4423" ht="24.75" customHeight="1" x14ac:dyDescent="0.3"/>
    <row r="4424" ht="24.75" customHeight="1" x14ac:dyDescent="0.3"/>
    <row r="4425" ht="24.75" customHeight="1" x14ac:dyDescent="0.3"/>
    <row r="4426" ht="24.75" customHeight="1" x14ac:dyDescent="0.3"/>
    <row r="4427" ht="24.75" customHeight="1" x14ac:dyDescent="0.3"/>
    <row r="4428" ht="24.75" customHeight="1" x14ac:dyDescent="0.3"/>
    <row r="4429" ht="24.75" customHeight="1" x14ac:dyDescent="0.3"/>
    <row r="4430" ht="24.75" customHeight="1" x14ac:dyDescent="0.3"/>
    <row r="4431" ht="24.75" customHeight="1" x14ac:dyDescent="0.3"/>
    <row r="4432" ht="24.75" customHeight="1" x14ac:dyDescent="0.3"/>
    <row r="4433" ht="24.75" customHeight="1" x14ac:dyDescent="0.3"/>
    <row r="4434" ht="24.75" customHeight="1" x14ac:dyDescent="0.3"/>
    <row r="4435" ht="24.75" customHeight="1" x14ac:dyDescent="0.3"/>
    <row r="4436" ht="24.75" customHeight="1" x14ac:dyDescent="0.3"/>
    <row r="4437" ht="24.75" customHeight="1" x14ac:dyDescent="0.3"/>
    <row r="4438" ht="24.75" customHeight="1" x14ac:dyDescent="0.3"/>
    <row r="4439" ht="24.75" customHeight="1" x14ac:dyDescent="0.3"/>
    <row r="4440" ht="24.75" customHeight="1" x14ac:dyDescent="0.3"/>
    <row r="4441" ht="24.75" customHeight="1" x14ac:dyDescent="0.3"/>
    <row r="4442" ht="24.75" customHeight="1" x14ac:dyDescent="0.3"/>
    <row r="4443" ht="24.75" customHeight="1" x14ac:dyDescent="0.3"/>
    <row r="4444" ht="24.75" customHeight="1" x14ac:dyDescent="0.3"/>
    <row r="4445" ht="24.75" customHeight="1" x14ac:dyDescent="0.3"/>
    <row r="4446" ht="24.75" customHeight="1" x14ac:dyDescent="0.3"/>
    <row r="4447" ht="24.75" customHeight="1" x14ac:dyDescent="0.3"/>
    <row r="4448" ht="24.75" customHeight="1" x14ac:dyDescent="0.3"/>
    <row r="4449" ht="24.75" customHeight="1" x14ac:dyDescent="0.3"/>
    <row r="4450" ht="24.75" customHeight="1" x14ac:dyDescent="0.3"/>
    <row r="4451" ht="24.75" customHeight="1" x14ac:dyDescent="0.3"/>
    <row r="4452" ht="24.75" customHeight="1" x14ac:dyDescent="0.3"/>
    <row r="4453" ht="24.75" customHeight="1" x14ac:dyDescent="0.3"/>
    <row r="4454" ht="24.75" customHeight="1" x14ac:dyDescent="0.3"/>
    <row r="4455" ht="24.75" customHeight="1" x14ac:dyDescent="0.3"/>
    <row r="4456" ht="24.75" customHeight="1" x14ac:dyDescent="0.3"/>
    <row r="4457" ht="24.75" customHeight="1" x14ac:dyDescent="0.3"/>
    <row r="4458" ht="24.75" customHeight="1" x14ac:dyDescent="0.3"/>
    <row r="4459" ht="24.75" customHeight="1" x14ac:dyDescent="0.3"/>
    <row r="4460" ht="24.75" customHeight="1" x14ac:dyDescent="0.3"/>
    <row r="4461" ht="24.75" customHeight="1" x14ac:dyDescent="0.3"/>
    <row r="4462" ht="24.75" customHeight="1" x14ac:dyDescent="0.3"/>
    <row r="4463" ht="24.75" customHeight="1" x14ac:dyDescent="0.3"/>
    <row r="4464" ht="24.75" customHeight="1" x14ac:dyDescent="0.3"/>
    <row r="4465" ht="24.75" customHeight="1" x14ac:dyDescent="0.3"/>
    <row r="4466" ht="24.75" customHeight="1" x14ac:dyDescent="0.3"/>
    <row r="4467" ht="24.75" customHeight="1" x14ac:dyDescent="0.3"/>
    <row r="4468" ht="24.75" customHeight="1" x14ac:dyDescent="0.3"/>
    <row r="4469" ht="24.75" customHeight="1" x14ac:dyDescent="0.3"/>
    <row r="4470" ht="24.75" customHeight="1" x14ac:dyDescent="0.3"/>
    <row r="4471" ht="24.75" customHeight="1" x14ac:dyDescent="0.3"/>
    <row r="4472" ht="24.75" customHeight="1" x14ac:dyDescent="0.3"/>
    <row r="4473" ht="24.75" customHeight="1" x14ac:dyDescent="0.3"/>
    <row r="4474" ht="24.75" customHeight="1" x14ac:dyDescent="0.3"/>
    <row r="4475" ht="24.75" customHeight="1" x14ac:dyDescent="0.3"/>
    <row r="4476" ht="24.75" customHeight="1" x14ac:dyDescent="0.3"/>
    <row r="4477" ht="24.75" customHeight="1" x14ac:dyDescent="0.3"/>
    <row r="4478" ht="24.75" customHeight="1" x14ac:dyDescent="0.3"/>
    <row r="4479" ht="24.75" customHeight="1" x14ac:dyDescent="0.3"/>
    <row r="4480" ht="24.75" customHeight="1" x14ac:dyDescent="0.3"/>
    <row r="4481" ht="24.75" customHeight="1" x14ac:dyDescent="0.3"/>
    <row r="4482" ht="24.75" customHeight="1" x14ac:dyDescent="0.3"/>
    <row r="4483" ht="24.75" customHeight="1" x14ac:dyDescent="0.3"/>
    <row r="4484" ht="24.75" customHeight="1" x14ac:dyDescent="0.3"/>
    <row r="4485" ht="24.75" customHeight="1" x14ac:dyDescent="0.3"/>
    <row r="4486" ht="24.75" customHeight="1" x14ac:dyDescent="0.3"/>
    <row r="4487" ht="24.75" customHeight="1" x14ac:dyDescent="0.3"/>
    <row r="4488" ht="24.75" customHeight="1" x14ac:dyDescent="0.3"/>
    <row r="4489" ht="24.75" customHeight="1" x14ac:dyDescent="0.3"/>
    <row r="4490" ht="24.75" customHeight="1" x14ac:dyDescent="0.3"/>
    <row r="4491" ht="24.75" customHeight="1" x14ac:dyDescent="0.3"/>
    <row r="4492" ht="24.75" customHeight="1" x14ac:dyDescent="0.3"/>
    <row r="4493" ht="24.75" customHeight="1" x14ac:dyDescent="0.3"/>
    <row r="4494" ht="24.75" customHeight="1" x14ac:dyDescent="0.3"/>
    <row r="4495" ht="24.75" customHeight="1" x14ac:dyDescent="0.3"/>
    <row r="4496" ht="24.75" customHeight="1" x14ac:dyDescent="0.3"/>
    <row r="4497" ht="24.75" customHeight="1" x14ac:dyDescent="0.3"/>
    <row r="4498" ht="24.75" customHeight="1" x14ac:dyDescent="0.3"/>
    <row r="4499" ht="24.75" customHeight="1" x14ac:dyDescent="0.3"/>
    <row r="4500" ht="24.75" customHeight="1" x14ac:dyDescent="0.3"/>
    <row r="4501" ht="24.75" customHeight="1" x14ac:dyDescent="0.3"/>
    <row r="4502" ht="24.75" customHeight="1" x14ac:dyDescent="0.3"/>
    <row r="4503" ht="24.75" customHeight="1" x14ac:dyDescent="0.3"/>
    <row r="4504" ht="24.75" customHeight="1" x14ac:dyDescent="0.3"/>
    <row r="4505" ht="24.75" customHeight="1" x14ac:dyDescent="0.3"/>
    <row r="4506" ht="24.75" customHeight="1" x14ac:dyDescent="0.3"/>
    <row r="4507" ht="24.75" customHeight="1" x14ac:dyDescent="0.3"/>
    <row r="4508" ht="24.75" customHeight="1" x14ac:dyDescent="0.3"/>
    <row r="4509" ht="24.75" customHeight="1" x14ac:dyDescent="0.3"/>
    <row r="4510" ht="24.75" customHeight="1" x14ac:dyDescent="0.3"/>
    <row r="4511" ht="24.75" customHeight="1" x14ac:dyDescent="0.3"/>
    <row r="4512" ht="24.75" customHeight="1" x14ac:dyDescent="0.3"/>
    <row r="4513" ht="24.75" customHeight="1" x14ac:dyDescent="0.3"/>
    <row r="4514" ht="24.75" customHeight="1" x14ac:dyDescent="0.3"/>
    <row r="4515" ht="24.75" customHeight="1" x14ac:dyDescent="0.3"/>
    <row r="4516" ht="24.75" customHeight="1" x14ac:dyDescent="0.3"/>
    <row r="4517" ht="24.75" customHeight="1" x14ac:dyDescent="0.3"/>
    <row r="4518" ht="24.75" customHeight="1" x14ac:dyDescent="0.3"/>
    <row r="4519" ht="24.75" customHeight="1" x14ac:dyDescent="0.3"/>
    <row r="4520" ht="24.75" customHeight="1" x14ac:dyDescent="0.3"/>
    <row r="4521" ht="24.75" customHeight="1" x14ac:dyDescent="0.3"/>
    <row r="4522" ht="24.75" customHeight="1" x14ac:dyDescent="0.3"/>
    <row r="4523" ht="24.75" customHeight="1" x14ac:dyDescent="0.3"/>
    <row r="4524" ht="24.75" customHeight="1" x14ac:dyDescent="0.3"/>
    <row r="4525" ht="24.75" customHeight="1" x14ac:dyDescent="0.3"/>
    <row r="4526" ht="24.75" customHeight="1" x14ac:dyDescent="0.3"/>
    <row r="4527" ht="24.75" customHeight="1" x14ac:dyDescent="0.3"/>
    <row r="4528" ht="24.75" customHeight="1" x14ac:dyDescent="0.3"/>
    <row r="4529" ht="24.75" customHeight="1" x14ac:dyDescent="0.3"/>
    <row r="4530" ht="24.75" customHeight="1" x14ac:dyDescent="0.3"/>
    <row r="4531" ht="24.75" customHeight="1" x14ac:dyDescent="0.3"/>
    <row r="4532" ht="24.75" customHeight="1" x14ac:dyDescent="0.3"/>
    <row r="4533" ht="24.75" customHeight="1" x14ac:dyDescent="0.3"/>
    <row r="4534" ht="24.75" customHeight="1" x14ac:dyDescent="0.3"/>
    <row r="4535" ht="24.75" customHeight="1" x14ac:dyDescent="0.3"/>
    <row r="4536" ht="24.75" customHeight="1" x14ac:dyDescent="0.3"/>
    <row r="4537" ht="24.75" customHeight="1" x14ac:dyDescent="0.3"/>
    <row r="4538" ht="24.75" customHeight="1" x14ac:dyDescent="0.3"/>
    <row r="4539" ht="24.75" customHeight="1" x14ac:dyDescent="0.3"/>
    <row r="4540" ht="24.75" customHeight="1" x14ac:dyDescent="0.3"/>
    <row r="4541" ht="24.75" customHeight="1" x14ac:dyDescent="0.3"/>
    <row r="4542" ht="24.75" customHeight="1" x14ac:dyDescent="0.3"/>
    <row r="4543" ht="24.75" customHeight="1" x14ac:dyDescent="0.3"/>
    <row r="4544" ht="24.75" customHeight="1" x14ac:dyDescent="0.3"/>
    <row r="4545" ht="24.75" customHeight="1" x14ac:dyDescent="0.3"/>
    <row r="4546" ht="24.75" customHeight="1" x14ac:dyDescent="0.3"/>
    <row r="4547" ht="24.75" customHeight="1" x14ac:dyDescent="0.3"/>
    <row r="4548" ht="24.75" customHeight="1" x14ac:dyDescent="0.3"/>
    <row r="4549" ht="24.75" customHeight="1" x14ac:dyDescent="0.3"/>
    <row r="4550" ht="24.75" customHeight="1" x14ac:dyDescent="0.3"/>
    <row r="4551" ht="24.75" customHeight="1" x14ac:dyDescent="0.3"/>
    <row r="4552" ht="24.75" customHeight="1" x14ac:dyDescent="0.3"/>
    <row r="4553" ht="24.75" customHeight="1" x14ac:dyDescent="0.3"/>
    <row r="4554" ht="24.75" customHeight="1" x14ac:dyDescent="0.3"/>
    <row r="4555" ht="24.75" customHeight="1" x14ac:dyDescent="0.3"/>
    <row r="4556" ht="24.75" customHeight="1" x14ac:dyDescent="0.3"/>
    <row r="4557" ht="24.75" customHeight="1" x14ac:dyDescent="0.3"/>
    <row r="4558" ht="24.75" customHeight="1" x14ac:dyDescent="0.3"/>
    <row r="4559" ht="24.75" customHeight="1" x14ac:dyDescent="0.3"/>
    <row r="4560" ht="24.75" customHeight="1" x14ac:dyDescent="0.3"/>
    <row r="4561" ht="24.75" customHeight="1" x14ac:dyDescent="0.3"/>
    <row r="4562" ht="24.75" customHeight="1" x14ac:dyDescent="0.3"/>
    <row r="4563" ht="24.75" customHeight="1" x14ac:dyDescent="0.3"/>
    <row r="4564" ht="24.75" customHeight="1" x14ac:dyDescent="0.3"/>
    <row r="4565" ht="24.75" customHeight="1" x14ac:dyDescent="0.3"/>
    <row r="4566" ht="24.75" customHeight="1" x14ac:dyDescent="0.3"/>
    <row r="4567" ht="24.75" customHeight="1" x14ac:dyDescent="0.3"/>
    <row r="4568" ht="24.75" customHeight="1" x14ac:dyDescent="0.3"/>
    <row r="4569" ht="24.75" customHeight="1" x14ac:dyDescent="0.3"/>
    <row r="4570" ht="24.75" customHeight="1" x14ac:dyDescent="0.3"/>
    <row r="4571" ht="24.75" customHeight="1" x14ac:dyDescent="0.3"/>
    <row r="4572" ht="24.75" customHeight="1" x14ac:dyDescent="0.3"/>
    <row r="4573" ht="24.75" customHeight="1" x14ac:dyDescent="0.3"/>
    <row r="4574" ht="24.75" customHeight="1" x14ac:dyDescent="0.3"/>
    <row r="4575" ht="24.75" customHeight="1" x14ac:dyDescent="0.3"/>
    <row r="4576" ht="24.75" customHeight="1" x14ac:dyDescent="0.3"/>
    <row r="4577" ht="24.75" customHeight="1" x14ac:dyDescent="0.3"/>
    <row r="4578" ht="24.75" customHeight="1" x14ac:dyDescent="0.3"/>
    <row r="4579" ht="24.75" customHeight="1" x14ac:dyDescent="0.3"/>
    <row r="4580" ht="24.75" customHeight="1" x14ac:dyDescent="0.3"/>
    <row r="4581" ht="24.75" customHeight="1" x14ac:dyDescent="0.3"/>
    <row r="4582" ht="24.75" customHeight="1" x14ac:dyDescent="0.3"/>
    <row r="4583" ht="24.75" customHeight="1" x14ac:dyDescent="0.3"/>
    <row r="4584" ht="24.75" customHeight="1" x14ac:dyDescent="0.3"/>
    <row r="4585" ht="24.75" customHeight="1" x14ac:dyDescent="0.3"/>
    <row r="4586" ht="24.75" customHeight="1" x14ac:dyDescent="0.3"/>
    <row r="4587" ht="24.75" customHeight="1" x14ac:dyDescent="0.3"/>
    <row r="4588" ht="24.75" customHeight="1" x14ac:dyDescent="0.3"/>
    <row r="4589" ht="24.75" customHeight="1" x14ac:dyDescent="0.3"/>
    <row r="4590" ht="24.75" customHeight="1" x14ac:dyDescent="0.3"/>
    <row r="4591" ht="24.75" customHeight="1" x14ac:dyDescent="0.3"/>
    <row r="4592" ht="24.75" customHeight="1" x14ac:dyDescent="0.3"/>
    <row r="4593" ht="24.75" customHeight="1" x14ac:dyDescent="0.3"/>
    <row r="4594" ht="24.75" customHeight="1" x14ac:dyDescent="0.3"/>
    <row r="4595" ht="24.75" customHeight="1" x14ac:dyDescent="0.3"/>
    <row r="4596" ht="24.75" customHeight="1" x14ac:dyDescent="0.3"/>
    <row r="4597" ht="24.75" customHeight="1" x14ac:dyDescent="0.3"/>
    <row r="4598" ht="24.75" customHeight="1" x14ac:dyDescent="0.3"/>
    <row r="4599" ht="24.75" customHeight="1" x14ac:dyDescent="0.3"/>
    <row r="4600" ht="24.75" customHeight="1" x14ac:dyDescent="0.3"/>
    <row r="4601" ht="24.75" customHeight="1" x14ac:dyDescent="0.3"/>
    <row r="4602" ht="24.75" customHeight="1" x14ac:dyDescent="0.3"/>
    <row r="4603" ht="24.75" customHeight="1" x14ac:dyDescent="0.3"/>
    <row r="4604" ht="24.75" customHeight="1" x14ac:dyDescent="0.3"/>
    <row r="4605" ht="24.75" customHeight="1" x14ac:dyDescent="0.3"/>
    <row r="4606" ht="24.75" customHeight="1" x14ac:dyDescent="0.3"/>
    <row r="4607" ht="24.75" customHeight="1" x14ac:dyDescent="0.3"/>
    <row r="4608" ht="24.75" customHeight="1" x14ac:dyDescent="0.3"/>
    <row r="4609" ht="24.75" customHeight="1" x14ac:dyDescent="0.3"/>
    <row r="4610" ht="24.75" customHeight="1" x14ac:dyDescent="0.3"/>
    <row r="4611" ht="24.75" customHeight="1" x14ac:dyDescent="0.3"/>
    <row r="4612" ht="24.75" customHeight="1" x14ac:dyDescent="0.3"/>
    <row r="4613" ht="24.75" customHeight="1" x14ac:dyDescent="0.3"/>
    <row r="4614" ht="24.75" customHeight="1" x14ac:dyDescent="0.3"/>
    <row r="4615" ht="24.75" customHeight="1" x14ac:dyDescent="0.3"/>
    <row r="4616" ht="24.75" customHeight="1" x14ac:dyDescent="0.3"/>
    <row r="4617" ht="24.75" customHeight="1" x14ac:dyDescent="0.3"/>
    <row r="4618" ht="24.75" customHeight="1" x14ac:dyDescent="0.3"/>
    <row r="4619" ht="24.75" customHeight="1" x14ac:dyDescent="0.3"/>
    <row r="4620" ht="24.75" customHeight="1" x14ac:dyDescent="0.3"/>
    <row r="4621" ht="24.75" customHeight="1" x14ac:dyDescent="0.3"/>
    <row r="4622" ht="24.75" customHeight="1" x14ac:dyDescent="0.3"/>
    <row r="4623" ht="24.75" customHeight="1" x14ac:dyDescent="0.3"/>
    <row r="4624" ht="24.75" customHeight="1" x14ac:dyDescent="0.3"/>
    <row r="4625" ht="24.75" customHeight="1" x14ac:dyDescent="0.3"/>
    <row r="4626" ht="24.75" customHeight="1" x14ac:dyDescent="0.3"/>
    <row r="4627" ht="24.75" customHeight="1" x14ac:dyDescent="0.3"/>
    <row r="4628" ht="24.75" customHeight="1" x14ac:dyDescent="0.3"/>
    <row r="4629" ht="24.75" customHeight="1" x14ac:dyDescent="0.3"/>
    <row r="4630" ht="24.75" customHeight="1" x14ac:dyDescent="0.3"/>
    <row r="4631" ht="24.75" customHeight="1" x14ac:dyDescent="0.3"/>
    <row r="4632" ht="24.75" customHeight="1" x14ac:dyDescent="0.3"/>
    <row r="4633" ht="24.75" customHeight="1" x14ac:dyDescent="0.3"/>
    <row r="4634" ht="24.75" customHeight="1" x14ac:dyDescent="0.3"/>
    <row r="4635" ht="24.75" customHeight="1" x14ac:dyDescent="0.3"/>
    <row r="4636" ht="24.75" customHeight="1" x14ac:dyDescent="0.3"/>
    <row r="4637" ht="24.75" customHeight="1" x14ac:dyDescent="0.3"/>
    <row r="4638" ht="24.75" customHeight="1" x14ac:dyDescent="0.3"/>
    <row r="4639" ht="24.75" customHeight="1" x14ac:dyDescent="0.3"/>
    <row r="4640" ht="24.75" customHeight="1" x14ac:dyDescent="0.3"/>
    <row r="4641" ht="24.75" customHeight="1" x14ac:dyDescent="0.3"/>
    <row r="4642" ht="24.75" customHeight="1" x14ac:dyDescent="0.3"/>
    <row r="4643" ht="24.75" customHeight="1" x14ac:dyDescent="0.3"/>
    <row r="4644" ht="24.75" customHeight="1" x14ac:dyDescent="0.3"/>
    <row r="4645" ht="24.75" customHeight="1" x14ac:dyDescent="0.3"/>
    <row r="4646" ht="24.75" customHeight="1" x14ac:dyDescent="0.3"/>
    <row r="4647" ht="24.75" customHeight="1" x14ac:dyDescent="0.3"/>
    <row r="4648" ht="24.75" customHeight="1" x14ac:dyDescent="0.3"/>
    <row r="4649" ht="24.75" customHeight="1" x14ac:dyDescent="0.3"/>
    <row r="4650" ht="24.75" customHeight="1" x14ac:dyDescent="0.3"/>
    <row r="4651" ht="24.75" customHeight="1" x14ac:dyDescent="0.3"/>
    <row r="4652" ht="24.75" customHeight="1" x14ac:dyDescent="0.3"/>
    <row r="4653" ht="24.75" customHeight="1" x14ac:dyDescent="0.3"/>
    <row r="4654" ht="24.75" customHeight="1" x14ac:dyDescent="0.3"/>
    <row r="4655" ht="24.75" customHeight="1" x14ac:dyDescent="0.3"/>
    <row r="4656" ht="24.75" customHeight="1" x14ac:dyDescent="0.3"/>
    <row r="4657" ht="24.75" customHeight="1" x14ac:dyDescent="0.3"/>
    <row r="4658" ht="24.75" customHeight="1" x14ac:dyDescent="0.3"/>
    <row r="4659" ht="24.75" customHeight="1" x14ac:dyDescent="0.3"/>
    <row r="4660" ht="24.75" customHeight="1" x14ac:dyDescent="0.3"/>
    <row r="4661" ht="24.75" customHeight="1" x14ac:dyDescent="0.3"/>
    <row r="4662" ht="24.75" customHeight="1" x14ac:dyDescent="0.3"/>
    <row r="4663" ht="24.75" customHeight="1" x14ac:dyDescent="0.3"/>
    <row r="4664" ht="24.75" customHeight="1" x14ac:dyDescent="0.3"/>
    <row r="4665" ht="24.75" customHeight="1" x14ac:dyDescent="0.3"/>
    <row r="4666" ht="24.75" customHeight="1" x14ac:dyDescent="0.3"/>
    <row r="4667" ht="24.75" customHeight="1" x14ac:dyDescent="0.3"/>
    <row r="4668" ht="24.75" customHeight="1" x14ac:dyDescent="0.3"/>
    <row r="4669" ht="24.75" customHeight="1" x14ac:dyDescent="0.3"/>
    <row r="4670" ht="24.75" customHeight="1" x14ac:dyDescent="0.3"/>
    <row r="4671" ht="24.75" customHeight="1" x14ac:dyDescent="0.3"/>
    <row r="4672" ht="24.75" customHeight="1" x14ac:dyDescent="0.3"/>
    <row r="4673" ht="24.75" customHeight="1" x14ac:dyDescent="0.3"/>
    <row r="4674" ht="24.75" customHeight="1" x14ac:dyDescent="0.3"/>
    <row r="4675" ht="24.75" customHeight="1" x14ac:dyDescent="0.3"/>
    <row r="4676" ht="24.75" customHeight="1" x14ac:dyDescent="0.3"/>
    <row r="4677" ht="24.75" customHeight="1" x14ac:dyDescent="0.3"/>
    <row r="4678" ht="24.75" customHeight="1" x14ac:dyDescent="0.3"/>
    <row r="4679" ht="24.75" customHeight="1" x14ac:dyDescent="0.3"/>
    <row r="4680" ht="24.75" customHeight="1" x14ac:dyDescent="0.3"/>
    <row r="4681" ht="24.75" customHeight="1" x14ac:dyDescent="0.3"/>
    <row r="4682" ht="24.75" customHeight="1" x14ac:dyDescent="0.3"/>
    <row r="4683" ht="24.75" customHeight="1" x14ac:dyDescent="0.3"/>
    <row r="4684" ht="24.75" customHeight="1" x14ac:dyDescent="0.3"/>
    <row r="4685" ht="24.75" customHeight="1" x14ac:dyDescent="0.3"/>
    <row r="4686" ht="24.75" customHeight="1" x14ac:dyDescent="0.3"/>
    <row r="4687" ht="24.75" customHeight="1" x14ac:dyDescent="0.3"/>
    <row r="4688" ht="24.75" customHeight="1" x14ac:dyDescent="0.3"/>
    <row r="4689" ht="24.75" customHeight="1" x14ac:dyDescent="0.3"/>
    <row r="4690" ht="24.75" customHeight="1" x14ac:dyDescent="0.3"/>
    <row r="4691" ht="24.75" customHeight="1" x14ac:dyDescent="0.3"/>
    <row r="4692" ht="24.75" customHeight="1" x14ac:dyDescent="0.3"/>
    <row r="4693" ht="24.75" customHeight="1" x14ac:dyDescent="0.3"/>
    <row r="4694" ht="24.75" customHeight="1" x14ac:dyDescent="0.3"/>
    <row r="4695" ht="24.75" customHeight="1" x14ac:dyDescent="0.3"/>
    <row r="4696" ht="24.75" customHeight="1" x14ac:dyDescent="0.3"/>
    <row r="4697" ht="24.75" customHeight="1" x14ac:dyDescent="0.3"/>
    <row r="4698" ht="24.75" customHeight="1" x14ac:dyDescent="0.3"/>
    <row r="4699" ht="24.75" customHeight="1" x14ac:dyDescent="0.3"/>
    <row r="4700" ht="24.75" customHeight="1" x14ac:dyDescent="0.3"/>
    <row r="4701" ht="24.75" customHeight="1" x14ac:dyDescent="0.3"/>
    <row r="4702" ht="24.75" customHeight="1" x14ac:dyDescent="0.3"/>
    <row r="4703" ht="24.75" customHeight="1" x14ac:dyDescent="0.3"/>
    <row r="4704" ht="24.75" customHeight="1" x14ac:dyDescent="0.3"/>
    <row r="4705" ht="24.75" customHeight="1" x14ac:dyDescent="0.3"/>
    <row r="4706" ht="24.75" customHeight="1" x14ac:dyDescent="0.3"/>
    <row r="4707" ht="24.75" customHeight="1" x14ac:dyDescent="0.3"/>
    <row r="4708" ht="24.75" customHeight="1" x14ac:dyDescent="0.3"/>
    <row r="4709" ht="24.75" customHeight="1" x14ac:dyDescent="0.3"/>
    <row r="4710" ht="24.75" customHeight="1" x14ac:dyDescent="0.3"/>
    <row r="4711" ht="24.75" customHeight="1" x14ac:dyDescent="0.3"/>
    <row r="4712" ht="24.75" customHeight="1" x14ac:dyDescent="0.3"/>
    <row r="4713" ht="24.75" customHeight="1" x14ac:dyDescent="0.3"/>
    <row r="4714" ht="24.75" customHeight="1" x14ac:dyDescent="0.3"/>
    <row r="4715" ht="24.75" customHeight="1" x14ac:dyDescent="0.3"/>
    <row r="4716" ht="24.75" customHeight="1" x14ac:dyDescent="0.3"/>
    <row r="4717" ht="24.75" customHeight="1" x14ac:dyDescent="0.3"/>
    <row r="4718" ht="24.75" customHeight="1" x14ac:dyDescent="0.3"/>
    <row r="4719" ht="24.75" customHeight="1" x14ac:dyDescent="0.3"/>
    <row r="4720" ht="24.75" customHeight="1" x14ac:dyDescent="0.3"/>
    <row r="4721" ht="24.75" customHeight="1" x14ac:dyDescent="0.3"/>
    <row r="4722" ht="24.75" customHeight="1" x14ac:dyDescent="0.3"/>
    <row r="4723" ht="24.75" customHeight="1" x14ac:dyDescent="0.3"/>
    <row r="4724" ht="24.75" customHeight="1" x14ac:dyDescent="0.3"/>
    <row r="4725" ht="24.75" customHeight="1" x14ac:dyDescent="0.3"/>
    <row r="4726" ht="24.75" customHeight="1" x14ac:dyDescent="0.3"/>
    <row r="4727" ht="24.75" customHeight="1" x14ac:dyDescent="0.3"/>
    <row r="4728" ht="24.75" customHeight="1" x14ac:dyDescent="0.3"/>
    <row r="4729" ht="24.75" customHeight="1" x14ac:dyDescent="0.3"/>
    <row r="4730" ht="24.75" customHeight="1" x14ac:dyDescent="0.3"/>
    <row r="4731" ht="24.75" customHeight="1" x14ac:dyDescent="0.3"/>
    <row r="4732" ht="24.75" customHeight="1" x14ac:dyDescent="0.3"/>
    <row r="4733" ht="24.75" customHeight="1" x14ac:dyDescent="0.3"/>
    <row r="4734" ht="24.75" customHeight="1" x14ac:dyDescent="0.3"/>
    <row r="4735" ht="24.75" customHeight="1" x14ac:dyDescent="0.3"/>
    <row r="4736" ht="24.75" customHeight="1" x14ac:dyDescent="0.3"/>
    <row r="4737" ht="24.75" customHeight="1" x14ac:dyDescent="0.3"/>
    <row r="4738" ht="24.75" customHeight="1" x14ac:dyDescent="0.3"/>
    <row r="4739" ht="24.75" customHeight="1" x14ac:dyDescent="0.3"/>
    <row r="4740" ht="24.75" customHeight="1" x14ac:dyDescent="0.3"/>
    <row r="4741" ht="24.75" customHeight="1" x14ac:dyDescent="0.3"/>
    <row r="4742" ht="24.75" customHeight="1" x14ac:dyDescent="0.3"/>
    <row r="4743" ht="24.75" customHeight="1" x14ac:dyDescent="0.3"/>
    <row r="4744" ht="24.75" customHeight="1" x14ac:dyDescent="0.3"/>
    <row r="4745" ht="24.75" customHeight="1" x14ac:dyDescent="0.3"/>
    <row r="4746" ht="24.75" customHeight="1" x14ac:dyDescent="0.3"/>
    <row r="4747" ht="24.75" customHeight="1" x14ac:dyDescent="0.3"/>
    <row r="4748" ht="24.75" customHeight="1" x14ac:dyDescent="0.3"/>
    <row r="4749" ht="24.75" customHeight="1" x14ac:dyDescent="0.3"/>
    <row r="4750" ht="24.75" customHeight="1" x14ac:dyDescent="0.3"/>
    <row r="4751" ht="24.75" customHeight="1" x14ac:dyDescent="0.3"/>
    <row r="4752" ht="24.75" customHeight="1" x14ac:dyDescent="0.3"/>
    <row r="4753" ht="24.75" customHeight="1" x14ac:dyDescent="0.3"/>
    <row r="4754" ht="24.75" customHeight="1" x14ac:dyDescent="0.3"/>
    <row r="4755" ht="24.75" customHeight="1" x14ac:dyDescent="0.3"/>
    <row r="4756" ht="24.75" customHeight="1" x14ac:dyDescent="0.3"/>
    <row r="4757" ht="24.75" customHeight="1" x14ac:dyDescent="0.3"/>
    <row r="4758" ht="24.75" customHeight="1" x14ac:dyDescent="0.3"/>
    <row r="4759" ht="24.75" customHeight="1" x14ac:dyDescent="0.3"/>
    <row r="4760" ht="24.75" customHeight="1" x14ac:dyDescent="0.3"/>
    <row r="4761" ht="24.75" customHeight="1" x14ac:dyDescent="0.3"/>
    <row r="4762" ht="24.75" customHeight="1" x14ac:dyDescent="0.3"/>
    <row r="4763" ht="24.75" customHeight="1" x14ac:dyDescent="0.3"/>
    <row r="4764" ht="24.75" customHeight="1" x14ac:dyDescent="0.3"/>
    <row r="4765" ht="24.75" customHeight="1" x14ac:dyDescent="0.3"/>
    <row r="4766" ht="24.75" customHeight="1" x14ac:dyDescent="0.3"/>
    <row r="4767" ht="24.75" customHeight="1" x14ac:dyDescent="0.3"/>
    <row r="4768" ht="24.75" customHeight="1" x14ac:dyDescent="0.3"/>
    <row r="4769" ht="24.75" customHeight="1" x14ac:dyDescent="0.3"/>
    <row r="4770" ht="24.75" customHeight="1" x14ac:dyDescent="0.3"/>
    <row r="4771" ht="24.75" customHeight="1" x14ac:dyDescent="0.3"/>
    <row r="4772" ht="24.75" customHeight="1" x14ac:dyDescent="0.3"/>
    <row r="4773" ht="24.75" customHeight="1" x14ac:dyDescent="0.3"/>
    <row r="4774" ht="24.75" customHeight="1" x14ac:dyDescent="0.3"/>
    <row r="4775" ht="24.75" customHeight="1" x14ac:dyDescent="0.3"/>
    <row r="4776" ht="24.75" customHeight="1" x14ac:dyDescent="0.3"/>
    <row r="4777" ht="24.75" customHeight="1" x14ac:dyDescent="0.3"/>
    <row r="4778" ht="24.75" customHeight="1" x14ac:dyDescent="0.3"/>
    <row r="4779" ht="24.75" customHeight="1" x14ac:dyDescent="0.3"/>
    <row r="4780" ht="24.75" customHeight="1" x14ac:dyDescent="0.3"/>
    <row r="4781" ht="24.75" customHeight="1" x14ac:dyDescent="0.3"/>
    <row r="4782" ht="24.75" customHeight="1" x14ac:dyDescent="0.3"/>
    <row r="4783" ht="24.75" customHeight="1" x14ac:dyDescent="0.3"/>
    <row r="4784" ht="24.75" customHeight="1" x14ac:dyDescent="0.3"/>
    <row r="4785" ht="24.75" customHeight="1" x14ac:dyDescent="0.3"/>
    <row r="4786" ht="24.75" customHeight="1" x14ac:dyDescent="0.3"/>
    <row r="4787" ht="24.75" customHeight="1" x14ac:dyDescent="0.3"/>
    <row r="4788" ht="24.75" customHeight="1" x14ac:dyDescent="0.3"/>
    <row r="4789" ht="24.75" customHeight="1" x14ac:dyDescent="0.3"/>
    <row r="4790" ht="24.75" customHeight="1" x14ac:dyDescent="0.3"/>
    <row r="4791" ht="24.75" customHeight="1" x14ac:dyDescent="0.3"/>
    <row r="4792" ht="24.75" customHeight="1" x14ac:dyDescent="0.3"/>
    <row r="4793" ht="24.75" customHeight="1" x14ac:dyDescent="0.3"/>
    <row r="4794" ht="24.75" customHeight="1" x14ac:dyDescent="0.3"/>
    <row r="4795" ht="24.75" customHeight="1" x14ac:dyDescent="0.3"/>
    <row r="4796" ht="24.75" customHeight="1" x14ac:dyDescent="0.3"/>
    <row r="4797" ht="24.75" customHeight="1" x14ac:dyDescent="0.3"/>
    <row r="4798" ht="24.75" customHeight="1" x14ac:dyDescent="0.3"/>
    <row r="4799" ht="24.75" customHeight="1" x14ac:dyDescent="0.3"/>
    <row r="4800" ht="24.75" customHeight="1" x14ac:dyDescent="0.3"/>
    <row r="4801" ht="24.75" customHeight="1" x14ac:dyDescent="0.3"/>
    <row r="4802" ht="24.75" customHeight="1" x14ac:dyDescent="0.3"/>
    <row r="4803" ht="24.75" customHeight="1" x14ac:dyDescent="0.3"/>
    <row r="4804" ht="24.75" customHeight="1" x14ac:dyDescent="0.3"/>
    <row r="4805" ht="24.75" customHeight="1" x14ac:dyDescent="0.3"/>
    <row r="4806" ht="24.75" customHeight="1" x14ac:dyDescent="0.3"/>
    <row r="4807" ht="24.75" customHeight="1" x14ac:dyDescent="0.3"/>
    <row r="4808" ht="24.75" customHeight="1" x14ac:dyDescent="0.3"/>
    <row r="4809" ht="24.75" customHeight="1" x14ac:dyDescent="0.3"/>
    <row r="4810" ht="24.75" customHeight="1" x14ac:dyDescent="0.3"/>
    <row r="4811" ht="24.75" customHeight="1" x14ac:dyDescent="0.3"/>
    <row r="4812" ht="24.75" customHeight="1" x14ac:dyDescent="0.3"/>
    <row r="4813" ht="24.75" customHeight="1" x14ac:dyDescent="0.3"/>
    <row r="4814" ht="24.75" customHeight="1" x14ac:dyDescent="0.3"/>
    <row r="4815" ht="24.75" customHeight="1" x14ac:dyDescent="0.3"/>
    <row r="4816" ht="24.75" customHeight="1" x14ac:dyDescent="0.3"/>
    <row r="4817" ht="24.75" customHeight="1" x14ac:dyDescent="0.3"/>
    <row r="4818" ht="24.75" customHeight="1" x14ac:dyDescent="0.3"/>
    <row r="4819" ht="24.75" customHeight="1" x14ac:dyDescent="0.3"/>
    <row r="4820" ht="24.75" customHeight="1" x14ac:dyDescent="0.3"/>
    <row r="4821" ht="24.75" customHeight="1" x14ac:dyDescent="0.3"/>
    <row r="4822" ht="24.75" customHeight="1" x14ac:dyDescent="0.3"/>
    <row r="4823" ht="24.75" customHeight="1" x14ac:dyDescent="0.3"/>
    <row r="4824" ht="24.75" customHeight="1" x14ac:dyDescent="0.3"/>
    <row r="4825" ht="24.75" customHeight="1" x14ac:dyDescent="0.3"/>
    <row r="4826" ht="24.75" customHeight="1" x14ac:dyDescent="0.3"/>
    <row r="4827" ht="24.75" customHeight="1" x14ac:dyDescent="0.3"/>
    <row r="4828" ht="24.75" customHeight="1" x14ac:dyDescent="0.3"/>
    <row r="4829" ht="24.75" customHeight="1" x14ac:dyDescent="0.3"/>
    <row r="4830" ht="24.75" customHeight="1" x14ac:dyDescent="0.3"/>
    <row r="4831" ht="24.75" customHeight="1" x14ac:dyDescent="0.3"/>
    <row r="4832" ht="24.75" customHeight="1" x14ac:dyDescent="0.3"/>
    <row r="4833" ht="24.75" customHeight="1" x14ac:dyDescent="0.3"/>
    <row r="4834" ht="24.75" customHeight="1" x14ac:dyDescent="0.3"/>
    <row r="4835" ht="24.75" customHeight="1" x14ac:dyDescent="0.3"/>
    <row r="4836" ht="24.75" customHeight="1" x14ac:dyDescent="0.3"/>
    <row r="4837" ht="24.75" customHeight="1" x14ac:dyDescent="0.3"/>
    <row r="4838" ht="24.75" customHeight="1" x14ac:dyDescent="0.3"/>
    <row r="4839" ht="24.75" customHeight="1" x14ac:dyDescent="0.3"/>
    <row r="4840" ht="24.75" customHeight="1" x14ac:dyDescent="0.3"/>
    <row r="4841" ht="24.75" customHeight="1" x14ac:dyDescent="0.3"/>
    <row r="4842" ht="24.75" customHeight="1" x14ac:dyDescent="0.3"/>
    <row r="4843" ht="24.75" customHeight="1" x14ac:dyDescent="0.3"/>
    <row r="4844" ht="24.75" customHeight="1" x14ac:dyDescent="0.3"/>
    <row r="4845" ht="24.75" customHeight="1" x14ac:dyDescent="0.3"/>
    <row r="4846" ht="24.75" customHeight="1" x14ac:dyDescent="0.3"/>
    <row r="4847" ht="24.75" customHeight="1" x14ac:dyDescent="0.3"/>
    <row r="4848" ht="24.75" customHeight="1" x14ac:dyDescent="0.3"/>
    <row r="4849" ht="24.75" customHeight="1" x14ac:dyDescent="0.3"/>
    <row r="4850" ht="24.75" customHeight="1" x14ac:dyDescent="0.3"/>
    <row r="4851" ht="24.75" customHeight="1" x14ac:dyDescent="0.3"/>
    <row r="4852" ht="24.75" customHeight="1" x14ac:dyDescent="0.3"/>
    <row r="4853" ht="24.75" customHeight="1" x14ac:dyDescent="0.3"/>
    <row r="4854" ht="24.75" customHeight="1" x14ac:dyDescent="0.3"/>
    <row r="4855" ht="24.75" customHeight="1" x14ac:dyDescent="0.3"/>
    <row r="4856" ht="24.75" customHeight="1" x14ac:dyDescent="0.3"/>
    <row r="4857" ht="24.75" customHeight="1" x14ac:dyDescent="0.3"/>
    <row r="4858" ht="24.75" customHeight="1" x14ac:dyDescent="0.3"/>
    <row r="4859" ht="24.75" customHeight="1" x14ac:dyDescent="0.3"/>
    <row r="4860" ht="24.75" customHeight="1" x14ac:dyDescent="0.3"/>
    <row r="4861" ht="24.75" customHeight="1" x14ac:dyDescent="0.3"/>
    <row r="4862" ht="24.75" customHeight="1" x14ac:dyDescent="0.3"/>
    <row r="4863" ht="24.75" customHeight="1" x14ac:dyDescent="0.3"/>
    <row r="4864" ht="24.75" customHeight="1" x14ac:dyDescent="0.3"/>
    <row r="4865" ht="24.75" customHeight="1" x14ac:dyDescent="0.3"/>
    <row r="4866" ht="24.75" customHeight="1" x14ac:dyDescent="0.3"/>
    <row r="4867" ht="24.75" customHeight="1" x14ac:dyDescent="0.3"/>
    <row r="4868" ht="24.75" customHeight="1" x14ac:dyDescent="0.3"/>
    <row r="4869" ht="24.75" customHeight="1" x14ac:dyDescent="0.3"/>
    <row r="4870" ht="24.75" customHeight="1" x14ac:dyDescent="0.3"/>
    <row r="4871" ht="24.75" customHeight="1" x14ac:dyDescent="0.3"/>
    <row r="4872" ht="24.75" customHeight="1" x14ac:dyDescent="0.3"/>
    <row r="4873" ht="24.75" customHeight="1" x14ac:dyDescent="0.3"/>
    <row r="4874" ht="24.75" customHeight="1" x14ac:dyDescent="0.3"/>
    <row r="4875" ht="24.75" customHeight="1" x14ac:dyDescent="0.3"/>
    <row r="4876" ht="24.75" customHeight="1" x14ac:dyDescent="0.3"/>
    <row r="4877" ht="24.75" customHeight="1" x14ac:dyDescent="0.3"/>
    <row r="4878" ht="24.75" customHeight="1" x14ac:dyDescent="0.3"/>
    <row r="4879" ht="24.75" customHeight="1" x14ac:dyDescent="0.3"/>
    <row r="4880" ht="24.75" customHeight="1" x14ac:dyDescent="0.3"/>
    <row r="4881" ht="24.75" customHeight="1" x14ac:dyDescent="0.3"/>
    <row r="4882" ht="24.75" customHeight="1" x14ac:dyDescent="0.3"/>
    <row r="4883" ht="24.75" customHeight="1" x14ac:dyDescent="0.3"/>
    <row r="4884" ht="24.75" customHeight="1" x14ac:dyDescent="0.3"/>
    <row r="4885" ht="24.75" customHeight="1" x14ac:dyDescent="0.3"/>
    <row r="4886" ht="24.75" customHeight="1" x14ac:dyDescent="0.3"/>
    <row r="4887" ht="24.75" customHeight="1" x14ac:dyDescent="0.3"/>
    <row r="4888" ht="24.75" customHeight="1" x14ac:dyDescent="0.3"/>
    <row r="4889" ht="24.75" customHeight="1" x14ac:dyDescent="0.3"/>
    <row r="4890" ht="24.75" customHeight="1" x14ac:dyDescent="0.3"/>
    <row r="4891" ht="24.75" customHeight="1" x14ac:dyDescent="0.3"/>
    <row r="4892" ht="24.75" customHeight="1" x14ac:dyDescent="0.3"/>
    <row r="4893" ht="24.75" customHeight="1" x14ac:dyDescent="0.3"/>
    <row r="4894" ht="24.75" customHeight="1" x14ac:dyDescent="0.3"/>
    <row r="4895" ht="24.75" customHeight="1" x14ac:dyDescent="0.3"/>
    <row r="4896" ht="24.75" customHeight="1" x14ac:dyDescent="0.3"/>
    <row r="4897" ht="24.75" customHeight="1" x14ac:dyDescent="0.3"/>
    <row r="4898" ht="24.75" customHeight="1" x14ac:dyDescent="0.3"/>
    <row r="4899" ht="24.75" customHeight="1" x14ac:dyDescent="0.3"/>
    <row r="4900" ht="24.75" customHeight="1" x14ac:dyDescent="0.3"/>
    <row r="4901" ht="24.75" customHeight="1" x14ac:dyDescent="0.3"/>
    <row r="4902" ht="24.75" customHeight="1" x14ac:dyDescent="0.3"/>
    <row r="4903" ht="24.75" customHeight="1" x14ac:dyDescent="0.3"/>
    <row r="4904" ht="24.75" customHeight="1" x14ac:dyDescent="0.3"/>
    <row r="4905" ht="24.75" customHeight="1" x14ac:dyDescent="0.3"/>
    <row r="4906" ht="24.75" customHeight="1" x14ac:dyDescent="0.3"/>
    <row r="4907" ht="24.75" customHeight="1" x14ac:dyDescent="0.3"/>
    <row r="4908" ht="24.75" customHeight="1" x14ac:dyDescent="0.3"/>
    <row r="4909" ht="24.75" customHeight="1" x14ac:dyDescent="0.3"/>
    <row r="4910" ht="24.75" customHeight="1" x14ac:dyDescent="0.3"/>
    <row r="4911" ht="24.75" customHeight="1" x14ac:dyDescent="0.3"/>
    <row r="4912" ht="24.75" customHeight="1" x14ac:dyDescent="0.3"/>
    <row r="4913" ht="24.75" customHeight="1" x14ac:dyDescent="0.3"/>
    <row r="4914" ht="24.75" customHeight="1" x14ac:dyDescent="0.3"/>
    <row r="4915" ht="24.75" customHeight="1" x14ac:dyDescent="0.3"/>
    <row r="4916" ht="24.75" customHeight="1" x14ac:dyDescent="0.3"/>
    <row r="4917" ht="24.75" customHeight="1" x14ac:dyDescent="0.3"/>
    <row r="4918" ht="24.75" customHeight="1" x14ac:dyDescent="0.3"/>
    <row r="4919" ht="24.75" customHeight="1" x14ac:dyDescent="0.3"/>
    <row r="4920" ht="24.75" customHeight="1" x14ac:dyDescent="0.3"/>
    <row r="4921" ht="24.75" customHeight="1" x14ac:dyDescent="0.3"/>
    <row r="4922" ht="24.75" customHeight="1" x14ac:dyDescent="0.3"/>
    <row r="4923" ht="24.75" customHeight="1" x14ac:dyDescent="0.3"/>
    <row r="4924" ht="24.75" customHeight="1" x14ac:dyDescent="0.3"/>
    <row r="4925" ht="24.75" customHeight="1" x14ac:dyDescent="0.3"/>
    <row r="4926" ht="24.75" customHeight="1" x14ac:dyDescent="0.3"/>
    <row r="4927" ht="24.75" customHeight="1" x14ac:dyDescent="0.3"/>
    <row r="4928" ht="24.75" customHeight="1" x14ac:dyDescent="0.3"/>
    <row r="4929" ht="24.75" customHeight="1" x14ac:dyDescent="0.3"/>
    <row r="4930" ht="24.75" customHeight="1" x14ac:dyDescent="0.3"/>
    <row r="4931" ht="24.75" customHeight="1" x14ac:dyDescent="0.3"/>
    <row r="4932" ht="24.75" customHeight="1" x14ac:dyDescent="0.3"/>
    <row r="4933" ht="24.75" customHeight="1" x14ac:dyDescent="0.3"/>
    <row r="4934" ht="24.75" customHeight="1" x14ac:dyDescent="0.3"/>
    <row r="4935" ht="24.75" customHeight="1" x14ac:dyDescent="0.3"/>
    <row r="4936" ht="24.75" customHeight="1" x14ac:dyDescent="0.3"/>
    <row r="4937" ht="24.75" customHeight="1" x14ac:dyDescent="0.3"/>
    <row r="4938" ht="24.75" customHeight="1" x14ac:dyDescent="0.3"/>
    <row r="4939" ht="24.75" customHeight="1" x14ac:dyDescent="0.3"/>
    <row r="4940" ht="24.75" customHeight="1" x14ac:dyDescent="0.3"/>
    <row r="4941" ht="24.75" customHeight="1" x14ac:dyDescent="0.3"/>
    <row r="4942" ht="24.75" customHeight="1" x14ac:dyDescent="0.3"/>
    <row r="4943" ht="24.75" customHeight="1" x14ac:dyDescent="0.3"/>
    <row r="4944" ht="24.75" customHeight="1" x14ac:dyDescent="0.3"/>
    <row r="4945" ht="24.75" customHeight="1" x14ac:dyDescent="0.3"/>
    <row r="4946" ht="24.75" customHeight="1" x14ac:dyDescent="0.3"/>
    <row r="4947" ht="24.75" customHeight="1" x14ac:dyDescent="0.3"/>
    <row r="4948" ht="24.75" customHeight="1" x14ac:dyDescent="0.3"/>
    <row r="4949" ht="24.75" customHeight="1" x14ac:dyDescent="0.3"/>
    <row r="4950" ht="24.75" customHeight="1" x14ac:dyDescent="0.3"/>
    <row r="4951" ht="24.75" customHeight="1" x14ac:dyDescent="0.3"/>
    <row r="4952" ht="24.75" customHeight="1" x14ac:dyDescent="0.3"/>
    <row r="4953" ht="24.75" customHeight="1" x14ac:dyDescent="0.3"/>
    <row r="4954" ht="24.75" customHeight="1" x14ac:dyDescent="0.3"/>
    <row r="4955" ht="24.75" customHeight="1" x14ac:dyDescent="0.3"/>
    <row r="4956" ht="24.75" customHeight="1" x14ac:dyDescent="0.3"/>
    <row r="4957" ht="24.75" customHeight="1" x14ac:dyDescent="0.3"/>
    <row r="4958" ht="24.75" customHeight="1" x14ac:dyDescent="0.3"/>
    <row r="4959" ht="24.75" customHeight="1" x14ac:dyDescent="0.3"/>
    <row r="4960" ht="24.75" customHeight="1" x14ac:dyDescent="0.3"/>
    <row r="4961" ht="24.75" customHeight="1" x14ac:dyDescent="0.3"/>
    <row r="4962" ht="24.75" customHeight="1" x14ac:dyDescent="0.3"/>
    <row r="4963" ht="24.75" customHeight="1" x14ac:dyDescent="0.3"/>
    <row r="4964" ht="24.75" customHeight="1" x14ac:dyDescent="0.3"/>
    <row r="4965" ht="24.75" customHeight="1" x14ac:dyDescent="0.3"/>
    <row r="4966" ht="24.75" customHeight="1" x14ac:dyDescent="0.3"/>
    <row r="4967" ht="24.75" customHeight="1" x14ac:dyDescent="0.3"/>
    <row r="4968" ht="24.75" customHeight="1" x14ac:dyDescent="0.3"/>
    <row r="4969" ht="24.75" customHeight="1" x14ac:dyDescent="0.3"/>
    <row r="4970" ht="24.75" customHeight="1" x14ac:dyDescent="0.3"/>
    <row r="4971" ht="24.75" customHeight="1" x14ac:dyDescent="0.3"/>
    <row r="4972" ht="24.75" customHeight="1" x14ac:dyDescent="0.3"/>
    <row r="4973" ht="24.75" customHeight="1" x14ac:dyDescent="0.3"/>
    <row r="4974" ht="24.75" customHeight="1" x14ac:dyDescent="0.3"/>
    <row r="4975" ht="24.75" customHeight="1" x14ac:dyDescent="0.3"/>
    <row r="4976" ht="24.75" customHeight="1" x14ac:dyDescent="0.3"/>
    <row r="4977" ht="24.75" customHeight="1" x14ac:dyDescent="0.3"/>
    <row r="4978" ht="24.75" customHeight="1" x14ac:dyDescent="0.3"/>
    <row r="4979" ht="24.75" customHeight="1" x14ac:dyDescent="0.3"/>
    <row r="4980" ht="24.75" customHeight="1" x14ac:dyDescent="0.3"/>
    <row r="4981" ht="24.75" customHeight="1" x14ac:dyDescent="0.3"/>
    <row r="4982" ht="24.75" customHeight="1" x14ac:dyDescent="0.3"/>
    <row r="4983" ht="24.75" customHeight="1" x14ac:dyDescent="0.3"/>
    <row r="4984" ht="24.75" customHeight="1" x14ac:dyDescent="0.3"/>
    <row r="4985" ht="24.75" customHeight="1" x14ac:dyDescent="0.3"/>
    <row r="4986" ht="24.75" customHeight="1" x14ac:dyDescent="0.3"/>
    <row r="4987" ht="24.75" customHeight="1" x14ac:dyDescent="0.3"/>
    <row r="4988" ht="24.75" customHeight="1" x14ac:dyDescent="0.3"/>
    <row r="4989" ht="24.75" customHeight="1" x14ac:dyDescent="0.3"/>
    <row r="4990" ht="24.75" customHeight="1" x14ac:dyDescent="0.3"/>
    <row r="4991" ht="24.75" customHeight="1" x14ac:dyDescent="0.3"/>
    <row r="4992" ht="24.75" customHeight="1" x14ac:dyDescent="0.3"/>
    <row r="4993" ht="24.75" customHeight="1" x14ac:dyDescent="0.3"/>
    <row r="4994" ht="24.75" customHeight="1" x14ac:dyDescent="0.3"/>
    <row r="4995" ht="24.75" customHeight="1" x14ac:dyDescent="0.3"/>
    <row r="4996" ht="24.75" customHeight="1" x14ac:dyDescent="0.3"/>
    <row r="4997" ht="24.75" customHeight="1" x14ac:dyDescent="0.3"/>
    <row r="4998" ht="24.75" customHeight="1" x14ac:dyDescent="0.3"/>
    <row r="4999" ht="24.75" customHeight="1" x14ac:dyDescent="0.3"/>
    <row r="5000" ht="24.75" customHeight="1" x14ac:dyDescent="0.3"/>
    <row r="5001" ht="24.75" customHeight="1" x14ac:dyDescent="0.3"/>
    <row r="5002" ht="24.75" customHeight="1" x14ac:dyDescent="0.3"/>
    <row r="5003" ht="24.75" customHeight="1" x14ac:dyDescent="0.3"/>
    <row r="5004" ht="24.75" customHeight="1" x14ac:dyDescent="0.3"/>
    <row r="5005" ht="24.75" customHeight="1" x14ac:dyDescent="0.3"/>
    <row r="5006" ht="24.75" customHeight="1" x14ac:dyDescent="0.3"/>
    <row r="5007" ht="24.75" customHeight="1" x14ac:dyDescent="0.3"/>
    <row r="5008" ht="24.75" customHeight="1" x14ac:dyDescent="0.3"/>
    <row r="5009" ht="24.75" customHeight="1" x14ac:dyDescent="0.3"/>
    <row r="5010" ht="24.75" customHeight="1" x14ac:dyDescent="0.3"/>
    <row r="5011" ht="24.75" customHeight="1" x14ac:dyDescent="0.3"/>
    <row r="5012" ht="24.75" customHeight="1" x14ac:dyDescent="0.3"/>
    <row r="5013" ht="24.75" customHeight="1" x14ac:dyDescent="0.3"/>
    <row r="5014" ht="24.75" customHeight="1" x14ac:dyDescent="0.3"/>
    <row r="5015" ht="24.75" customHeight="1" x14ac:dyDescent="0.3"/>
    <row r="5016" ht="24.75" customHeight="1" x14ac:dyDescent="0.3"/>
    <row r="5017" ht="24.75" customHeight="1" x14ac:dyDescent="0.3"/>
    <row r="5018" ht="24.75" customHeight="1" x14ac:dyDescent="0.3"/>
    <row r="5019" ht="24.75" customHeight="1" x14ac:dyDescent="0.3"/>
    <row r="5020" ht="24.75" customHeight="1" x14ac:dyDescent="0.3"/>
    <row r="5021" ht="24.75" customHeight="1" x14ac:dyDescent="0.3"/>
    <row r="5022" ht="24.75" customHeight="1" x14ac:dyDescent="0.3"/>
    <row r="5023" ht="24.75" customHeight="1" x14ac:dyDescent="0.3"/>
    <row r="5024" ht="24.75" customHeight="1" x14ac:dyDescent="0.3"/>
    <row r="5025" ht="24.75" customHeight="1" x14ac:dyDescent="0.3"/>
    <row r="5026" ht="24.75" customHeight="1" x14ac:dyDescent="0.3"/>
    <row r="5027" ht="24.75" customHeight="1" x14ac:dyDescent="0.3"/>
    <row r="5028" ht="24.75" customHeight="1" x14ac:dyDescent="0.3"/>
    <row r="5029" ht="24.75" customHeight="1" x14ac:dyDescent="0.3"/>
    <row r="5030" ht="24.75" customHeight="1" x14ac:dyDescent="0.3"/>
    <row r="5031" ht="24.75" customHeight="1" x14ac:dyDescent="0.3"/>
    <row r="5032" ht="24.75" customHeight="1" x14ac:dyDescent="0.3"/>
    <row r="5033" ht="24.75" customHeight="1" x14ac:dyDescent="0.3"/>
    <row r="5034" ht="24.75" customHeight="1" x14ac:dyDescent="0.3"/>
    <row r="5035" ht="24.75" customHeight="1" x14ac:dyDescent="0.3"/>
    <row r="5036" ht="24.75" customHeight="1" x14ac:dyDescent="0.3"/>
    <row r="5037" ht="24.75" customHeight="1" x14ac:dyDescent="0.3"/>
    <row r="5038" ht="24.75" customHeight="1" x14ac:dyDescent="0.3"/>
    <row r="5039" ht="24.75" customHeight="1" x14ac:dyDescent="0.3"/>
    <row r="5040" ht="24.75" customHeight="1" x14ac:dyDescent="0.3"/>
    <row r="5041" ht="24.75" customHeight="1" x14ac:dyDescent="0.3"/>
    <row r="5042" ht="24.75" customHeight="1" x14ac:dyDescent="0.3"/>
    <row r="5043" ht="24.75" customHeight="1" x14ac:dyDescent="0.3"/>
    <row r="5044" ht="24.75" customHeight="1" x14ac:dyDescent="0.3"/>
    <row r="5045" ht="24.75" customHeight="1" x14ac:dyDescent="0.3"/>
    <row r="5046" ht="24.75" customHeight="1" x14ac:dyDescent="0.3"/>
    <row r="5047" ht="24.75" customHeight="1" x14ac:dyDescent="0.3"/>
    <row r="5048" ht="24.75" customHeight="1" x14ac:dyDescent="0.3"/>
    <row r="5049" ht="24.75" customHeight="1" x14ac:dyDescent="0.3"/>
    <row r="5050" ht="24.75" customHeight="1" x14ac:dyDescent="0.3"/>
    <row r="5051" ht="24.75" customHeight="1" x14ac:dyDescent="0.3"/>
    <row r="5052" ht="24.75" customHeight="1" x14ac:dyDescent="0.3"/>
    <row r="5053" ht="24.75" customHeight="1" x14ac:dyDescent="0.3"/>
    <row r="5054" ht="24.75" customHeight="1" x14ac:dyDescent="0.3"/>
    <row r="5055" ht="24.75" customHeight="1" x14ac:dyDescent="0.3"/>
    <row r="5056" ht="24.75" customHeight="1" x14ac:dyDescent="0.3"/>
    <row r="5057" ht="24.75" customHeight="1" x14ac:dyDescent="0.3"/>
    <row r="5058" ht="24.75" customHeight="1" x14ac:dyDescent="0.3"/>
    <row r="5059" ht="24.75" customHeight="1" x14ac:dyDescent="0.3"/>
    <row r="5060" ht="24.75" customHeight="1" x14ac:dyDescent="0.3"/>
    <row r="5061" ht="24.75" customHeight="1" x14ac:dyDescent="0.3"/>
    <row r="5062" ht="24.75" customHeight="1" x14ac:dyDescent="0.3"/>
    <row r="5063" ht="24.75" customHeight="1" x14ac:dyDescent="0.3"/>
    <row r="5064" ht="24.75" customHeight="1" x14ac:dyDescent="0.3"/>
    <row r="5065" ht="24.75" customHeight="1" x14ac:dyDescent="0.3"/>
    <row r="5066" ht="24.75" customHeight="1" x14ac:dyDescent="0.3"/>
    <row r="5067" ht="24.75" customHeight="1" x14ac:dyDescent="0.3"/>
    <row r="5068" ht="24.75" customHeight="1" x14ac:dyDescent="0.3"/>
    <row r="5069" ht="24.75" customHeight="1" x14ac:dyDescent="0.3"/>
    <row r="5070" ht="24.75" customHeight="1" x14ac:dyDescent="0.3"/>
    <row r="5071" ht="24.75" customHeight="1" x14ac:dyDescent="0.3"/>
    <row r="5072" ht="24.75" customHeight="1" x14ac:dyDescent="0.3"/>
    <row r="5073" ht="24.75" customHeight="1" x14ac:dyDescent="0.3"/>
    <row r="5074" ht="24.75" customHeight="1" x14ac:dyDescent="0.3"/>
    <row r="5075" ht="24.75" customHeight="1" x14ac:dyDescent="0.3"/>
    <row r="5076" ht="24.75" customHeight="1" x14ac:dyDescent="0.3"/>
    <row r="5077" ht="24.75" customHeight="1" x14ac:dyDescent="0.3"/>
    <row r="5078" ht="24.75" customHeight="1" x14ac:dyDescent="0.3"/>
    <row r="5079" ht="24.75" customHeight="1" x14ac:dyDescent="0.3"/>
    <row r="5080" ht="24.75" customHeight="1" x14ac:dyDescent="0.3"/>
    <row r="5081" ht="24.75" customHeight="1" x14ac:dyDescent="0.3"/>
    <row r="5082" ht="24.75" customHeight="1" x14ac:dyDescent="0.3"/>
    <row r="5083" ht="24.75" customHeight="1" x14ac:dyDescent="0.3"/>
    <row r="5084" ht="24.75" customHeight="1" x14ac:dyDescent="0.3"/>
    <row r="5085" ht="24.75" customHeight="1" x14ac:dyDescent="0.3"/>
    <row r="5086" ht="24.75" customHeight="1" x14ac:dyDescent="0.3"/>
    <row r="5087" ht="24.75" customHeight="1" x14ac:dyDescent="0.3"/>
    <row r="5088" ht="24.75" customHeight="1" x14ac:dyDescent="0.3"/>
    <row r="5089" ht="24.75" customHeight="1" x14ac:dyDescent="0.3"/>
    <row r="5090" ht="24.75" customHeight="1" x14ac:dyDescent="0.3"/>
    <row r="5091" ht="24.75" customHeight="1" x14ac:dyDescent="0.3"/>
    <row r="5092" ht="24.75" customHeight="1" x14ac:dyDescent="0.3"/>
    <row r="5093" ht="24.75" customHeight="1" x14ac:dyDescent="0.3"/>
    <row r="5094" ht="24.75" customHeight="1" x14ac:dyDescent="0.3"/>
    <row r="5095" ht="24.75" customHeight="1" x14ac:dyDescent="0.3"/>
    <row r="5096" ht="24.75" customHeight="1" x14ac:dyDescent="0.3"/>
    <row r="5097" ht="24.75" customHeight="1" x14ac:dyDescent="0.3"/>
    <row r="5098" ht="24.75" customHeight="1" x14ac:dyDescent="0.3"/>
    <row r="5099" ht="24.75" customHeight="1" x14ac:dyDescent="0.3"/>
    <row r="5100" ht="24.75" customHeight="1" x14ac:dyDescent="0.3"/>
    <row r="5101" ht="24.75" customHeight="1" x14ac:dyDescent="0.3"/>
    <row r="5102" ht="24.75" customHeight="1" x14ac:dyDescent="0.3"/>
    <row r="5103" ht="24.75" customHeight="1" x14ac:dyDescent="0.3"/>
    <row r="5104" ht="24.75" customHeight="1" x14ac:dyDescent="0.3"/>
    <row r="5105" ht="24.75" customHeight="1" x14ac:dyDescent="0.3"/>
    <row r="5106" ht="24.75" customHeight="1" x14ac:dyDescent="0.3"/>
    <row r="5107" ht="24.75" customHeight="1" x14ac:dyDescent="0.3"/>
    <row r="5108" ht="24.75" customHeight="1" x14ac:dyDescent="0.3"/>
    <row r="5109" ht="24.75" customHeight="1" x14ac:dyDescent="0.3"/>
    <row r="5110" ht="24.75" customHeight="1" x14ac:dyDescent="0.3"/>
    <row r="5111" ht="24.75" customHeight="1" x14ac:dyDescent="0.3"/>
    <row r="5112" ht="24.75" customHeight="1" x14ac:dyDescent="0.3"/>
    <row r="5113" ht="24.75" customHeight="1" x14ac:dyDescent="0.3"/>
    <row r="5114" ht="24.75" customHeight="1" x14ac:dyDescent="0.3"/>
    <row r="5115" ht="24.75" customHeight="1" x14ac:dyDescent="0.3"/>
    <row r="5116" ht="24.75" customHeight="1" x14ac:dyDescent="0.3"/>
    <row r="5117" ht="24.75" customHeight="1" x14ac:dyDescent="0.3"/>
    <row r="5118" ht="24.75" customHeight="1" x14ac:dyDescent="0.3"/>
    <row r="5119" ht="24.75" customHeight="1" x14ac:dyDescent="0.3"/>
    <row r="5120" ht="24.75" customHeight="1" x14ac:dyDescent="0.3"/>
    <row r="5121" ht="24.75" customHeight="1" x14ac:dyDescent="0.3"/>
    <row r="5122" ht="24.75" customHeight="1" x14ac:dyDescent="0.3"/>
    <row r="5123" ht="24.75" customHeight="1" x14ac:dyDescent="0.3"/>
    <row r="5124" ht="24.75" customHeight="1" x14ac:dyDescent="0.3"/>
    <row r="5125" ht="24.75" customHeight="1" x14ac:dyDescent="0.3"/>
    <row r="5126" ht="24.75" customHeight="1" x14ac:dyDescent="0.3"/>
    <row r="5127" ht="24.75" customHeight="1" x14ac:dyDescent="0.3"/>
    <row r="5128" ht="24.75" customHeight="1" x14ac:dyDescent="0.3"/>
    <row r="5129" ht="24.75" customHeight="1" x14ac:dyDescent="0.3"/>
    <row r="5130" ht="24.75" customHeight="1" x14ac:dyDescent="0.3"/>
    <row r="5131" ht="24.75" customHeight="1" x14ac:dyDescent="0.3"/>
    <row r="5132" ht="24.75" customHeight="1" x14ac:dyDescent="0.3"/>
    <row r="5133" ht="24.75" customHeight="1" x14ac:dyDescent="0.3"/>
    <row r="5134" ht="24.75" customHeight="1" x14ac:dyDescent="0.3"/>
    <row r="5135" ht="24.75" customHeight="1" x14ac:dyDescent="0.3"/>
    <row r="5136" ht="24.75" customHeight="1" x14ac:dyDescent="0.3"/>
    <row r="5137" ht="24.75" customHeight="1" x14ac:dyDescent="0.3"/>
    <row r="5138" ht="24.75" customHeight="1" x14ac:dyDescent="0.3"/>
    <row r="5139" ht="24.75" customHeight="1" x14ac:dyDescent="0.3"/>
    <row r="5140" ht="24.75" customHeight="1" x14ac:dyDescent="0.3"/>
    <row r="5141" ht="24.75" customHeight="1" x14ac:dyDescent="0.3"/>
    <row r="5142" ht="24.75" customHeight="1" x14ac:dyDescent="0.3"/>
    <row r="5143" ht="24.75" customHeight="1" x14ac:dyDescent="0.3"/>
    <row r="5144" ht="24.75" customHeight="1" x14ac:dyDescent="0.3"/>
    <row r="5145" ht="24.75" customHeight="1" x14ac:dyDescent="0.3"/>
    <row r="5146" ht="24.75" customHeight="1" x14ac:dyDescent="0.3"/>
    <row r="5147" ht="24.75" customHeight="1" x14ac:dyDescent="0.3"/>
    <row r="5148" ht="24.75" customHeight="1" x14ac:dyDescent="0.3"/>
    <row r="5149" ht="24.75" customHeight="1" x14ac:dyDescent="0.3"/>
    <row r="5150" ht="24.75" customHeight="1" x14ac:dyDescent="0.3"/>
    <row r="5151" ht="24.75" customHeight="1" x14ac:dyDescent="0.3"/>
    <row r="5152" ht="24.75" customHeight="1" x14ac:dyDescent="0.3"/>
    <row r="5153" ht="24.75" customHeight="1" x14ac:dyDescent="0.3"/>
    <row r="5154" ht="24.75" customHeight="1" x14ac:dyDescent="0.3"/>
    <row r="5155" ht="24.75" customHeight="1" x14ac:dyDescent="0.3"/>
    <row r="5156" ht="24.75" customHeight="1" x14ac:dyDescent="0.3"/>
    <row r="5157" ht="24.75" customHeight="1" x14ac:dyDescent="0.3"/>
    <row r="5158" ht="24.75" customHeight="1" x14ac:dyDescent="0.3"/>
    <row r="5159" ht="24.75" customHeight="1" x14ac:dyDescent="0.3"/>
    <row r="5160" ht="24.75" customHeight="1" x14ac:dyDescent="0.3"/>
    <row r="5161" ht="24.75" customHeight="1" x14ac:dyDescent="0.3"/>
    <row r="5162" ht="24.75" customHeight="1" x14ac:dyDescent="0.3"/>
    <row r="5163" ht="24.75" customHeight="1" x14ac:dyDescent="0.3"/>
    <row r="5164" ht="24.75" customHeight="1" x14ac:dyDescent="0.3"/>
    <row r="5165" ht="24.75" customHeight="1" x14ac:dyDescent="0.3"/>
    <row r="5166" ht="24.75" customHeight="1" x14ac:dyDescent="0.3"/>
    <row r="5167" ht="24.75" customHeight="1" x14ac:dyDescent="0.3"/>
    <row r="5168" ht="24.75" customHeight="1" x14ac:dyDescent="0.3"/>
    <row r="5169" ht="24.75" customHeight="1" x14ac:dyDescent="0.3"/>
    <row r="5170" ht="24.75" customHeight="1" x14ac:dyDescent="0.3"/>
    <row r="5171" ht="24.75" customHeight="1" x14ac:dyDescent="0.3"/>
    <row r="5172" ht="24.75" customHeight="1" x14ac:dyDescent="0.3"/>
    <row r="5173" ht="24.75" customHeight="1" x14ac:dyDescent="0.3"/>
    <row r="5174" ht="24.75" customHeight="1" x14ac:dyDescent="0.3"/>
    <row r="5175" ht="24.75" customHeight="1" x14ac:dyDescent="0.3"/>
    <row r="5176" ht="24.75" customHeight="1" x14ac:dyDescent="0.3"/>
    <row r="5177" ht="24.75" customHeight="1" x14ac:dyDescent="0.3"/>
    <row r="5178" ht="24.75" customHeight="1" x14ac:dyDescent="0.3"/>
    <row r="5179" ht="24.75" customHeight="1" x14ac:dyDescent="0.3"/>
    <row r="5180" ht="24.75" customHeight="1" x14ac:dyDescent="0.3"/>
    <row r="5181" ht="24.75" customHeight="1" x14ac:dyDescent="0.3"/>
    <row r="5182" ht="24.75" customHeight="1" x14ac:dyDescent="0.3"/>
    <row r="5183" ht="24.75" customHeight="1" x14ac:dyDescent="0.3"/>
    <row r="5184" ht="24.75" customHeight="1" x14ac:dyDescent="0.3"/>
    <row r="5185" ht="24.75" customHeight="1" x14ac:dyDescent="0.3"/>
    <row r="5186" ht="24.75" customHeight="1" x14ac:dyDescent="0.3"/>
    <row r="5187" ht="24.75" customHeight="1" x14ac:dyDescent="0.3"/>
    <row r="5188" ht="24.75" customHeight="1" x14ac:dyDescent="0.3"/>
    <row r="5189" ht="24.75" customHeight="1" x14ac:dyDescent="0.3"/>
    <row r="5190" ht="24.75" customHeight="1" x14ac:dyDescent="0.3"/>
    <row r="5191" ht="24.75" customHeight="1" x14ac:dyDescent="0.3"/>
    <row r="5192" ht="24.75" customHeight="1" x14ac:dyDescent="0.3"/>
    <row r="5193" ht="24.75" customHeight="1" x14ac:dyDescent="0.3"/>
    <row r="5194" ht="24.75" customHeight="1" x14ac:dyDescent="0.3"/>
    <row r="5195" ht="24.75" customHeight="1" x14ac:dyDescent="0.3"/>
    <row r="5196" ht="24.75" customHeight="1" x14ac:dyDescent="0.3"/>
    <row r="5197" ht="24.75" customHeight="1" x14ac:dyDescent="0.3"/>
    <row r="5198" ht="24.75" customHeight="1" x14ac:dyDescent="0.3"/>
    <row r="5199" ht="24.75" customHeight="1" x14ac:dyDescent="0.3"/>
    <row r="5200" ht="24.75" customHeight="1" x14ac:dyDescent="0.3"/>
    <row r="5201" ht="24.75" customHeight="1" x14ac:dyDescent="0.3"/>
    <row r="5202" ht="24.75" customHeight="1" x14ac:dyDescent="0.3"/>
    <row r="5203" ht="24.75" customHeight="1" x14ac:dyDescent="0.3"/>
    <row r="5204" ht="24.75" customHeight="1" x14ac:dyDescent="0.3"/>
    <row r="5205" ht="24.75" customHeight="1" x14ac:dyDescent="0.3"/>
    <row r="5206" ht="24.75" customHeight="1" x14ac:dyDescent="0.3"/>
    <row r="5207" ht="24.75" customHeight="1" x14ac:dyDescent="0.3"/>
    <row r="5208" ht="24.75" customHeight="1" x14ac:dyDescent="0.3"/>
    <row r="5209" ht="24.75" customHeight="1" x14ac:dyDescent="0.3"/>
    <row r="5210" ht="24.75" customHeight="1" x14ac:dyDescent="0.3"/>
    <row r="5211" ht="24.75" customHeight="1" x14ac:dyDescent="0.3"/>
    <row r="5212" ht="24.75" customHeight="1" x14ac:dyDescent="0.3"/>
    <row r="5213" ht="24.75" customHeight="1" x14ac:dyDescent="0.3"/>
    <row r="5214" ht="24.75" customHeight="1" x14ac:dyDescent="0.3"/>
    <row r="5215" ht="24.75" customHeight="1" x14ac:dyDescent="0.3"/>
    <row r="5216" ht="24.75" customHeight="1" x14ac:dyDescent="0.3"/>
    <row r="5217" ht="24.75" customHeight="1" x14ac:dyDescent="0.3"/>
    <row r="5218" ht="24.75" customHeight="1" x14ac:dyDescent="0.3"/>
    <row r="5219" ht="24.75" customHeight="1" x14ac:dyDescent="0.3"/>
    <row r="5220" ht="24.75" customHeight="1" x14ac:dyDescent="0.3"/>
    <row r="5221" ht="24.75" customHeight="1" x14ac:dyDescent="0.3"/>
    <row r="5222" ht="24.75" customHeight="1" x14ac:dyDescent="0.3"/>
    <row r="5223" ht="24.75" customHeight="1" x14ac:dyDescent="0.3"/>
    <row r="5224" ht="24.75" customHeight="1" x14ac:dyDescent="0.3"/>
    <row r="5225" ht="24.75" customHeight="1" x14ac:dyDescent="0.3"/>
    <row r="5226" ht="24.75" customHeight="1" x14ac:dyDescent="0.3"/>
    <row r="5227" ht="24.75" customHeight="1" x14ac:dyDescent="0.3"/>
    <row r="5228" ht="24.75" customHeight="1" x14ac:dyDescent="0.3"/>
    <row r="5229" ht="24.75" customHeight="1" x14ac:dyDescent="0.3"/>
    <row r="5230" ht="24.75" customHeight="1" x14ac:dyDescent="0.3"/>
    <row r="5231" ht="24.75" customHeight="1" x14ac:dyDescent="0.3"/>
    <row r="5232" ht="24.75" customHeight="1" x14ac:dyDescent="0.3"/>
    <row r="5233" ht="24.75" customHeight="1" x14ac:dyDescent="0.3"/>
    <row r="5234" ht="24.75" customHeight="1" x14ac:dyDescent="0.3"/>
    <row r="5235" ht="24.75" customHeight="1" x14ac:dyDescent="0.3"/>
    <row r="5236" ht="24.75" customHeight="1" x14ac:dyDescent="0.3"/>
    <row r="5237" ht="24.75" customHeight="1" x14ac:dyDescent="0.3"/>
    <row r="5238" ht="24.75" customHeight="1" x14ac:dyDescent="0.3"/>
    <row r="5239" ht="24.75" customHeight="1" x14ac:dyDescent="0.3"/>
    <row r="5240" ht="24.75" customHeight="1" x14ac:dyDescent="0.3"/>
    <row r="5241" ht="24.75" customHeight="1" x14ac:dyDescent="0.3"/>
    <row r="5242" ht="24.75" customHeight="1" x14ac:dyDescent="0.3"/>
    <row r="5243" ht="24.75" customHeight="1" x14ac:dyDescent="0.3"/>
    <row r="5244" ht="24.75" customHeight="1" x14ac:dyDescent="0.3"/>
    <row r="5245" ht="24.75" customHeight="1" x14ac:dyDescent="0.3"/>
    <row r="5246" ht="24.75" customHeight="1" x14ac:dyDescent="0.3"/>
    <row r="5247" ht="24.75" customHeight="1" x14ac:dyDescent="0.3"/>
    <row r="5248" ht="24.75" customHeight="1" x14ac:dyDescent="0.3"/>
    <row r="5249" ht="24.75" customHeight="1" x14ac:dyDescent="0.3"/>
    <row r="5250" ht="24.75" customHeight="1" x14ac:dyDescent="0.3"/>
    <row r="5251" ht="24.75" customHeight="1" x14ac:dyDescent="0.3"/>
    <row r="5252" ht="24.75" customHeight="1" x14ac:dyDescent="0.3"/>
    <row r="5253" ht="24.75" customHeight="1" x14ac:dyDescent="0.3"/>
    <row r="5254" ht="24.75" customHeight="1" x14ac:dyDescent="0.3"/>
    <row r="5255" ht="24.75" customHeight="1" x14ac:dyDescent="0.3"/>
    <row r="5256" ht="24.75" customHeight="1" x14ac:dyDescent="0.3"/>
    <row r="5257" ht="24.75" customHeight="1" x14ac:dyDescent="0.3"/>
    <row r="5258" ht="24.75" customHeight="1" x14ac:dyDescent="0.3"/>
    <row r="5259" ht="24.75" customHeight="1" x14ac:dyDescent="0.3"/>
    <row r="5260" ht="24.75" customHeight="1" x14ac:dyDescent="0.3"/>
    <row r="5261" ht="24.75" customHeight="1" x14ac:dyDescent="0.3"/>
    <row r="5262" ht="24.75" customHeight="1" x14ac:dyDescent="0.3"/>
    <row r="5263" ht="24.75" customHeight="1" x14ac:dyDescent="0.3"/>
    <row r="5264" ht="24.75" customHeight="1" x14ac:dyDescent="0.3"/>
    <row r="5265" ht="24.75" customHeight="1" x14ac:dyDescent="0.3"/>
    <row r="5266" ht="24.75" customHeight="1" x14ac:dyDescent="0.3"/>
    <row r="5267" ht="24.75" customHeight="1" x14ac:dyDescent="0.3"/>
    <row r="5268" ht="24.75" customHeight="1" x14ac:dyDescent="0.3"/>
    <row r="5269" ht="24.75" customHeight="1" x14ac:dyDescent="0.3"/>
    <row r="5270" ht="24.75" customHeight="1" x14ac:dyDescent="0.3"/>
    <row r="5271" ht="24.75" customHeight="1" x14ac:dyDescent="0.3"/>
    <row r="5272" ht="24.75" customHeight="1" x14ac:dyDescent="0.3"/>
    <row r="5273" ht="24.75" customHeight="1" x14ac:dyDescent="0.3"/>
    <row r="5274" ht="24.75" customHeight="1" x14ac:dyDescent="0.3"/>
    <row r="5275" ht="24.75" customHeight="1" x14ac:dyDescent="0.3"/>
    <row r="5276" ht="24.75" customHeight="1" x14ac:dyDescent="0.3"/>
    <row r="5277" ht="24.75" customHeight="1" x14ac:dyDescent="0.3"/>
    <row r="5278" ht="24.75" customHeight="1" x14ac:dyDescent="0.3"/>
    <row r="5279" ht="24.75" customHeight="1" x14ac:dyDescent="0.3"/>
    <row r="5280" ht="24.75" customHeight="1" x14ac:dyDescent="0.3"/>
    <row r="5281" ht="24.75" customHeight="1" x14ac:dyDescent="0.3"/>
    <row r="5282" ht="24.75" customHeight="1" x14ac:dyDescent="0.3"/>
    <row r="5283" ht="24.75" customHeight="1" x14ac:dyDescent="0.3"/>
    <row r="5284" ht="24.75" customHeight="1" x14ac:dyDescent="0.3"/>
    <row r="5285" ht="24.75" customHeight="1" x14ac:dyDescent="0.3"/>
    <row r="5286" ht="24.75" customHeight="1" x14ac:dyDescent="0.3"/>
    <row r="5287" ht="24.75" customHeight="1" x14ac:dyDescent="0.3"/>
    <row r="5288" ht="24.75" customHeight="1" x14ac:dyDescent="0.3"/>
    <row r="5289" ht="24.75" customHeight="1" x14ac:dyDescent="0.3"/>
    <row r="5290" ht="24.75" customHeight="1" x14ac:dyDescent="0.3"/>
    <row r="5291" ht="24.75" customHeight="1" x14ac:dyDescent="0.3"/>
    <row r="5292" ht="24.75" customHeight="1" x14ac:dyDescent="0.3"/>
    <row r="5293" ht="24.75" customHeight="1" x14ac:dyDescent="0.3"/>
    <row r="5294" ht="24.75" customHeight="1" x14ac:dyDescent="0.3"/>
    <row r="5295" ht="24.75" customHeight="1" x14ac:dyDescent="0.3"/>
    <row r="5296" ht="24.75" customHeight="1" x14ac:dyDescent="0.3"/>
    <row r="5297" ht="24.75" customHeight="1" x14ac:dyDescent="0.3"/>
    <row r="5298" ht="24.75" customHeight="1" x14ac:dyDescent="0.3"/>
    <row r="5299" ht="24.75" customHeight="1" x14ac:dyDescent="0.3"/>
    <row r="5300" ht="24.75" customHeight="1" x14ac:dyDescent="0.3"/>
    <row r="5301" ht="24.75" customHeight="1" x14ac:dyDescent="0.3"/>
    <row r="5302" ht="24.75" customHeight="1" x14ac:dyDescent="0.3"/>
    <row r="5303" ht="24.75" customHeight="1" x14ac:dyDescent="0.3"/>
    <row r="5304" ht="24.75" customHeight="1" x14ac:dyDescent="0.3"/>
    <row r="5305" ht="24.75" customHeight="1" x14ac:dyDescent="0.3"/>
    <row r="5306" ht="24.75" customHeight="1" x14ac:dyDescent="0.3"/>
    <row r="5307" ht="24.75" customHeight="1" x14ac:dyDescent="0.3"/>
    <row r="5308" ht="24.75" customHeight="1" x14ac:dyDescent="0.3"/>
    <row r="5309" ht="24.75" customHeight="1" x14ac:dyDescent="0.3"/>
    <row r="5310" ht="24.75" customHeight="1" x14ac:dyDescent="0.3"/>
    <row r="5311" ht="24.75" customHeight="1" x14ac:dyDescent="0.3"/>
    <row r="5312" ht="24.75" customHeight="1" x14ac:dyDescent="0.3"/>
    <row r="5313" ht="24.75" customHeight="1" x14ac:dyDescent="0.3"/>
    <row r="5314" ht="24.75" customHeight="1" x14ac:dyDescent="0.3"/>
    <row r="5315" ht="24.75" customHeight="1" x14ac:dyDescent="0.3"/>
    <row r="5316" ht="24.75" customHeight="1" x14ac:dyDescent="0.3"/>
    <row r="5317" ht="24.75" customHeight="1" x14ac:dyDescent="0.3"/>
    <row r="5318" ht="24.75" customHeight="1" x14ac:dyDescent="0.3"/>
    <row r="5319" ht="24.75" customHeight="1" x14ac:dyDescent="0.3"/>
    <row r="5320" ht="24.75" customHeight="1" x14ac:dyDescent="0.3"/>
    <row r="5321" ht="24.75" customHeight="1" x14ac:dyDescent="0.3"/>
    <row r="5322" ht="24.75" customHeight="1" x14ac:dyDescent="0.3"/>
    <row r="5323" ht="24.75" customHeight="1" x14ac:dyDescent="0.3"/>
    <row r="5324" ht="24.75" customHeight="1" x14ac:dyDescent="0.3"/>
    <row r="5325" ht="24.75" customHeight="1" x14ac:dyDescent="0.3"/>
    <row r="5326" ht="24.75" customHeight="1" x14ac:dyDescent="0.3"/>
    <row r="5327" ht="24.75" customHeight="1" x14ac:dyDescent="0.3"/>
    <row r="5328" ht="24.75" customHeight="1" x14ac:dyDescent="0.3"/>
    <row r="5329" ht="24.75" customHeight="1" x14ac:dyDescent="0.3"/>
    <row r="5330" ht="24.75" customHeight="1" x14ac:dyDescent="0.3"/>
    <row r="5331" ht="24.75" customHeight="1" x14ac:dyDescent="0.3"/>
    <row r="5332" ht="24.75" customHeight="1" x14ac:dyDescent="0.3"/>
    <row r="5333" ht="24.75" customHeight="1" x14ac:dyDescent="0.3"/>
    <row r="5334" ht="24.75" customHeight="1" x14ac:dyDescent="0.3"/>
    <row r="5335" ht="24.75" customHeight="1" x14ac:dyDescent="0.3"/>
    <row r="5336" ht="24.75" customHeight="1" x14ac:dyDescent="0.3"/>
    <row r="5337" ht="24.75" customHeight="1" x14ac:dyDescent="0.3"/>
    <row r="5338" ht="24.75" customHeight="1" x14ac:dyDescent="0.3"/>
    <row r="5339" ht="24.75" customHeight="1" x14ac:dyDescent="0.3"/>
    <row r="5340" ht="24.75" customHeight="1" x14ac:dyDescent="0.3"/>
    <row r="5341" ht="24.75" customHeight="1" x14ac:dyDescent="0.3"/>
    <row r="5342" ht="24.75" customHeight="1" x14ac:dyDescent="0.3"/>
    <row r="5343" ht="24.75" customHeight="1" x14ac:dyDescent="0.3"/>
    <row r="5344" ht="24.75" customHeight="1" x14ac:dyDescent="0.3"/>
    <row r="5345" ht="24.75" customHeight="1" x14ac:dyDescent="0.3"/>
    <row r="5346" ht="24.75" customHeight="1" x14ac:dyDescent="0.3"/>
    <row r="5347" ht="24.75" customHeight="1" x14ac:dyDescent="0.3"/>
    <row r="5348" ht="24.75" customHeight="1" x14ac:dyDescent="0.3"/>
    <row r="5349" ht="24.75" customHeight="1" x14ac:dyDescent="0.3"/>
    <row r="5350" ht="24.75" customHeight="1" x14ac:dyDescent="0.3"/>
    <row r="5351" ht="24.75" customHeight="1" x14ac:dyDescent="0.3"/>
    <row r="5352" ht="24.75" customHeight="1" x14ac:dyDescent="0.3"/>
    <row r="5353" ht="24.75" customHeight="1" x14ac:dyDescent="0.3"/>
    <row r="5354" ht="24.75" customHeight="1" x14ac:dyDescent="0.3"/>
    <row r="5355" ht="24.75" customHeight="1" x14ac:dyDescent="0.3"/>
    <row r="5356" ht="24.75" customHeight="1" x14ac:dyDescent="0.3"/>
    <row r="5357" ht="24.75" customHeight="1" x14ac:dyDescent="0.3"/>
    <row r="5358" ht="24.75" customHeight="1" x14ac:dyDescent="0.3"/>
    <row r="5359" ht="24.75" customHeight="1" x14ac:dyDescent="0.3"/>
    <row r="5360" ht="24.75" customHeight="1" x14ac:dyDescent="0.3"/>
    <row r="5361" ht="24.75" customHeight="1" x14ac:dyDescent="0.3"/>
    <row r="5362" ht="24.75" customHeight="1" x14ac:dyDescent="0.3"/>
    <row r="5363" ht="24.75" customHeight="1" x14ac:dyDescent="0.3"/>
    <row r="5364" ht="24.75" customHeight="1" x14ac:dyDescent="0.3"/>
    <row r="5365" ht="24.75" customHeight="1" x14ac:dyDescent="0.3"/>
    <row r="5366" ht="24.75" customHeight="1" x14ac:dyDescent="0.3"/>
    <row r="5367" ht="24.75" customHeight="1" x14ac:dyDescent="0.3"/>
    <row r="5368" ht="24.75" customHeight="1" x14ac:dyDescent="0.3"/>
    <row r="5369" ht="24.75" customHeight="1" x14ac:dyDescent="0.3"/>
    <row r="5370" ht="24.75" customHeight="1" x14ac:dyDescent="0.3"/>
    <row r="5371" ht="24.75" customHeight="1" x14ac:dyDescent="0.3"/>
    <row r="5372" ht="24.75" customHeight="1" x14ac:dyDescent="0.3"/>
    <row r="5373" ht="24.75" customHeight="1" x14ac:dyDescent="0.3"/>
    <row r="5374" ht="24.75" customHeight="1" x14ac:dyDescent="0.3"/>
    <row r="5375" ht="24.75" customHeight="1" x14ac:dyDescent="0.3"/>
    <row r="5376" ht="24.75" customHeight="1" x14ac:dyDescent="0.3"/>
    <row r="5377" ht="24.75" customHeight="1" x14ac:dyDescent="0.3"/>
    <row r="5378" ht="24.75" customHeight="1" x14ac:dyDescent="0.3"/>
    <row r="5379" ht="24.75" customHeight="1" x14ac:dyDescent="0.3"/>
    <row r="5380" ht="24.75" customHeight="1" x14ac:dyDescent="0.3"/>
    <row r="5381" ht="24.75" customHeight="1" x14ac:dyDescent="0.3"/>
    <row r="5382" ht="24.75" customHeight="1" x14ac:dyDescent="0.3"/>
    <row r="5383" ht="24.75" customHeight="1" x14ac:dyDescent="0.3"/>
    <row r="5384" ht="24.75" customHeight="1" x14ac:dyDescent="0.3"/>
    <row r="5385" ht="24.75" customHeight="1" x14ac:dyDescent="0.3"/>
    <row r="5386" ht="24.75" customHeight="1" x14ac:dyDescent="0.3"/>
    <row r="5387" ht="24.75" customHeight="1" x14ac:dyDescent="0.3"/>
    <row r="5388" ht="24.75" customHeight="1" x14ac:dyDescent="0.3"/>
    <row r="5389" ht="24.75" customHeight="1" x14ac:dyDescent="0.3"/>
    <row r="5390" ht="24.75" customHeight="1" x14ac:dyDescent="0.3"/>
    <row r="5391" ht="24.75" customHeight="1" x14ac:dyDescent="0.3"/>
    <row r="5392" ht="24.75" customHeight="1" x14ac:dyDescent="0.3"/>
    <row r="5393" ht="24.75" customHeight="1" x14ac:dyDescent="0.3"/>
    <row r="5394" ht="24.75" customHeight="1" x14ac:dyDescent="0.3"/>
    <row r="5395" ht="24.75" customHeight="1" x14ac:dyDescent="0.3"/>
    <row r="5396" ht="24.75" customHeight="1" x14ac:dyDescent="0.3"/>
    <row r="5397" ht="24.75" customHeight="1" x14ac:dyDescent="0.3"/>
    <row r="5398" ht="24.75" customHeight="1" x14ac:dyDescent="0.3"/>
    <row r="5399" ht="24.75" customHeight="1" x14ac:dyDescent="0.3"/>
    <row r="5400" ht="24.75" customHeight="1" x14ac:dyDescent="0.3"/>
    <row r="5401" ht="24.75" customHeight="1" x14ac:dyDescent="0.3"/>
    <row r="5402" ht="24.75" customHeight="1" x14ac:dyDescent="0.3"/>
    <row r="5403" ht="24.75" customHeight="1" x14ac:dyDescent="0.3"/>
    <row r="5404" ht="24.75" customHeight="1" x14ac:dyDescent="0.3"/>
    <row r="5405" ht="24.75" customHeight="1" x14ac:dyDescent="0.3"/>
    <row r="5406" ht="24.75" customHeight="1" x14ac:dyDescent="0.3"/>
    <row r="5407" ht="24.75" customHeight="1" x14ac:dyDescent="0.3"/>
    <row r="5408" ht="24.75" customHeight="1" x14ac:dyDescent="0.3"/>
    <row r="5409" ht="24.75" customHeight="1" x14ac:dyDescent="0.3"/>
    <row r="5410" ht="24.75" customHeight="1" x14ac:dyDescent="0.3"/>
    <row r="5411" ht="24.75" customHeight="1" x14ac:dyDescent="0.3"/>
    <row r="5412" ht="24.75" customHeight="1" x14ac:dyDescent="0.3"/>
    <row r="5413" ht="24.75" customHeight="1" x14ac:dyDescent="0.3"/>
    <row r="5414" ht="24.75" customHeight="1" x14ac:dyDescent="0.3"/>
    <row r="5415" ht="24.75" customHeight="1" x14ac:dyDescent="0.3"/>
    <row r="5416" ht="24.75" customHeight="1" x14ac:dyDescent="0.3"/>
    <row r="5417" ht="24.75" customHeight="1" x14ac:dyDescent="0.3"/>
    <row r="5418" ht="24.75" customHeight="1" x14ac:dyDescent="0.3"/>
    <row r="5419" ht="24.75" customHeight="1" x14ac:dyDescent="0.3"/>
    <row r="5420" ht="24.75" customHeight="1" x14ac:dyDescent="0.3"/>
    <row r="5421" ht="24.75" customHeight="1" x14ac:dyDescent="0.3"/>
    <row r="5422" ht="24.75" customHeight="1" x14ac:dyDescent="0.3"/>
    <row r="5423" ht="24.75" customHeight="1" x14ac:dyDescent="0.3"/>
    <row r="5424" ht="24.75" customHeight="1" x14ac:dyDescent="0.3"/>
    <row r="5425" ht="24.75" customHeight="1" x14ac:dyDescent="0.3"/>
    <row r="5426" ht="24.75" customHeight="1" x14ac:dyDescent="0.3"/>
    <row r="5427" ht="24.75" customHeight="1" x14ac:dyDescent="0.3"/>
    <row r="5428" ht="24.75" customHeight="1" x14ac:dyDescent="0.3"/>
    <row r="5429" ht="24.75" customHeight="1" x14ac:dyDescent="0.3"/>
    <row r="5430" ht="24.75" customHeight="1" x14ac:dyDescent="0.3"/>
    <row r="5431" ht="24.75" customHeight="1" x14ac:dyDescent="0.3"/>
    <row r="5432" ht="24.75" customHeight="1" x14ac:dyDescent="0.3"/>
    <row r="5433" ht="24.75" customHeight="1" x14ac:dyDescent="0.3"/>
    <row r="5434" ht="24.75" customHeight="1" x14ac:dyDescent="0.3"/>
    <row r="5435" ht="24.75" customHeight="1" x14ac:dyDescent="0.3"/>
    <row r="5436" ht="24.75" customHeight="1" x14ac:dyDescent="0.3"/>
    <row r="5437" ht="24.75" customHeight="1" x14ac:dyDescent="0.3"/>
    <row r="5438" ht="24.75" customHeight="1" x14ac:dyDescent="0.3"/>
    <row r="5439" ht="24.75" customHeight="1" x14ac:dyDescent="0.3"/>
    <row r="5440" ht="24.75" customHeight="1" x14ac:dyDescent="0.3"/>
    <row r="5441" ht="24.75" customHeight="1" x14ac:dyDescent="0.3"/>
    <row r="5442" ht="24.75" customHeight="1" x14ac:dyDescent="0.3"/>
    <row r="5443" ht="24.75" customHeight="1" x14ac:dyDescent="0.3"/>
    <row r="5444" ht="24.75" customHeight="1" x14ac:dyDescent="0.3"/>
    <row r="5445" ht="24.75" customHeight="1" x14ac:dyDescent="0.3"/>
    <row r="5446" ht="24.75" customHeight="1" x14ac:dyDescent="0.3"/>
    <row r="5447" ht="24.75" customHeight="1" x14ac:dyDescent="0.3"/>
    <row r="5448" ht="24.75" customHeight="1" x14ac:dyDescent="0.3"/>
    <row r="5449" ht="24.75" customHeight="1" x14ac:dyDescent="0.3"/>
    <row r="5450" ht="24.75" customHeight="1" x14ac:dyDescent="0.3"/>
    <row r="5451" ht="24.75" customHeight="1" x14ac:dyDescent="0.3"/>
    <row r="5452" ht="24.75" customHeight="1" x14ac:dyDescent="0.3"/>
    <row r="5453" ht="24.75" customHeight="1" x14ac:dyDescent="0.3"/>
    <row r="5454" ht="24.75" customHeight="1" x14ac:dyDescent="0.3"/>
    <row r="5455" ht="24.75" customHeight="1" x14ac:dyDescent="0.3"/>
    <row r="5456" ht="24.75" customHeight="1" x14ac:dyDescent="0.3"/>
    <row r="5457" ht="24.75" customHeight="1" x14ac:dyDescent="0.3"/>
    <row r="5458" ht="24.75" customHeight="1" x14ac:dyDescent="0.3"/>
    <row r="5459" ht="24.75" customHeight="1" x14ac:dyDescent="0.3"/>
    <row r="5460" ht="24.75" customHeight="1" x14ac:dyDescent="0.3"/>
    <row r="5461" ht="24.75" customHeight="1" x14ac:dyDescent="0.3"/>
    <row r="5462" ht="24.75" customHeight="1" x14ac:dyDescent="0.3"/>
    <row r="5463" ht="24.75" customHeight="1" x14ac:dyDescent="0.3"/>
    <row r="5464" ht="24.75" customHeight="1" x14ac:dyDescent="0.3"/>
    <row r="5465" ht="24.75" customHeight="1" x14ac:dyDescent="0.3"/>
    <row r="5466" ht="24.75" customHeight="1" x14ac:dyDescent="0.3"/>
    <row r="5467" ht="24.75" customHeight="1" x14ac:dyDescent="0.3"/>
    <row r="5468" ht="24.75" customHeight="1" x14ac:dyDescent="0.3"/>
    <row r="5469" ht="24.75" customHeight="1" x14ac:dyDescent="0.3"/>
    <row r="5470" ht="24.75" customHeight="1" x14ac:dyDescent="0.3"/>
    <row r="5471" ht="24.75" customHeight="1" x14ac:dyDescent="0.3"/>
    <row r="5472" ht="24.75" customHeight="1" x14ac:dyDescent="0.3"/>
    <row r="5473" ht="24.75" customHeight="1" x14ac:dyDescent="0.3"/>
    <row r="5474" ht="24.75" customHeight="1" x14ac:dyDescent="0.3"/>
    <row r="5475" ht="24.75" customHeight="1" x14ac:dyDescent="0.3"/>
    <row r="5476" ht="24.75" customHeight="1" x14ac:dyDescent="0.3"/>
    <row r="5477" ht="24.75" customHeight="1" x14ac:dyDescent="0.3"/>
    <row r="5478" ht="24.75" customHeight="1" x14ac:dyDescent="0.3"/>
    <row r="5479" ht="24.75" customHeight="1" x14ac:dyDescent="0.3"/>
    <row r="5480" ht="24.75" customHeight="1" x14ac:dyDescent="0.3"/>
    <row r="5481" ht="24.75" customHeight="1" x14ac:dyDescent="0.3"/>
    <row r="5482" ht="24.75" customHeight="1" x14ac:dyDescent="0.3"/>
    <row r="5483" ht="24.75" customHeight="1" x14ac:dyDescent="0.3"/>
    <row r="5484" ht="24.75" customHeight="1" x14ac:dyDescent="0.3"/>
    <row r="5485" ht="24.75" customHeight="1" x14ac:dyDescent="0.3"/>
    <row r="5486" ht="24.75" customHeight="1" x14ac:dyDescent="0.3"/>
    <row r="5487" ht="24.75" customHeight="1" x14ac:dyDescent="0.3"/>
    <row r="5488" ht="24.75" customHeight="1" x14ac:dyDescent="0.3"/>
    <row r="5489" ht="24.75" customHeight="1" x14ac:dyDescent="0.3"/>
    <row r="5490" ht="24.75" customHeight="1" x14ac:dyDescent="0.3"/>
    <row r="5491" ht="24.75" customHeight="1" x14ac:dyDescent="0.3"/>
    <row r="5492" ht="24.75" customHeight="1" x14ac:dyDescent="0.3"/>
    <row r="5493" ht="24.75" customHeight="1" x14ac:dyDescent="0.3"/>
    <row r="5494" ht="24.75" customHeight="1" x14ac:dyDescent="0.3"/>
    <row r="5495" ht="24.75" customHeight="1" x14ac:dyDescent="0.3"/>
    <row r="5496" ht="24.75" customHeight="1" x14ac:dyDescent="0.3"/>
    <row r="5497" ht="24.75" customHeight="1" x14ac:dyDescent="0.3"/>
    <row r="5498" ht="24.75" customHeight="1" x14ac:dyDescent="0.3"/>
    <row r="5499" ht="24.75" customHeight="1" x14ac:dyDescent="0.3"/>
    <row r="5500" ht="24.75" customHeight="1" x14ac:dyDescent="0.3"/>
    <row r="5501" ht="24.75" customHeight="1" x14ac:dyDescent="0.3"/>
    <row r="5502" ht="24.75" customHeight="1" x14ac:dyDescent="0.3"/>
    <row r="5503" ht="24.75" customHeight="1" x14ac:dyDescent="0.3"/>
    <row r="5504" ht="24.75" customHeight="1" x14ac:dyDescent="0.3"/>
    <row r="5505" ht="24.75" customHeight="1" x14ac:dyDescent="0.3"/>
    <row r="5506" ht="24.75" customHeight="1" x14ac:dyDescent="0.3"/>
    <row r="5507" ht="24.75" customHeight="1" x14ac:dyDescent="0.3"/>
    <row r="5508" ht="24.75" customHeight="1" x14ac:dyDescent="0.3"/>
    <row r="5509" ht="24.75" customHeight="1" x14ac:dyDescent="0.3"/>
    <row r="5510" ht="24.75" customHeight="1" x14ac:dyDescent="0.3"/>
    <row r="5511" ht="24.75" customHeight="1" x14ac:dyDescent="0.3"/>
    <row r="5512" ht="24.75" customHeight="1" x14ac:dyDescent="0.3"/>
    <row r="5513" ht="24.75" customHeight="1" x14ac:dyDescent="0.3"/>
    <row r="5514" ht="24.75" customHeight="1" x14ac:dyDescent="0.3"/>
    <row r="5515" ht="24.75" customHeight="1" x14ac:dyDescent="0.3"/>
    <row r="5516" ht="24.75" customHeight="1" x14ac:dyDescent="0.3"/>
    <row r="5517" ht="24.75" customHeight="1" x14ac:dyDescent="0.3"/>
    <row r="5518" ht="24.75" customHeight="1" x14ac:dyDescent="0.3"/>
    <row r="5519" ht="24.75" customHeight="1" x14ac:dyDescent="0.3"/>
    <row r="5520" ht="24.75" customHeight="1" x14ac:dyDescent="0.3"/>
    <row r="5521" ht="24.75" customHeight="1" x14ac:dyDescent="0.3"/>
    <row r="5522" ht="24.75" customHeight="1" x14ac:dyDescent="0.3"/>
    <row r="5523" ht="24.75" customHeight="1" x14ac:dyDescent="0.3"/>
    <row r="5524" ht="24.75" customHeight="1" x14ac:dyDescent="0.3"/>
    <row r="5525" ht="24.75" customHeight="1" x14ac:dyDescent="0.3"/>
    <row r="5526" ht="24.75" customHeight="1" x14ac:dyDescent="0.3"/>
    <row r="5527" ht="24.75" customHeight="1" x14ac:dyDescent="0.3"/>
    <row r="5528" ht="24.75" customHeight="1" x14ac:dyDescent="0.3"/>
    <row r="5529" ht="24.75" customHeight="1" x14ac:dyDescent="0.3"/>
    <row r="5530" ht="24.75" customHeight="1" x14ac:dyDescent="0.3"/>
    <row r="5531" ht="24.75" customHeight="1" x14ac:dyDescent="0.3"/>
    <row r="5532" ht="24.75" customHeight="1" x14ac:dyDescent="0.3"/>
    <row r="5533" ht="24.75" customHeight="1" x14ac:dyDescent="0.3"/>
    <row r="5534" ht="24.75" customHeight="1" x14ac:dyDescent="0.3"/>
    <row r="5535" ht="24.75" customHeight="1" x14ac:dyDescent="0.3"/>
    <row r="5536" ht="24.75" customHeight="1" x14ac:dyDescent="0.3"/>
    <row r="5537" ht="24.75" customHeight="1" x14ac:dyDescent="0.3"/>
    <row r="5538" ht="24.75" customHeight="1" x14ac:dyDescent="0.3"/>
    <row r="5539" ht="24.75" customHeight="1" x14ac:dyDescent="0.3"/>
    <row r="5540" ht="24.75" customHeight="1" x14ac:dyDescent="0.3"/>
    <row r="5541" ht="24.75" customHeight="1" x14ac:dyDescent="0.3"/>
    <row r="5542" ht="24.75" customHeight="1" x14ac:dyDescent="0.3"/>
    <row r="5543" ht="24.75" customHeight="1" x14ac:dyDescent="0.3"/>
    <row r="5544" ht="24.75" customHeight="1" x14ac:dyDescent="0.3"/>
    <row r="5545" ht="24.75" customHeight="1" x14ac:dyDescent="0.3"/>
    <row r="5546" ht="24.75" customHeight="1" x14ac:dyDescent="0.3"/>
    <row r="5547" ht="24.75" customHeight="1" x14ac:dyDescent="0.3"/>
    <row r="5548" ht="24.75" customHeight="1" x14ac:dyDescent="0.3"/>
    <row r="5549" ht="24.75" customHeight="1" x14ac:dyDescent="0.3"/>
    <row r="5550" ht="24.75" customHeight="1" x14ac:dyDescent="0.3"/>
    <row r="5551" ht="24.75" customHeight="1" x14ac:dyDescent="0.3"/>
    <row r="5552" ht="24.75" customHeight="1" x14ac:dyDescent="0.3"/>
    <row r="5553" ht="24.75" customHeight="1" x14ac:dyDescent="0.3"/>
    <row r="5554" ht="24.75" customHeight="1" x14ac:dyDescent="0.3"/>
    <row r="5555" ht="24.75" customHeight="1" x14ac:dyDescent="0.3"/>
    <row r="5556" ht="24.75" customHeight="1" x14ac:dyDescent="0.3"/>
    <row r="5557" ht="24.75" customHeight="1" x14ac:dyDescent="0.3"/>
    <row r="5558" ht="24.75" customHeight="1" x14ac:dyDescent="0.3"/>
    <row r="5559" ht="24.75" customHeight="1" x14ac:dyDescent="0.3"/>
    <row r="5560" ht="24.75" customHeight="1" x14ac:dyDescent="0.3"/>
    <row r="5561" ht="24.75" customHeight="1" x14ac:dyDescent="0.3"/>
    <row r="5562" ht="24.75" customHeight="1" x14ac:dyDescent="0.3"/>
    <row r="5563" ht="24.75" customHeight="1" x14ac:dyDescent="0.3"/>
    <row r="5564" ht="24.75" customHeight="1" x14ac:dyDescent="0.3"/>
    <row r="5565" ht="24.75" customHeight="1" x14ac:dyDescent="0.3"/>
    <row r="5566" ht="24.75" customHeight="1" x14ac:dyDescent="0.3"/>
    <row r="5567" ht="24.75" customHeight="1" x14ac:dyDescent="0.3"/>
    <row r="5568" ht="24.75" customHeight="1" x14ac:dyDescent="0.3"/>
    <row r="5569" ht="24.75" customHeight="1" x14ac:dyDescent="0.3"/>
    <row r="5570" ht="24.75" customHeight="1" x14ac:dyDescent="0.3"/>
    <row r="5571" ht="24.75" customHeight="1" x14ac:dyDescent="0.3"/>
    <row r="5572" ht="24.75" customHeight="1" x14ac:dyDescent="0.3"/>
    <row r="5573" ht="24.75" customHeight="1" x14ac:dyDescent="0.3"/>
    <row r="5574" ht="24.75" customHeight="1" x14ac:dyDescent="0.3"/>
    <row r="5575" ht="24.75" customHeight="1" x14ac:dyDescent="0.3"/>
    <row r="5576" ht="24.75" customHeight="1" x14ac:dyDescent="0.3"/>
    <row r="5577" ht="24.75" customHeight="1" x14ac:dyDescent="0.3"/>
    <row r="5578" ht="24.75" customHeight="1" x14ac:dyDescent="0.3"/>
    <row r="5579" ht="24.75" customHeight="1" x14ac:dyDescent="0.3"/>
    <row r="5580" ht="24.75" customHeight="1" x14ac:dyDescent="0.3"/>
    <row r="5581" ht="24.75" customHeight="1" x14ac:dyDescent="0.3"/>
    <row r="5582" ht="24.75" customHeight="1" x14ac:dyDescent="0.3"/>
    <row r="5583" ht="24.75" customHeight="1" x14ac:dyDescent="0.3"/>
    <row r="5584" ht="24.75" customHeight="1" x14ac:dyDescent="0.3"/>
    <row r="5585" ht="24.75" customHeight="1" x14ac:dyDescent="0.3"/>
    <row r="5586" ht="24.75" customHeight="1" x14ac:dyDescent="0.3"/>
    <row r="5587" ht="24.75" customHeight="1" x14ac:dyDescent="0.3"/>
    <row r="5588" ht="24.75" customHeight="1" x14ac:dyDescent="0.3"/>
    <row r="5589" ht="24.75" customHeight="1" x14ac:dyDescent="0.3"/>
    <row r="5590" ht="24.75" customHeight="1" x14ac:dyDescent="0.3"/>
    <row r="5591" ht="24.75" customHeight="1" x14ac:dyDescent="0.3"/>
    <row r="5592" ht="24.75" customHeight="1" x14ac:dyDescent="0.3"/>
    <row r="5593" ht="24.75" customHeight="1" x14ac:dyDescent="0.3"/>
    <row r="5594" ht="24.75" customHeight="1" x14ac:dyDescent="0.3"/>
    <row r="5595" ht="24.75" customHeight="1" x14ac:dyDescent="0.3"/>
    <row r="5596" ht="24.75" customHeight="1" x14ac:dyDescent="0.3"/>
    <row r="5597" ht="24.75" customHeight="1" x14ac:dyDescent="0.3"/>
    <row r="5598" ht="24.75" customHeight="1" x14ac:dyDescent="0.3"/>
    <row r="5599" ht="24.75" customHeight="1" x14ac:dyDescent="0.3"/>
    <row r="5600" ht="24.75" customHeight="1" x14ac:dyDescent="0.3"/>
    <row r="5601" ht="24.75" customHeight="1" x14ac:dyDescent="0.3"/>
    <row r="5602" ht="24.75" customHeight="1" x14ac:dyDescent="0.3"/>
    <row r="5603" ht="24.75" customHeight="1" x14ac:dyDescent="0.3"/>
    <row r="5604" ht="24.75" customHeight="1" x14ac:dyDescent="0.3"/>
    <row r="5605" ht="24.75" customHeight="1" x14ac:dyDescent="0.3"/>
    <row r="5606" ht="24.75" customHeight="1" x14ac:dyDescent="0.3"/>
    <row r="5607" ht="24.75" customHeight="1" x14ac:dyDescent="0.3"/>
    <row r="5608" ht="24.75" customHeight="1" x14ac:dyDescent="0.3"/>
    <row r="5609" ht="24.75" customHeight="1" x14ac:dyDescent="0.3"/>
    <row r="5610" ht="24.75" customHeight="1" x14ac:dyDescent="0.3"/>
    <row r="5611" ht="24.75" customHeight="1" x14ac:dyDescent="0.3"/>
    <row r="5612" ht="24.75" customHeight="1" x14ac:dyDescent="0.3"/>
    <row r="5613" ht="24.75" customHeight="1" x14ac:dyDescent="0.3"/>
    <row r="5614" ht="24.75" customHeight="1" x14ac:dyDescent="0.3"/>
    <row r="5615" ht="24.75" customHeight="1" x14ac:dyDescent="0.3"/>
    <row r="5616" ht="24.75" customHeight="1" x14ac:dyDescent="0.3"/>
    <row r="5617" ht="24.75" customHeight="1" x14ac:dyDescent="0.3"/>
    <row r="5618" ht="24.75" customHeight="1" x14ac:dyDescent="0.3"/>
    <row r="5619" ht="24.75" customHeight="1" x14ac:dyDescent="0.3"/>
    <row r="5620" ht="24.75" customHeight="1" x14ac:dyDescent="0.3"/>
    <row r="5621" ht="24.75" customHeight="1" x14ac:dyDescent="0.3"/>
    <row r="5622" ht="24.75" customHeight="1" x14ac:dyDescent="0.3"/>
    <row r="5623" ht="24.75" customHeight="1" x14ac:dyDescent="0.3"/>
    <row r="5624" ht="24.75" customHeight="1" x14ac:dyDescent="0.3"/>
    <row r="5625" ht="24.75" customHeight="1" x14ac:dyDescent="0.3"/>
    <row r="5626" ht="24.75" customHeight="1" x14ac:dyDescent="0.3"/>
    <row r="5627" ht="24.75" customHeight="1" x14ac:dyDescent="0.3"/>
    <row r="5628" ht="24.75" customHeight="1" x14ac:dyDescent="0.3"/>
    <row r="5629" ht="24.75" customHeight="1" x14ac:dyDescent="0.3"/>
    <row r="5630" ht="24.75" customHeight="1" x14ac:dyDescent="0.3"/>
    <row r="5631" ht="24.75" customHeight="1" x14ac:dyDescent="0.3"/>
    <row r="5632" ht="24.75" customHeight="1" x14ac:dyDescent="0.3"/>
    <row r="5633" ht="24.75" customHeight="1" x14ac:dyDescent="0.3"/>
    <row r="5634" ht="24.75" customHeight="1" x14ac:dyDescent="0.3"/>
    <row r="5635" ht="24.75" customHeight="1" x14ac:dyDescent="0.3"/>
    <row r="5636" ht="24.75" customHeight="1" x14ac:dyDescent="0.3"/>
    <row r="5637" ht="24.75" customHeight="1" x14ac:dyDescent="0.3"/>
    <row r="5638" ht="24.75" customHeight="1" x14ac:dyDescent="0.3"/>
    <row r="5639" ht="24.75" customHeight="1" x14ac:dyDescent="0.3"/>
    <row r="5640" ht="24.75" customHeight="1" x14ac:dyDescent="0.3"/>
    <row r="5641" ht="24.75" customHeight="1" x14ac:dyDescent="0.3"/>
    <row r="5642" ht="24.75" customHeight="1" x14ac:dyDescent="0.3"/>
    <row r="5643" ht="24.75" customHeight="1" x14ac:dyDescent="0.3"/>
    <row r="5644" ht="24.75" customHeight="1" x14ac:dyDescent="0.3"/>
    <row r="5645" ht="24.75" customHeight="1" x14ac:dyDescent="0.3"/>
    <row r="5646" ht="24.75" customHeight="1" x14ac:dyDescent="0.3"/>
    <row r="5647" ht="24.75" customHeight="1" x14ac:dyDescent="0.3"/>
    <row r="5648" ht="24.75" customHeight="1" x14ac:dyDescent="0.3"/>
    <row r="5649" ht="24.75" customHeight="1" x14ac:dyDescent="0.3"/>
    <row r="5650" ht="24.75" customHeight="1" x14ac:dyDescent="0.3"/>
    <row r="5651" ht="24.75" customHeight="1" x14ac:dyDescent="0.3"/>
    <row r="5652" ht="24.75" customHeight="1" x14ac:dyDescent="0.3"/>
    <row r="5653" ht="24.75" customHeight="1" x14ac:dyDescent="0.3"/>
    <row r="5654" ht="24.75" customHeight="1" x14ac:dyDescent="0.3"/>
    <row r="5655" ht="24.75" customHeight="1" x14ac:dyDescent="0.3"/>
    <row r="5656" ht="24.75" customHeight="1" x14ac:dyDescent="0.3"/>
    <row r="5657" ht="24.75" customHeight="1" x14ac:dyDescent="0.3"/>
    <row r="5658" ht="24.75" customHeight="1" x14ac:dyDescent="0.3"/>
    <row r="5659" ht="24.75" customHeight="1" x14ac:dyDescent="0.3"/>
    <row r="5660" ht="24.75" customHeight="1" x14ac:dyDescent="0.3"/>
    <row r="5661" ht="24.75" customHeight="1" x14ac:dyDescent="0.3"/>
    <row r="5662" ht="24.75" customHeight="1" x14ac:dyDescent="0.3"/>
    <row r="5663" ht="24.75" customHeight="1" x14ac:dyDescent="0.3"/>
    <row r="5664" ht="24.75" customHeight="1" x14ac:dyDescent="0.3"/>
    <row r="5665" ht="24.75" customHeight="1" x14ac:dyDescent="0.3"/>
    <row r="5666" ht="24.75" customHeight="1" x14ac:dyDescent="0.3"/>
    <row r="5667" ht="24.75" customHeight="1" x14ac:dyDescent="0.3"/>
    <row r="5668" ht="24.75" customHeight="1" x14ac:dyDescent="0.3"/>
    <row r="5669" ht="24.75" customHeight="1" x14ac:dyDescent="0.3"/>
    <row r="5670" ht="24.75" customHeight="1" x14ac:dyDescent="0.3"/>
    <row r="5671" ht="24.75" customHeight="1" x14ac:dyDescent="0.3"/>
    <row r="5672" ht="24.75" customHeight="1" x14ac:dyDescent="0.3"/>
    <row r="5673" ht="24.75" customHeight="1" x14ac:dyDescent="0.3"/>
    <row r="5674" ht="24.75" customHeight="1" x14ac:dyDescent="0.3"/>
    <row r="5675" ht="24.75" customHeight="1" x14ac:dyDescent="0.3"/>
    <row r="5676" ht="24.75" customHeight="1" x14ac:dyDescent="0.3"/>
    <row r="5677" ht="24.75" customHeight="1" x14ac:dyDescent="0.3"/>
    <row r="5678" ht="24.75" customHeight="1" x14ac:dyDescent="0.3"/>
    <row r="5679" ht="24.75" customHeight="1" x14ac:dyDescent="0.3"/>
    <row r="5680" ht="24.75" customHeight="1" x14ac:dyDescent="0.3"/>
    <row r="5681" ht="24.75" customHeight="1" x14ac:dyDescent="0.3"/>
    <row r="5682" ht="24.75" customHeight="1" x14ac:dyDescent="0.3"/>
    <row r="5683" ht="24.75" customHeight="1" x14ac:dyDescent="0.3"/>
    <row r="5684" ht="24.75" customHeight="1" x14ac:dyDescent="0.3"/>
    <row r="5685" ht="24.75" customHeight="1" x14ac:dyDescent="0.3"/>
    <row r="5686" ht="24.75" customHeight="1" x14ac:dyDescent="0.3"/>
    <row r="5687" ht="24.75" customHeight="1" x14ac:dyDescent="0.3"/>
    <row r="5688" ht="24.75" customHeight="1" x14ac:dyDescent="0.3"/>
    <row r="5689" ht="24.75" customHeight="1" x14ac:dyDescent="0.3"/>
    <row r="5690" ht="24.75" customHeight="1" x14ac:dyDescent="0.3"/>
    <row r="5691" ht="24.75" customHeight="1" x14ac:dyDescent="0.3"/>
    <row r="5692" ht="24.75" customHeight="1" x14ac:dyDescent="0.3"/>
    <row r="5693" ht="24.75" customHeight="1" x14ac:dyDescent="0.3"/>
    <row r="5694" ht="24.75" customHeight="1" x14ac:dyDescent="0.3"/>
    <row r="5695" ht="24.75" customHeight="1" x14ac:dyDescent="0.3"/>
    <row r="5696" ht="24.75" customHeight="1" x14ac:dyDescent="0.3"/>
    <row r="5697" ht="24.75" customHeight="1" x14ac:dyDescent="0.3"/>
    <row r="5698" ht="24.75" customHeight="1" x14ac:dyDescent="0.3"/>
    <row r="5699" ht="24.75" customHeight="1" x14ac:dyDescent="0.3"/>
    <row r="5700" ht="24.75" customHeight="1" x14ac:dyDescent="0.3"/>
    <row r="5701" ht="24.75" customHeight="1" x14ac:dyDescent="0.3"/>
    <row r="5702" ht="24.75" customHeight="1" x14ac:dyDescent="0.3"/>
    <row r="5703" ht="24.75" customHeight="1" x14ac:dyDescent="0.3"/>
    <row r="5704" ht="24.75" customHeight="1" x14ac:dyDescent="0.3"/>
    <row r="5705" ht="24.75" customHeight="1" x14ac:dyDescent="0.3"/>
    <row r="5706" ht="24.75" customHeight="1" x14ac:dyDescent="0.3"/>
    <row r="5707" ht="24.75" customHeight="1" x14ac:dyDescent="0.3"/>
    <row r="5708" ht="24.75" customHeight="1" x14ac:dyDescent="0.3"/>
    <row r="5709" ht="24.75" customHeight="1" x14ac:dyDescent="0.3"/>
    <row r="5710" ht="24.75" customHeight="1" x14ac:dyDescent="0.3"/>
    <row r="5711" ht="24.75" customHeight="1" x14ac:dyDescent="0.3"/>
    <row r="5712" ht="24.75" customHeight="1" x14ac:dyDescent="0.3"/>
    <row r="5713" ht="24.75" customHeight="1" x14ac:dyDescent="0.3"/>
    <row r="5714" ht="24.75" customHeight="1" x14ac:dyDescent="0.3"/>
    <row r="5715" ht="24.75" customHeight="1" x14ac:dyDescent="0.3"/>
    <row r="5716" ht="24.75" customHeight="1" x14ac:dyDescent="0.3"/>
    <row r="5717" ht="24.75" customHeight="1" x14ac:dyDescent="0.3"/>
    <row r="5718" ht="24.75" customHeight="1" x14ac:dyDescent="0.3"/>
    <row r="5719" ht="24.75" customHeight="1" x14ac:dyDescent="0.3"/>
    <row r="5720" ht="24.75" customHeight="1" x14ac:dyDescent="0.3"/>
    <row r="5721" ht="24.75" customHeight="1" x14ac:dyDescent="0.3"/>
    <row r="5722" ht="24.75" customHeight="1" x14ac:dyDescent="0.3"/>
    <row r="5723" ht="24.75" customHeight="1" x14ac:dyDescent="0.3"/>
    <row r="5724" ht="24.75" customHeight="1" x14ac:dyDescent="0.3"/>
    <row r="5725" ht="24.75" customHeight="1" x14ac:dyDescent="0.3"/>
    <row r="5726" ht="24.75" customHeight="1" x14ac:dyDescent="0.3"/>
    <row r="5727" ht="24.75" customHeight="1" x14ac:dyDescent="0.3"/>
    <row r="5728" ht="24.75" customHeight="1" x14ac:dyDescent="0.3"/>
    <row r="5729" ht="24.75" customHeight="1" x14ac:dyDescent="0.3"/>
    <row r="5730" ht="24.75" customHeight="1" x14ac:dyDescent="0.3"/>
    <row r="5731" ht="24.75" customHeight="1" x14ac:dyDescent="0.3"/>
    <row r="5732" ht="24.75" customHeight="1" x14ac:dyDescent="0.3"/>
    <row r="5733" ht="24.75" customHeight="1" x14ac:dyDescent="0.3"/>
    <row r="5734" ht="24.75" customHeight="1" x14ac:dyDescent="0.3"/>
    <row r="5735" ht="24.75" customHeight="1" x14ac:dyDescent="0.3"/>
    <row r="5736" ht="24.75" customHeight="1" x14ac:dyDescent="0.3"/>
    <row r="5737" ht="24.75" customHeight="1" x14ac:dyDescent="0.3"/>
    <row r="5738" ht="24.75" customHeight="1" x14ac:dyDescent="0.3"/>
    <row r="5739" ht="24.75" customHeight="1" x14ac:dyDescent="0.3"/>
    <row r="5740" ht="24.75" customHeight="1" x14ac:dyDescent="0.3"/>
    <row r="5741" ht="24.75" customHeight="1" x14ac:dyDescent="0.3"/>
    <row r="5742" ht="24.75" customHeight="1" x14ac:dyDescent="0.3"/>
    <row r="5743" ht="24.75" customHeight="1" x14ac:dyDescent="0.3"/>
    <row r="5744" ht="24.75" customHeight="1" x14ac:dyDescent="0.3"/>
    <row r="5745" ht="24.75" customHeight="1" x14ac:dyDescent="0.3"/>
    <row r="5746" ht="24.75" customHeight="1" x14ac:dyDescent="0.3"/>
    <row r="5747" ht="24.75" customHeight="1" x14ac:dyDescent="0.3"/>
    <row r="5748" ht="24.75" customHeight="1" x14ac:dyDescent="0.3"/>
    <row r="5749" ht="24.75" customHeight="1" x14ac:dyDescent="0.3"/>
    <row r="5750" ht="24.75" customHeight="1" x14ac:dyDescent="0.3"/>
    <row r="5751" ht="24.75" customHeight="1" x14ac:dyDescent="0.3"/>
    <row r="5752" ht="24.75" customHeight="1" x14ac:dyDescent="0.3"/>
    <row r="5753" ht="24.75" customHeight="1" x14ac:dyDescent="0.3"/>
    <row r="5754" ht="24.75" customHeight="1" x14ac:dyDescent="0.3"/>
    <row r="5755" ht="24.75" customHeight="1" x14ac:dyDescent="0.3"/>
    <row r="5756" ht="24.75" customHeight="1" x14ac:dyDescent="0.3"/>
    <row r="5757" ht="24.75" customHeight="1" x14ac:dyDescent="0.3"/>
    <row r="5758" ht="24.75" customHeight="1" x14ac:dyDescent="0.3"/>
    <row r="5759" ht="24.75" customHeight="1" x14ac:dyDescent="0.3"/>
    <row r="5760" ht="24.75" customHeight="1" x14ac:dyDescent="0.3"/>
    <row r="5761" ht="24.75" customHeight="1" x14ac:dyDescent="0.3"/>
    <row r="5762" ht="24.75" customHeight="1" x14ac:dyDescent="0.3"/>
    <row r="5763" ht="24.75" customHeight="1" x14ac:dyDescent="0.3"/>
    <row r="5764" ht="24.75" customHeight="1" x14ac:dyDescent="0.3"/>
    <row r="5765" ht="24.75" customHeight="1" x14ac:dyDescent="0.3"/>
    <row r="5766" ht="24.75" customHeight="1" x14ac:dyDescent="0.3"/>
    <row r="5767" ht="24.75" customHeight="1" x14ac:dyDescent="0.3"/>
    <row r="5768" ht="24.75" customHeight="1" x14ac:dyDescent="0.3"/>
    <row r="5769" ht="24.75" customHeight="1" x14ac:dyDescent="0.3"/>
    <row r="5770" ht="24.75" customHeight="1" x14ac:dyDescent="0.3"/>
    <row r="5771" ht="24.75" customHeight="1" x14ac:dyDescent="0.3"/>
    <row r="5772" ht="24.75" customHeight="1" x14ac:dyDescent="0.3"/>
    <row r="5773" ht="24.75" customHeight="1" x14ac:dyDescent="0.3"/>
    <row r="5774" ht="24.75" customHeight="1" x14ac:dyDescent="0.3"/>
    <row r="5775" ht="24.75" customHeight="1" x14ac:dyDescent="0.3"/>
    <row r="5776" ht="24.75" customHeight="1" x14ac:dyDescent="0.3"/>
    <row r="5777" ht="24.75" customHeight="1" x14ac:dyDescent="0.3"/>
    <row r="5778" ht="24.75" customHeight="1" x14ac:dyDescent="0.3"/>
    <row r="5779" ht="24.75" customHeight="1" x14ac:dyDescent="0.3"/>
    <row r="5780" ht="24.75" customHeight="1" x14ac:dyDescent="0.3"/>
    <row r="5781" ht="24.75" customHeight="1" x14ac:dyDescent="0.3"/>
    <row r="5782" ht="24.75" customHeight="1" x14ac:dyDescent="0.3"/>
    <row r="5783" ht="24.75" customHeight="1" x14ac:dyDescent="0.3"/>
    <row r="5784" ht="24.75" customHeight="1" x14ac:dyDescent="0.3"/>
    <row r="5785" ht="24.75" customHeight="1" x14ac:dyDescent="0.3"/>
    <row r="5786" ht="24.75" customHeight="1" x14ac:dyDescent="0.3"/>
    <row r="5787" ht="24.75" customHeight="1" x14ac:dyDescent="0.3"/>
    <row r="5788" ht="24.75" customHeight="1" x14ac:dyDescent="0.3"/>
    <row r="5789" ht="24.75" customHeight="1" x14ac:dyDescent="0.3"/>
    <row r="5790" ht="24.75" customHeight="1" x14ac:dyDescent="0.3"/>
    <row r="5791" ht="24.75" customHeight="1" x14ac:dyDescent="0.3"/>
    <row r="5792" ht="24.75" customHeight="1" x14ac:dyDescent="0.3"/>
    <row r="5793" ht="24.75" customHeight="1" x14ac:dyDescent="0.3"/>
    <row r="5794" ht="24.75" customHeight="1" x14ac:dyDescent="0.3"/>
    <row r="5795" ht="24.75" customHeight="1" x14ac:dyDescent="0.3"/>
    <row r="5796" ht="24.75" customHeight="1" x14ac:dyDescent="0.3"/>
    <row r="5797" ht="24.75" customHeight="1" x14ac:dyDescent="0.3"/>
    <row r="5798" ht="24.75" customHeight="1" x14ac:dyDescent="0.3"/>
    <row r="5799" ht="24.75" customHeight="1" x14ac:dyDescent="0.3"/>
    <row r="5800" ht="24.75" customHeight="1" x14ac:dyDescent="0.3"/>
    <row r="5801" ht="24.75" customHeight="1" x14ac:dyDescent="0.3"/>
    <row r="5802" ht="24.75" customHeight="1" x14ac:dyDescent="0.3"/>
    <row r="5803" ht="24.75" customHeight="1" x14ac:dyDescent="0.3"/>
    <row r="5804" ht="24.75" customHeight="1" x14ac:dyDescent="0.3"/>
    <row r="5805" ht="24.75" customHeight="1" x14ac:dyDescent="0.3"/>
    <row r="5806" ht="24.75" customHeight="1" x14ac:dyDescent="0.3"/>
    <row r="5807" ht="24.75" customHeight="1" x14ac:dyDescent="0.3"/>
    <row r="5808" ht="24.75" customHeight="1" x14ac:dyDescent="0.3"/>
    <row r="5809" ht="24.75" customHeight="1" x14ac:dyDescent="0.3"/>
    <row r="5810" ht="24.75" customHeight="1" x14ac:dyDescent="0.3"/>
    <row r="5811" ht="24.75" customHeight="1" x14ac:dyDescent="0.3"/>
    <row r="5812" ht="24.75" customHeight="1" x14ac:dyDescent="0.3"/>
    <row r="5813" ht="24.75" customHeight="1" x14ac:dyDescent="0.3"/>
    <row r="5814" ht="24.75" customHeight="1" x14ac:dyDescent="0.3"/>
    <row r="5815" ht="24.75" customHeight="1" x14ac:dyDescent="0.3"/>
    <row r="5816" ht="24.75" customHeight="1" x14ac:dyDescent="0.3"/>
    <row r="5817" ht="24.75" customHeight="1" x14ac:dyDescent="0.3"/>
    <row r="5818" ht="24.75" customHeight="1" x14ac:dyDescent="0.3"/>
    <row r="5819" ht="24.75" customHeight="1" x14ac:dyDescent="0.3"/>
    <row r="5820" ht="24.75" customHeight="1" x14ac:dyDescent="0.3"/>
    <row r="5821" ht="24.75" customHeight="1" x14ac:dyDescent="0.3"/>
    <row r="5822" ht="24.75" customHeight="1" x14ac:dyDescent="0.3"/>
    <row r="5823" ht="24.75" customHeight="1" x14ac:dyDescent="0.3"/>
    <row r="5824" ht="24.75" customHeight="1" x14ac:dyDescent="0.3"/>
    <row r="5825" ht="24.75" customHeight="1" x14ac:dyDescent="0.3"/>
    <row r="5826" ht="24.75" customHeight="1" x14ac:dyDescent="0.3"/>
    <row r="5827" ht="24.75" customHeight="1" x14ac:dyDescent="0.3"/>
    <row r="5828" ht="24.75" customHeight="1" x14ac:dyDescent="0.3"/>
    <row r="5829" ht="24.75" customHeight="1" x14ac:dyDescent="0.3"/>
    <row r="5830" ht="24.75" customHeight="1" x14ac:dyDescent="0.3"/>
    <row r="5831" ht="24.75" customHeight="1" x14ac:dyDescent="0.3"/>
    <row r="5832" ht="24.75" customHeight="1" x14ac:dyDescent="0.3"/>
    <row r="5833" ht="24.75" customHeight="1" x14ac:dyDescent="0.3"/>
    <row r="5834" ht="24.75" customHeight="1" x14ac:dyDescent="0.3"/>
    <row r="5835" ht="24.75" customHeight="1" x14ac:dyDescent="0.3"/>
    <row r="5836" ht="24.75" customHeight="1" x14ac:dyDescent="0.3"/>
    <row r="5837" ht="24.75" customHeight="1" x14ac:dyDescent="0.3"/>
    <row r="5838" ht="24.75" customHeight="1" x14ac:dyDescent="0.3"/>
    <row r="5839" ht="24.75" customHeight="1" x14ac:dyDescent="0.3"/>
    <row r="5840" ht="24.75" customHeight="1" x14ac:dyDescent="0.3"/>
    <row r="5841" ht="24.75" customHeight="1" x14ac:dyDescent="0.3"/>
    <row r="5842" ht="24.75" customHeight="1" x14ac:dyDescent="0.3"/>
    <row r="5843" ht="24.75" customHeight="1" x14ac:dyDescent="0.3"/>
    <row r="5844" ht="24.75" customHeight="1" x14ac:dyDescent="0.3"/>
    <row r="5845" ht="24.75" customHeight="1" x14ac:dyDescent="0.3"/>
    <row r="5846" ht="24.75" customHeight="1" x14ac:dyDescent="0.3"/>
    <row r="5847" ht="24.75" customHeight="1" x14ac:dyDescent="0.3"/>
    <row r="5848" ht="24.75" customHeight="1" x14ac:dyDescent="0.3"/>
    <row r="5849" ht="24.75" customHeight="1" x14ac:dyDescent="0.3"/>
    <row r="5850" ht="24.75" customHeight="1" x14ac:dyDescent="0.3"/>
    <row r="5851" ht="24.75" customHeight="1" x14ac:dyDescent="0.3"/>
    <row r="5852" ht="24.75" customHeight="1" x14ac:dyDescent="0.3"/>
    <row r="5853" ht="24.75" customHeight="1" x14ac:dyDescent="0.3"/>
    <row r="5854" ht="24.75" customHeight="1" x14ac:dyDescent="0.3"/>
    <row r="5855" ht="24.75" customHeight="1" x14ac:dyDescent="0.3"/>
    <row r="5856" ht="24.75" customHeight="1" x14ac:dyDescent="0.3"/>
    <row r="5857" ht="24.75" customHeight="1" x14ac:dyDescent="0.3"/>
    <row r="5858" ht="24.75" customHeight="1" x14ac:dyDescent="0.3"/>
    <row r="5859" ht="24.75" customHeight="1" x14ac:dyDescent="0.3"/>
    <row r="5860" ht="24.75" customHeight="1" x14ac:dyDescent="0.3"/>
    <row r="5861" ht="24.75" customHeight="1" x14ac:dyDescent="0.3"/>
    <row r="5862" ht="24.75" customHeight="1" x14ac:dyDescent="0.3"/>
    <row r="5863" ht="24.75" customHeight="1" x14ac:dyDescent="0.3"/>
    <row r="5864" ht="24.75" customHeight="1" x14ac:dyDescent="0.3"/>
    <row r="5865" ht="24.75" customHeight="1" x14ac:dyDescent="0.3"/>
    <row r="5866" ht="24.75" customHeight="1" x14ac:dyDescent="0.3"/>
    <row r="5867" ht="24.75" customHeight="1" x14ac:dyDescent="0.3"/>
    <row r="5868" ht="24.75" customHeight="1" x14ac:dyDescent="0.3"/>
    <row r="5869" ht="24.75" customHeight="1" x14ac:dyDescent="0.3"/>
    <row r="5870" ht="24.75" customHeight="1" x14ac:dyDescent="0.3"/>
    <row r="5871" ht="24.75" customHeight="1" x14ac:dyDescent="0.3"/>
    <row r="5872" ht="24.75" customHeight="1" x14ac:dyDescent="0.3"/>
    <row r="5873" ht="24.75" customHeight="1" x14ac:dyDescent="0.3"/>
    <row r="5874" ht="24.75" customHeight="1" x14ac:dyDescent="0.3"/>
    <row r="5875" ht="24.75" customHeight="1" x14ac:dyDescent="0.3"/>
    <row r="5876" ht="24.75" customHeight="1" x14ac:dyDescent="0.3"/>
    <row r="5877" ht="24.75" customHeight="1" x14ac:dyDescent="0.3"/>
    <row r="5878" ht="24.75" customHeight="1" x14ac:dyDescent="0.3"/>
    <row r="5879" ht="24.75" customHeight="1" x14ac:dyDescent="0.3"/>
    <row r="5880" ht="24.75" customHeight="1" x14ac:dyDescent="0.3"/>
    <row r="5881" ht="24.75" customHeight="1" x14ac:dyDescent="0.3"/>
    <row r="5882" ht="24.75" customHeight="1" x14ac:dyDescent="0.3"/>
    <row r="5883" ht="24.75" customHeight="1" x14ac:dyDescent="0.3"/>
    <row r="5884" ht="24.75" customHeight="1" x14ac:dyDescent="0.3"/>
    <row r="5885" ht="24.75" customHeight="1" x14ac:dyDescent="0.3"/>
    <row r="5886" ht="24.75" customHeight="1" x14ac:dyDescent="0.3"/>
    <row r="5887" ht="24.75" customHeight="1" x14ac:dyDescent="0.3"/>
    <row r="5888" ht="24.75" customHeight="1" x14ac:dyDescent="0.3"/>
    <row r="5889" ht="24.75" customHeight="1" x14ac:dyDescent="0.3"/>
    <row r="5890" ht="24.75" customHeight="1" x14ac:dyDescent="0.3"/>
    <row r="5891" ht="24.75" customHeight="1" x14ac:dyDescent="0.3"/>
    <row r="5892" ht="24.75" customHeight="1" x14ac:dyDescent="0.3"/>
    <row r="5893" ht="24.75" customHeight="1" x14ac:dyDescent="0.3"/>
    <row r="5894" ht="24.75" customHeight="1" x14ac:dyDescent="0.3"/>
    <row r="5895" ht="24.75" customHeight="1" x14ac:dyDescent="0.3"/>
    <row r="5896" ht="24.75" customHeight="1" x14ac:dyDescent="0.3"/>
    <row r="5897" ht="24.75" customHeight="1" x14ac:dyDescent="0.3"/>
    <row r="5898" ht="24.75" customHeight="1" x14ac:dyDescent="0.3"/>
    <row r="5899" ht="24.75" customHeight="1" x14ac:dyDescent="0.3"/>
    <row r="5900" ht="24.75" customHeight="1" x14ac:dyDescent="0.3"/>
    <row r="5901" ht="24.75" customHeight="1" x14ac:dyDescent="0.3"/>
    <row r="5902" ht="24.75" customHeight="1" x14ac:dyDescent="0.3"/>
    <row r="5903" ht="24.75" customHeight="1" x14ac:dyDescent="0.3"/>
    <row r="5904" ht="24.75" customHeight="1" x14ac:dyDescent="0.3"/>
    <row r="5905" ht="24.75" customHeight="1" x14ac:dyDescent="0.3"/>
    <row r="5906" ht="24.75" customHeight="1" x14ac:dyDescent="0.3"/>
    <row r="5907" ht="24.75" customHeight="1" x14ac:dyDescent="0.3"/>
    <row r="5908" ht="24.75" customHeight="1" x14ac:dyDescent="0.3"/>
    <row r="5909" ht="24.75" customHeight="1" x14ac:dyDescent="0.3"/>
    <row r="5910" ht="24.75" customHeight="1" x14ac:dyDescent="0.3"/>
    <row r="5911" ht="24.75" customHeight="1" x14ac:dyDescent="0.3"/>
    <row r="5912" ht="24.75" customHeight="1" x14ac:dyDescent="0.3"/>
    <row r="5913" ht="24.75" customHeight="1" x14ac:dyDescent="0.3"/>
    <row r="5914" ht="24.75" customHeight="1" x14ac:dyDescent="0.3"/>
    <row r="5915" ht="24.75" customHeight="1" x14ac:dyDescent="0.3"/>
    <row r="5916" ht="24.75" customHeight="1" x14ac:dyDescent="0.3"/>
    <row r="5917" ht="24.75" customHeight="1" x14ac:dyDescent="0.3"/>
    <row r="5918" ht="24.75" customHeight="1" x14ac:dyDescent="0.3"/>
    <row r="5919" ht="24.75" customHeight="1" x14ac:dyDescent="0.3"/>
    <row r="5920" ht="24.75" customHeight="1" x14ac:dyDescent="0.3"/>
    <row r="5921" ht="24.75" customHeight="1" x14ac:dyDescent="0.3"/>
    <row r="5922" ht="24.75" customHeight="1" x14ac:dyDescent="0.3"/>
    <row r="5923" ht="24.75" customHeight="1" x14ac:dyDescent="0.3"/>
    <row r="5924" ht="24.75" customHeight="1" x14ac:dyDescent="0.3"/>
    <row r="5925" ht="24.75" customHeight="1" x14ac:dyDescent="0.3"/>
    <row r="5926" ht="24.75" customHeight="1" x14ac:dyDescent="0.3"/>
    <row r="5927" ht="24.75" customHeight="1" x14ac:dyDescent="0.3"/>
    <row r="5928" ht="24.75" customHeight="1" x14ac:dyDescent="0.3"/>
    <row r="5929" ht="24.75" customHeight="1" x14ac:dyDescent="0.3"/>
    <row r="5930" ht="24.75" customHeight="1" x14ac:dyDescent="0.3"/>
    <row r="5931" ht="24.75" customHeight="1" x14ac:dyDescent="0.3"/>
    <row r="5932" ht="24.75" customHeight="1" x14ac:dyDescent="0.3"/>
    <row r="5933" ht="24.75" customHeight="1" x14ac:dyDescent="0.3"/>
    <row r="5934" ht="24.75" customHeight="1" x14ac:dyDescent="0.3"/>
    <row r="5935" ht="24.75" customHeight="1" x14ac:dyDescent="0.3"/>
    <row r="5936" ht="24.75" customHeight="1" x14ac:dyDescent="0.3"/>
    <row r="5937" ht="24.75" customHeight="1" x14ac:dyDescent="0.3"/>
    <row r="5938" ht="24.75" customHeight="1" x14ac:dyDescent="0.3"/>
    <row r="5939" ht="24.75" customHeight="1" x14ac:dyDescent="0.3"/>
    <row r="5940" ht="24.75" customHeight="1" x14ac:dyDescent="0.3"/>
    <row r="5941" ht="24.75" customHeight="1" x14ac:dyDescent="0.3"/>
    <row r="5942" ht="24.75" customHeight="1" x14ac:dyDescent="0.3"/>
    <row r="5943" ht="24.75" customHeight="1" x14ac:dyDescent="0.3"/>
    <row r="5944" ht="24.75" customHeight="1" x14ac:dyDescent="0.3"/>
    <row r="5945" ht="24.75" customHeight="1" x14ac:dyDescent="0.3"/>
    <row r="5946" ht="24.75" customHeight="1" x14ac:dyDescent="0.3"/>
    <row r="5947" ht="24.75" customHeight="1" x14ac:dyDescent="0.3"/>
    <row r="5948" ht="24.75" customHeight="1" x14ac:dyDescent="0.3"/>
    <row r="5949" ht="24.75" customHeight="1" x14ac:dyDescent="0.3"/>
    <row r="5950" ht="24.75" customHeight="1" x14ac:dyDescent="0.3"/>
    <row r="5951" ht="24.75" customHeight="1" x14ac:dyDescent="0.3"/>
    <row r="5952" ht="24.75" customHeight="1" x14ac:dyDescent="0.3"/>
    <row r="5953" ht="24.75" customHeight="1" x14ac:dyDescent="0.3"/>
    <row r="5954" ht="24.75" customHeight="1" x14ac:dyDescent="0.3"/>
    <row r="5955" ht="24.75" customHeight="1" x14ac:dyDescent="0.3"/>
    <row r="5956" ht="24.75" customHeight="1" x14ac:dyDescent="0.3"/>
    <row r="5957" ht="24.75" customHeight="1" x14ac:dyDescent="0.3"/>
    <row r="5958" ht="24.75" customHeight="1" x14ac:dyDescent="0.3"/>
    <row r="5959" ht="24.75" customHeight="1" x14ac:dyDescent="0.3"/>
    <row r="5960" ht="24.75" customHeight="1" x14ac:dyDescent="0.3"/>
    <row r="5961" ht="24.75" customHeight="1" x14ac:dyDescent="0.3"/>
    <row r="5962" ht="24.75" customHeight="1" x14ac:dyDescent="0.3"/>
    <row r="5963" ht="24.75" customHeight="1" x14ac:dyDescent="0.3"/>
    <row r="5964" ht="24.75" customHeight="1" x14ac:dyDescent="0.3"/>
    <row r="5965" ht="24.75" customHeight="1" x14ac:dyDescent="0.3"/>
    <row r="5966" ht="24.75" customHeight="1" x14ac:dyDescent="0.3"/>
    <row r="5967" ht="24.75" customHeight="1" x14ac:dyDescent="0.3"/>
    <row r="5968" ht="24.75" customHeight="1" x14ac:dyDescent="0.3"/>
    <row r="5969" ht="24.75" customHeight="1" x14ac:dyDescent="0.3"/>
    <row r="5970" ht="24.75" customHeight="1" x14ac:dyDescent="0.3"/>
    <row r="5971" ht="24.75" customHeight="1" x14ac:dyDescent="0.3"/>
    <row r="5972" ht="24.75" customHeight="1" x14ac:dyDescent="0.3"/>
    <row r="5973" ht="24.75" customHeight="1" x14ac:dyDescent="0.3"/>
    <row r="5974" ht="24.75" customHeight="1" x14ac:dyDescent="0.3"/>
    <row r="5975" ht="24.75" customHeight="1" x14ac:dyDescent="0.3"/>
    <row r="5976" ht="24.75" customHeight="1" x14ac:dyDescent="0.3"/>
    <row r="5977" ht="24.75" customHeight="1" x14ac:dyDescent="0.3"/>
    <row r="5978" ht="24.75" customHeight="1" x14ac:dyDescent="0.3"/>
    <row r="5979" ht="24.75" customHeight="1" x14ac:dyDescent="0.3"/>
    <row r="5980" ht="24.75" customHeight="1" x14ac:dyDescent="0.3"/>
    <row r="5981" ht="24.75" customHeight="1" x14ac:dyDescent="0.3"/>
    <row r="5982" ht="24.75" customHeight="1" x14ac:dyDescent="0.3"/>
    <row r="5983" ht="24.75" customHeight="1" x14ac:dyDescent="0.3"/>
    <row r="5984" ht="24.75" customHeight="1" x14ac:dyDescent="0.3"/>
    <row r="5985" ht="24.75" customHeight="1" x14ac:dyDescent="0.3"/>
    <row r="5986" ht="24.75" customHeight="1" x14ac:dyDescent="0.3"/>
    <row r="5987" ht="24.75" customHeight="1" x14ac:dyDescent="0.3"/>
    <row r="5988" ht="24.75" customHeight="1" x14ac:dyDescent="0.3"/>
    <row r="5989" ht="24.75" customHeight="1" x14ac:dyDescent="0.3"/>
    <row r="5990" ht="24.75" customHeight="1" x14ac:dyDescent="0.3"/>
    <row r="5991" ht="24.75" customHeight="1" x14ac:dyDescent="0.3"/>
    <row r="5992" ht="24.75" customHeight="1" x14ac:dyDescent="0.3"/>
    <row r="5993" ht="24.75" customHeight="1" x14ac:dyDescent="0.3"/>
    <row r="5994" ht="24.75" customHeight="1" x14ac:dyDescent="0.3"/>
    <row r="5995" ht="24.75" customHeight="1" x14ac:dyDescent="0.3"/>
    <row r="5996" ht="24.75" customHeight="1" x14ac:dyDescent="0.3"/>
    <row r="5997" ht="24.75" customHeight="1" x14ac:dyDescent="0.3"/>
    <row r="5998" ht="24.75" customHeight="1" x14ac:dyDescent="0.3"/>
    <row r="5999" ht="24.75" customHeight="1" x14ac:dyDescent="0.3"/>
    <row r="6000" ht="24.75" customHeight="1" x14ac:dyDescent="0.3"/>
    <row r="6001" ht="24.75" customHeight="1" x14ac:dyDescent="0.3"/>
    <row r="6002" ht="24.75" customHeight="1" x14ac:dyDescent="0.3"/>
    <row r="6003" ht="24.75" customHeight="1" x14ac:dyDescent="0.3"/>
    <row r="6004" ht="24.75" customHeight="1" x14ac:dyDescent="0.3"/>
    <row r="6005" ht="24.75" customHeight="1" x14ac:dyDescent="0.3"/>
    <row r="6006" ht="24.75" customHeight="1" x14ac:dyDescent="0.3"/>
    <row r="6007" ht="24.75" customHeight="1" x14ac:dyDescent="0.3"/>
    <row r="6008" ht="24.75" customHeight="1" x14ac:dyDescent="0.3"/>
    <row r="6009" ht="24.75" customHeight="1" x14ac:dyDescent="0.3"/>
    <row r="6010" ht="24.75" customHeight="1" x14ac:dyDescent="0.3"/>
    <row r="6011" ht="24.75" customHeight="1" x14ac:dyDescent="0.3"/>
    <row r="6012" ht="24.75" customHeight="1" x14ac:dyDescent="0.3"/>
    <row r="6013" ht="24.75" customHeight="1" x14ac:dyDescent="0.3"/>
    <row r="6014" ht="24.75" customHeight="1" x14ac:dyDescent="0.3"/>
    <row r="6015" ht="24.75" customHeight="1" x14ac:dyDescent="0.3"/>
    <row r="6016" ht="24.75" customHeight="1" x14ac:dyDescent="0.3"/>
    <row r="6017" ht="24.75" customHeight="1" x14ac:dyDescent="0.3"/>
    <row r="6018" ht="24.75" customHeight="1" x14ac:dyDescent="0.3"/>
    <row r="6019" ht="24.75" customHeight="1" x14ac:dyDescent="0.3"/>
    <row r="6020" ht="24.75" customHeight="1" x14ac:dyDescent="0.3"/>
    <row r="6021" ht="24.75" customHeight="1" x14ac:dyDescent="0.3"/>
    <row r="6022" ht="24.75" customHeight="1" x14ac:dyDescent="0.3"/>
    <row r="6023" ht="24.75" customHeight="1" x14ac:dyDescent="0.3"/>
    <row r="6024" ht="24.75" customHeight="1" x14ac:dyDescent="0.3"/>
    <row r="6025" ht="24.75" customHeight="1" x14ac:dyDescent="0.3"/>
    <row r="6026" ht="24.75" customHeight="1" x14ac:dyDescent="0.3"/>
    <row r="6027" ht="24.75" customHeight="1" x14ac:dyDescent="0.3"/>
    <row r="6028" ht="24.75" customHeight="1" x14ac:dyDescent="0.3"/>
    <row r="6029" ht="24.75" customHeight="1" x14ac:dyDescent="0.3"/>
    <row r="6030" ht="24.75" customHeight="1" x14ac:dyDescent="0.3"/>
    <row r="6031" ht="24.75" customHeight="1" x14ac:dyDescent="0.3"/>
    <row r="6032" ht="24.75" customHeight="1" x14ac:dyDescent="0.3"/>
    <row r="6033" ht="24.75" customHeight="1" x14ac:dyDescent="0.3"/>
    <row r="6034" ht="24.75" customHeight="1" x14ac:dyDescent="0.3"/>
    <row r="6035" ht="24.75" customHeight="1" x14ac:dyDescent="0.3"/>
    <row r="6036" ht="24.75" customHeight="1" x14ac:dyDescent="0.3"/>
    <row r="6037" ht="24.75" customHeight="1" x14ac:dyDescent="0.3"/>
    <row r="6038" ht="24.75" customHeight="1" x14ac:dyDescent="0.3"/>
    <row r="6039" ht="24.75" customHeight="1" x14ac:dyDescent="0.3"/>
    <row r="6040" ht="24.75" customHeight="1" x14ac:dyDescent="0.3"/>
    <row r="6041" ht="24.75" customHeight="1" x14ac:dyDescent="0.3"/>
    <row r="6042" ht="24.75" customHeight="1" x14ac:dyDescent="0.3"/>
    <row r="6043" ht="24.75" customHeight="1" x14ac:dyDescent="0.3"/>
    <row r="6044" ht="24.75" customHeight="1" x14ac:dyDescent="0.3"/>
    <row r="6045" ht="24.75" customHeight="1" x14ac:dyDescent="0.3"/>
    <row r="6046" ht="24.75" customHeight="1" x14ac:dyDescent="0.3"/>
    <row r="6047" ht="24.75" customHeight="1" x14ac:dyDescent="0.3"/>
    <row r="6048" ht="24.75" customHeight="1" x14ac:dyDescent="0.3"/>
    <row r="6049" ht="24.75" customHeight="1" x14ac:dyDescent="0.3"/>
    <row r="6050" ht="24.75" customHeight="1" x14ac:dyDescent="0.3"/>
    <row r="6051" ht="24.75" customHeight="1" x14ac:dyDescent="0.3"/>
    <row r="6052" ht="24.75" customHeight="1" x14ac:dyDescent="0.3"/>
    <row r="6053" ht="24.75" customHeight="1" x14ac:dyDescent="0.3"/>
    <row r="6054" ht="24.75" customHeight="1" x14ac:dyDescent="0.3"/>
    <row r="6055" ht="24.75" customHeight="1" x14ac:dyDescent="0.3"/>
    <row r="6056" ht="24.75" customHeight="1" x14ac:dyDescent="0.3"/>
    <row r="6057" ht="24.75" customHeight="1" x14ac:dyDescent="0.3"/>
    <row r="6058" ht="24.75" customHeight="1" x14ac:dyDescent="0.3"/>
    <row r="6059" ht="24.75" customHeight="1" x14ac:dyDescent="0.3"/>
    <row r="6060" ht="24.75" customHeight="1" x14ac:dyDescent="0.3"/>
    <row r="6061" ht="24.75" customHeight="1" x14ac:dyDescent="0.3"/>
    <row r="6062" ht="24.75" customHeight="1" x14ac:dyDescent="0.3"/>
    <row r="6063" ht="24.75" customHeight="1" x14ac:dyDescent="0.3"/>
    <row r="6064" ht="24.75" customHeight="1" x14ac:dyDescent="0.3"/>
    <row r="6065" ht="24.75" customHeight="1" x14ac:dyDescent="0.3"/>
    <row r="6066" ht="24.75" customHeight="1" x14ac:dyDescent="0.3"/>
    <row r="6067" ht="24.75" customHeight="1" x14ac:dyDescent="0.3"/>
    <row r="6068" ht="24.75" customHeight="1" x14ac:dyDescent="0.3"/>
    <row r="6069" ht="24.75" customHeight="1" x14ac:dyDescent="0.3"/>
    <row r="6070" ht="24.75" customHeight="1" x14ac:dyDescent="0.3"/>
    <row r="6071" ht="24.75" customHeight="1" x14ac:dyDescent="0.3"/>
    <row r="6072" ht="24.75" customHeight="1" x14ac:dyDescent="0.3"/>
    <row r="6073" ht="24.75" customHeight="1" x14ac:dyDescent="0.3"/>
    <row r="6074" ht="24.75" customHeight="1" x14ac:dyDescent="0.3"/>
    <row r="6075" ht="24.75" customHeight="1" x14ac:dyDescent="0.3"/>
    <row r="6076" ht="24.75" customHeight="1" x14ac:dyDescent="0.3"/>
    <row r="6077" ht="24.75" customHeight="1" x14ac:dyDescent="0.3"/>
    <row r="6078" ht="24.75" customHeight="1" x14ac:dyDescent="0.3"/>
    <row r="6079" ht="24.75" customHeight="1" x14ac:dyDescent="0.3"/>
    <row r="6080" ht="24.75" customHeight="1" x14ac:dyDescent="0.3"/>
    <row r="6081" ht="24.75" customHeight="1" x14ac:dyDescent="0.3"/>
    <row r="6082" ht="24.75" customHeight="1" x14ac:dyDescent="0.3"/>
    <row r="6083" ht="24.75" customHeight="1" x14ac:dyDescent="0.3"/>
    <row r="6084" ht="24.75" customHeight="1" x14ac:dyDescent="0.3"/>
    <row r="6085" ht="24.75" customHeight="1" x14ac:dyDescent="0.3"/>
    <row r="6086" ht="24.75" customHeight="1" x14ac:dyDescent="0.3"/>
    <row r="6087" ht="24.75" customHeight="1" x14ac:dyDescent="0.3"/>
    <row r="6088" ht="24.75" customHeight="1" x14ac:dyDescent="0.3"/>
    <row r="6089" ht="24.75" customHeight="1" x14ac:dyDescent="0.3"/>
    <row r="6090" ht="24.75" customHeight="1" x14ac:dyDescent="0.3"/>
    <row r="6091" ht="24.75" customHeight="1" x14ac:dyDescent="0.3"/>
    <row r="6092" ht="24.75" customHeight="1" x14ac:dyDescent="0.3"/>
    <row r="6093" ht="24.75" customHeight="1" x14ac:dyDescent="0.3"/>
    <row r="6094" ht="24.75" customHeight="1" x14ac:dyDescent="0.3"/>
    <row r="6095" ht="24.75" customHeight="1" x14ac:dyDescent="0.3"/>
    <row r="6096" ht="24.75" customHeight="1" x14ac:dyDescent="0.3"/>
    <row r="6097" ht="24.75" customHeight="1" x14ac:dyDescent="0.3"/>
    <row r="6098" ht="24.75" customHeight="1" x14ac:dyDescent="0.3"/>
    <row r="6099" ht="24.75" customHeight="1" x14ac:dyDescent="0.3"/>
    <row r="6100" ht="24.75" customHeight="1" x14ac:dyDescent="0.3"/>
    <row r="6101" ht="24.75" customHeight="1" x14ac:dyDescent="0.3"/>
    <row r="6102" ht="24.75" customHeight="1" x14ac:dyDescent="0.3"/>
    <row r="6103" ht="24.75" customHeight="1" x14ac:dyDescent="0.3"/>
    <row r="6104" ht="24.75" customHeight="1" x14ac:dyDescent="0.3"/>
    <row r="6105" ht="24.75" customHeight="1" x14ac:dyDescent="0.3"/>
    <row r="6106" ht="24.75" customHeight="1" x14ac:dyDescent="0.3"/>
    <row r="6107" ht="24.75" customHeight="1" x14ac:dyDescent="0.3"/>
    <row r="6108" ht="24.75" customHeight="1" x14ac:dyDescent="0.3"/>
    <row r="6109" ht="24.75" customHeight="1" x14ac:dyDescent="0.3"/>
    <row r="6110" ht="24.75" customHeight="1" x14ac:dyDescent="0.3"/>
    <row r="6111" ht="24.75" customHeight="1" x14ac:dyDescent="0.3"/>
    <row r="6112" ht="24.75" customHeight="1" x14ac:dyDescent="0.3"/>
    <row r="6113" ht="24.75" customHeight="1" x14ac:dyDescent="0.3"/>
    <row r="6114" ht="24.75" customHeight="1" x14ac:dyDescent="0.3"/>
    <row r="6115" ht="24.75" customHeight="1" x14ac:dyDescent="0.3"/>
    <row r="6116" ht="24.75" customHeight="1" x14ac:dyDescent="0.3"/>
    <row r="6117" ht="24.75" customHeight="1" x14ac:dyDescent="0.3"/>
    <row r="6118" ht="24.75" customHeight="1" x14ac:dyDescent="0.3"/>
    <row r="6119" ht="24.75" customHeight="1" x14ac:dyDescent="0.3"/>
    <row r="6120" ht="24.75" customHeight="1" x14ac:dyDescent="0.3"/>
    <row r="6121" ht="24.75" customHeight="1" x14ac:dyDescent="0.3"/>
    <row r="6122" ht="24.75" customHeight="1" x14ac:dyDescent="0.3"/>
    <row r="6123" ht="24.75" customHeight="1" x14ac:dyDescent="0.3"/>
    <row r="6124" ht="24.75" customHeight="1" x14ac:dyDescent="0.3"/>
    <row r="6125" ht="24.75" customHeight="1" x14ac:dyDescent="0.3"/>
    <row r="6126" ht="24.75" customHeight="1" x14ac:dyDescent="0.3"/>
    <row r="6127" ht="24.75" customHeight="1" x14ac:dyDescent="0.3"/>
    <row r="6128" ht="24.75" customHeight="1" x14ac:dyDescent="0.3"/>
    <row r="6129" ht="24.75" customHeight="1" x14ac:dyDescent="0.3"/>
    <row r="6130" ht="24.75" customHeight="1" x14ac:dyDescent="0.3"/>
    <row r="6131" ht="24.75" customHeight="1" x14ac:dyDescent="0.3"/>
    <row r="6132" ht="24.75" customHeight="1" x14ac:dyDescent="0.3"/>
    <row r="6133" ht="24.75" customHeight="1" x14ac:dyDescent="0.3"/>
    <row r="6134" ht="24.75" customHeight="1" x14ac:dyDescent="0.3"/>
    <row r="6135" ht="24.75" customHeight="1" x14ac:dyDescent="0.3"/>
    <row r="6136" ht="24.75" customHeight="1" x14ac:dyDescent="0.3"/>
    <row r="6137" ht="24.75" customHeight="1" x14ac:dyDescent="0.3"/>
    <row r="6138" ht="24.75" customHeight="1" x14ac:dyDescent="0.3"/>
    <row r="6139" ht="24.75" customHeight="1" x14ac:dyDescent="0.3"/>
    <row r="6140" ht="24.75" customHeight="1" x14ac:dyDescent="0.3"/>
    <row r="6141" ht="24.75" customHeight="1" x14ac:dyDescent="0.3"/>
    <row r="6142" ht="24.75" customHeight="1" x14ac:dyDescent="0.3"/>
    <row r="6143" ht="24.75" customHeight="1" x14ac:dyDescent="0.3"/>
    <row r="6144" ht="24.75" customHeight="1" x14ac:dyDescent="0.3"/>
    <row r="6145" ht="24.75" customHeight="1" x14ac:dyDescent="0.3"/>
    <row r="6146" ht="24.75" customHeight="1" x14ac:dyDescent="0.3"/>
    <row r="6147" ht="24.75" customHeight="1" x14ac:dyDescent="0.3"/>
    <row r="6148" ht="24.75" customHeight="1" x14ac:dyDescent="0.3"/>
    <row r="6149" ht="24.75" customHeight="1" x14ac:dyDescent="0.3"/>
    <row r="6150" ht="24.75" customHeight="1" x14ac:dyDescent="0.3"/>
    <row r="6151" ht="24.75" customHeight="1" x14ac:dyDescent="0.3"/>
    <row r="6152" ht="24.75" customHeight="1" x14ac:dyDescent="0.3"/>
    <row r="6153" ht="24.75" customHeight="1" x14ac:dyDescent="0.3"/>
    <row r="6154" ht="24.75" customHeight="1" x14ac:dyDescent="0.3"/>
    <row r="6155" ht="24.75" customHeight="1" x14ac:dyDescent="0.3"/>
    <row r="6156" ht="24.75" customHeight="1" x14ac:dyDescent="0.3"/>
    <row r="6157" ht="24.75" customHeight="1" x14ac:dyDescent="0.3"/>
    <row r="6158" ht="24.75" customHeight="1" x14ac:dyDescent="0.3"/>
    <row r="6159" ht="24.75" customHeight="1" x14ac:dyDescent="0.3"/>
    <row r="6160" ht="24.75" customHeight="1" x14ac:dyDescent="0.3"/>
    <row r="6161" ht="24.75" customHeight="1" x14ac:dyDescent="0.3"/>
    <row r="6162" ht="24.75" customHeight="1" x14ac:dyDescent="0.3"/>
    <row r="6163" ht="24.75" customHeight="1" x14ac:dyDescent="0.3"/>
    <row r="6164" ht="24.75" customHeight="1" x14ac:dyDescent="0.3"/>
    <row r="6165" ht="24.75" customHeight="1" x14ac:dyDescent="0.3"/>
    <row r="6166" ht="24.75" customHeight="1" x14ac:dyDescent="0.3"/>
    <row r="6167" ht="24.75" customHeight="1" x14ac:dyDescent="0.3"/>
    <row r="6168" ht="24.75" customHeight="1" x14ac:dyDescent="0.3"/>
    <row r="6169" ht="24.75" customHeight="1" x14ac:dyDescent="0.3"/>
    <row r="6170" ht="24.75" customHeight="1" x14ac:dyDescent="0.3"/>
    <row r="6171" ht="24.75" customHeight="1" x14ac:dyDescent="0.3"/>
    <row r="6172" ht="24.75" customHeight="1" x14ac:dyDescent="0.3"/>
    <row r="6173" ht="24.75" customHeight="1" x14ac:dyDescent="0.3"/>
    <row r="6174" ht="24.75" customHeight="1" x14ac:dyDescent="0.3"/>
    <row r="6175" ht="24.75" customHeight="1" x14ac:dyDescent="0.3"/>
    <row r="6176" ht="24.75" customHeight="1" x14ac:dyDescent="0.3"/>
    <row r="6177" ht="24.75" customHeight="1" x14ac:dyDescent="0.3"/>
    <row r="6178" ht="24.75" customHeight="1" x14ac:dyDescent="0.3"/>
    <row r="6179" ht="24.75" customHeight="1" x14ac:dyDescent="0.3"/>
    <row r="6180" ht="24.75" customHeight="1" x14ac:dyDescent="0.3"/>
    <row r="6181" ht="24.75" customHeight="1" x14ac:dyDescent="0.3"/>
    <row r="6182" ht="24.75" customHeight="1" x14ac:dyDescent="0.3"/>
    <row r="6183" ht="24.75" customHeight="1" x14ac:dyDescent="0.3"/>
    <row r="6184" ht="24.75" customHeight="1" x14ac:dyDescent="0.3"/>
    <row r="6185" ht="24.75" customHeight="1" x14ac:dyDescent="0.3"/>
    <row r="6186" ht="24.75" customHeight="1" x14ac:dyDescent="0.3"/>
    <row r="6187" ht="24.75" customHeight="1" x14ac:dyDescent="0.3"/>
    <row r="6188" ht="24.75" customHeight="1" x14ac:dyDescent="0.3"/>
    <row r="6189" ht="24.75" customHeight="1" x14ac:dyDescent="0.3"/>
    <row r="6190" ht="24.75" customHeight="1" x14ac:dyDescent="0.3"/>
    <row r="6191" ht="24.75" customHeight="1" x14ac:dyDescent="0.3"/>
    <row r="6192" ht="24.75" customHeight="1" x14ac:dyDescent="0.3"/>
    <row r="6193" ht="24.75" customHeight="1" x14ac:dyDescent="0.3"/>
    <row r="6194" ht="24.75" customHeight="1" x14ac:dyDescent="0.3"/>
    <row r="6195" ht="24.75" customHeight="1" x14ac:dyDescent="0.3"/>
    <row r="6196" ht="24.75" customHeight="1" x14ac:dyDescent="0.3"/>
    <row r="6197" ht="24.75" customHeight="1" x14ac:dyDescent="0.3"/>
    <row r="6198" ht="24.75" customHeight="1" x14ac:dyDescent="0.3"/>
    <row r="6199" ht="24.75" customHeight="1" x14ac:dyDescent="0.3"/>
    <row r="6200" ht="24.75" customHeight="1" x14ac:dyDescent="0.3"/>
    <row r="6201" ht="24.75" customHeight="1" x14ac:dyDescent="0.3"/>
    <row r="6202" ht="24.75" customHeight="1" x14ac:dyDescent="0.3"/>
    <row r="6203" ht="24.75" customHeight="1" x14ac:dyDescent="0.3"/>
    <row r="6204" ht="24.75" customHeight="1" x14ac:dyDescent="0.3"/>
    <row r="6205" ht="24.75" customHeight="1" x14ac:dyDescent="0.3"/>
    <row r="6206" ht="24.75" customHeight="1" x14ac:dyDescent="0.3"/>
    <row r="6207" ht="24.75" customHeight="1" x14ac:dyDescent="0.3"/>
    <row r="6208" ht="24.75" customHeight="1" x14ac:dyDescent="0.3"/>
    <row r="6209" ht="24.75" customHeight="1" x14ac:dyDescent="0.3"/>
    <row r="6210" ht="24.75" customHeight="1" x14ac:dyDescent="0.3"/>
    <row r="6211" ht="24.75" customHeight="1" x14ac:dyDescent="0.3"/>
    <row r="6212" ht="24.75" customHeight="1" x14ac:dyDescent="0.3"/>
    <row r="6213" ht="24.75" customHeight="1" x14ac:dyDescent="0.3"/>
    <row r="6214" ht="24.75" customHeight="1" x14ac:dyDescent="0.3"/>
    <row r="6215" ht="24.75" customHeight="1" x14ac:dyDescent="0.3"/>
    <row r="6216" ht="24.75" customHeight="1" x14ac:dyDescent="0.3"/>
    <row r="6217" ht="24.75" customHeight="1" x14ac:dyDescent="0.3"/>
    <row r="6218" ht="24.75" customHeight="1" x14ac:dyDescent="0.3"/>
    <row r="6219" ht="24.75" customHeight="1" x14ac:dyDescent="0.3"/>
    <row r="6220" ht="24.75" customHeight="1" x14ac:dyDescent="0.3"/>
    <row r="6221" ht="24.75" customHeight="1" x14ac:dyDescent="0.3"/>
    <row r="6222" ht="24.75" customHeight="1" x14ac:dyDescent="0.3"/>
    <row r="6223" ht="24.75" customHeight="1" x14ac:dyDescent="0.3"/>
    <row r="6224" ht="24.75" customHeight="1" x14ac:dyDescent="0.3"/>
    <row r="6225" ht="24.75" customHeight="1" x14ac:dyDescent="0.3"/>
    <row r="6226" ht="24.75" customHeight="1" x14ac:dyDescent="0.3"/>
    <row r="6227" ht="24.75" customHeight="1" x14ac:dyDescent="0.3"/>
    <row r="6228" ht="24.75" customHeight="1" x14ac:dyDescent="0.3"/>
    <row r="6229" ht="24.75" customHeight="1" x14ac:dyDescent="0.3"/>
    <row r="6230" ht="24.75" customHeight="1" x14ac:dyDescent="0.3"/>
    <row r="6231" ht="24.75" customHeight="1" x14ac:dyDescent="0.3"/>
    <row r="6232" ht="24.75" customHeight="1" x14ac:dyDescent="0.3"/>
    <row r="6233" ht="24.75" customHeight="1" x14ac:dyDescent="0.3"/>
    <row r="6234" ht="24.75" customHeight="1" x14ac:dyDescent="0.3"/>
    <row r="6235" ht="24.75" customHeight="1" x14ac:dyDescent="0.3"/>
    <row r="6236" ht="24.75" customHeight="1" x14ac:dyDescent="0.3"/>
    <row r="6237" ht="24.75" customHeight="1" x14ac:dyDescent="0.3"/>
    <row r="6238" ht="24.75" customHeight="1" x14ac:dyDescent="0.3"/>
    <row r="6239" ht="24.75" customHeight="1" x14ac:dyDescent="0.3"/>
    <row r="6240" ht="24.75" customHeight="1" x14ac:dyDescent="0.3"/>
    <row r="6241" ht="24.75" customHeight="1" x14ac:dyDescent="0.3"/>
    <row r="6242" ht="24.75" customHeight="1" x14ac:dyDescent="0.3"/>
    <row r="6243" ht="24.75" customHeight="1" x14ac:dyDescent="0.3"/>
    <row r="6244" ht="24.75" customHeight="1" x14ac:dyDescent="0.3"/>
    <row r="6245" ht="24.75" customHeight="1" x14ac:dyDescent="0.3"/>
    <row r="6246" ht="24.75" customHeight="1" x14ac:dyDescent="0.3"/>
    <row r="6247" ht="24.75" customHeight="1" x14ac:dyDescent="0.3"/>
    <row r="6248" ht="24.75" customHeight="1" x14ac:dyDescent="0.3"/>
    <row r="6249" ht="24.75" customHeight="1" x14ac:dyDescent="0.3"/>
    <row r="6250" ht="24.75" customHeight="1" x14ac:dyDescent="0.3"/>
    <row r="6251" ht="24.75" customHeight="1" x14ac:dyDescent="0.3"/>
    <row r="6252" ht="24.75" customHeight="1" x14ac:dyDescent="0.3"/>
    <row r="6253" ht="24.75" customHeight="1" x14ac:dyDescent="0.3"/>
    <row r="6254" ht="24.75" customHeight="1" x14ac:dyDescent="0.3"/>
    <row r="6255" ht="24.75" customHeight="1" x14ac:dyDescent="0.3"/>
    <row r="6256" ht="24.75" customHeight="1" x14ac:dyDescent="0.3"/>
    <row r="6257" ht="24.75" customHeight="1" x14ac:dyDescent="0.3"/>
    <row r="6258" ht="24.75" customHeight="1" x14ac:dyDescent="0.3"/>
    <row r="6259" ht="24.75" customHeight="1" x14ac:dyDescent="0.3"/>
    <row r="6260" ht="24.75" customHeight="1" x14ac:dyDescent="0.3"/>
    <row r="6261" ht="24.75" customHeight="1" x14ac:dyDescent="0.3"/>
    <row r="6262" ht="24.75" customHeight="1" x14ac:dyDescent="0.3"/>
    <row r="6263" ht="24.75" customHeight="1" x14ac:dyDescent="0.3"/>
    <row r="6264" ht="24.75" customHeight="1" x14ac:dyDescent="0.3"/>
    <row r="6265" ht="24.75" customHeight="1" x14ac:dyDescent="0.3"/>
    <row r="6266" ht="24.75" customHeight="1" x14ac:dyDescent="0.3"/>
    <row r="6267" ht="24.75" customHeight="1" x14ac:dyDescent="0.3"/>
    <row r="6268" ht="24.75" customHeight="1" x14ac:dyDescent="0.3"/>
    <row r="6269" ht="24.75" customHeight="1" x14ac:dyDescent="0.3"/>
    <row r="6270" ht="24.75" customHeight="1" x14ac:dyDescent="0.3"/>
    <row r="6271" ht="24.75" customHeight="1" x14ac:dyDescent="0.3"/>
    <row r="6272" ht="24.75" customHeight="1" x14ac:dyDescent="0.3"/>
    <row r="6273" ht="24.75" customHeight="1" x14ac:dyDescent="0.3"/>
    <row r="6274" ht="24.75" customHeight="1" x14ac:dyDescent="0.3"/>
    <row r="6275" ht="24.75" customHeight="1" x14ac:dyDescent="0.3"/>
    <row r="6276" ht="24.75" customHeight="1" x14ac:dyDescent="0.3"/>
    <row r="6277" ht="24.75" customHeight="1" x14ac:dyDescent="0.3"/>
    <row r="6278" ht="24.75" customHeight="1" x14ac:dyDescent="0.3"/>
    <row r="6279" ht="24.75" customHeight="1" x14ac:dyDescent="0.3"/>
    <row r="6280" ht="24.75" customHeight="1" x14ac:dyDescent="0.3"/>
    <row r="6281" ht="24.75" customHeight="1" x14ac:dyDescent="0.3"/>
    <row r="6282" ht="24.75" customHeight="1" x14ac:dyDescent="0.3"/>
    <row r="6283" ht="24.75" customHeight="1" x14ac:dyDescent="0.3"/>
    <row r="6284" ht="24.75" customHeight="1" x14ac:dyDescent="0.3"/>
    <row r="6285" ht="24.75" customHeight="1" x14ac:dyDescent="0.3"/>
    <row r="6286" ht="24.75" customHeight="1" x14ac:dyDescent="0.3"/>
    <row r="6287" ht="24.75" customHeight="1" x14ac:dyDescent="0.3"/>
    <row r="6288" ht="24.75" customHeight="1" x14ac:dyDescent="0.3"/>
    <row r="6289" ht="24.75" customHeight="1" x14ac:dyDescent="0.3"/>
    <row r="6290" ht="24.75" customHeight="1" x14ac:dyDescent="0.3"/>
    <row r="6291" ht="24.75" customHeight="1" x14ac:dyDescent="0.3"/>
    <row r="6292" ht="24.75" customHeight="1" x14ac:dyDescent="0.3"/>
    <row r="6293" ht="24.75" customHeight="1" x14ac:dyDescent="0.3"/>
    <row r="6294" ht="24.75" customHeight="1" x14ac:dyDescent="0.3"/>
    <row r="6295" ht="24.75" customHeight="1" x14ac:dyDescent="0.3"/>
    <row r="6296" ht="24.75" customHeight="1" x14ac:dyDescent="0.3"/>
    <row r="6297" ht="24.75" customHeight="1" x14ac:dyDescent="0.3"/>
    <row r="6298" ht="24.75" customHeight="1" x14ac:dyDescent="0.3"/>
    <row r="6299" ht="24.75" customHeight="1" x14ac:dyDescent="0.3"/>
    <row r="6300" ht="24.75" customHeight="1" x14ac:dyDescent="0.3"/>
    <row r="6301" ht="24.75" customHeight="1" x14ac:dyDescent="0.3"/>
    <row r="6302" ht="24.75" customHeight="1" x14ac:dyDescent="0.3"/>
    <row r="6303" ht="24.75" customHeight="1" x14ac:dyDescent="0.3"/>
    <row r="6304" ht="24.75" customHeight="1" x14ac:dyDescent="0.3"/>
    <row r="6305" ht="24.75" customHeight="1" x14ac:dyDescent="0.3"/>
    <row r="6306" ht="24.75" customHeight="1" x14ac:dyDescent="0.3"/>
    <row r="6307" ht="24.75" customHeight="1" x14ac:dyDescent="0.3"/>
    <row r="6308" ht="24.75" customHeight="1" x14ac:dyDescent="0.3"/>
    <row r="6309" ht="24.75" customHeight="1" x14ac:dyDescent="0.3"/>
    <row r="6310" ht="24.75" customHeight="1" x14ac:dyDescent="0.3"/>
    <row r="6311" ht="24.75" customHeight="1" x14ac:dyDescent="0.3"/>
    <row r="6312" ht="24.75" customHeight="1" x14ac:dyDescent="0.3"/>
    <row r="6313" ht="24.75" customHeight="1" x14ac:dyDescent="0.3"/>
    <row r="6314" ht="24.75" customHeight="1" x14ac:dyDescent="0.3"/>
    <row r="6315" ht="24.75" customHeight="1" x14ac:dyDescent="0.3"/>
    <row r="6316" ht="24.75" customHeight="1" x14ac:dyDescent="0.3"/>
    <row r="6317" ht="24.75" customHeight="1" x14ac:dyDescent="0.3"/>
    <row r="6318" ht="24.75" customHeight="1" x14ac:dyDescent="0.3"/>
    <row r="6319" ht="24.75" customHeight="1" x14ac:dyDescent="0.3"/>
    <row r="6320" ht="24.75" customHeight="1" x14ac:dyDescent="0.3"/>
    <row r="6321" ht="24.75" customHeight="1" x14ac:dyDescent="0.3"/>
    <row r="6322" ht="24.75" customHeight="1" x14ac:dyDescent="0.3"/>
    <row r="6323" ht="24.75" customHeight="1" x14ac:dyDescent="0.3"/>
    <row r="6324" ht="24.75" customHeight="1" x14ac:dyDescent="0.3"/>
    <row r="6325" ht="24.75" customHeight="1" x14ac:dyDescent="0.3"/>
    <row r="6326" ht="24.75" customHeight="1" x14ac:dyDescent="0.3"/>
    <row r="6327" ht="24.75" customHeight="1" x14ac:dyDescent="0.3"/>
    <row r="6328" ht="24.75" customHeight="1" x14ac:dyDescent="0.3"/>
    <row r="6329" ht="24.75" customHeight="1" x14ac:dyDescent="0.3"/>
    <row r="6330" ht="24.75" customHeight="1" x14ac:dyDescent="0.3"/>
    <row r="6331" ht="24.75" customHeight="1" x14ac:dyDescent="0.3"/>
    <row r="6332" ht="24.75" customHeight="1" x14ac:dyDescent="0.3"/>
    <row r="6333" ht="24.75" customHeight="1" x14ac:dyDescent="0.3"/>
    <row r="6334" ht="24.75" customHeight="1" x14ac:dyDescent="0.3"/>
    <row r="6335" ht="24.75" customHeight="1" x14ac:dyDescent="0.3"/>
    <row r="6336" ht="24.75" customHeight="1" x14ac:dyDescent="0.3"/>
    <row r="6337" ht="24.75" customHeight="1" x14ac:dyDescent="0.3"/>
    <row r="6338" ht="24.75" customHeight="1" x14ac:dyDescent="0.3"/>
    <row r="6339" ht="24.75" customHeight="1" x14ac:dyDescent="0.3"/>
    <row r="6340" ht="24.75" customHeight="1" x14ac:dyDescent="0.3"/>
    <row r="6341" ht="24.75" customHeight="1" x14ac:dyDescent="0.3"/>
    <row r="6342" ht="24.75" customHeight="1" x14ac:dyDescent="0.3"/>
    <row r="6343" ht="24.75" customHeight="1" x14ac:dyDescent="0.3"/>
    <row r="6344" ht="24.75" customHeight="1" x14ac:dyDescent="0.3"/>
    <row r="6345" ht="24.75" customHeight="1" x14ac:dyDescent="0.3"/>
    <row r="6346" ht="24.75" customHeight="1" x14ac:dyDescent="0.3"/>
    <row r="6347" ht="24.75" customHeight="1" x14ac:dyDescent="0.3"/>
    <row r="6348" ht="24.75" customHeight="1" x14ac:dyDescent="0.3"/>
    <row r="6349" ht="24.75" customHeight="1" x14ac:dyDescent="0.3"/>
    <row r="6350" ht="24.75" customHeight="1" x14ac:dyDescent="0.3"/>
    <row r="6351" ht="24.75" customHeight="1" x14ac:dyDescent="0.3"/>
    <row r="6352" ht="24.75" customHeight="1" x14ac:dyDescent="0.3"/>
    <row r="6353" ht="24.75" customHeight="1" x14ac:dyDescent="0.3"/>
    <row r="6354" ht="24.75" customHeight="1" x14ac:dyDescent="0.3"/>
    <row r="6355" ht="24.75" customHeight="1" x14ac:dyDescent="0.3"/>
    <row r="6356" ht="24.75" customHeight="1" x14ac:dyDescent="0.3"/>
    <row r="6357" ht="24.75" customHeight="1" x14ac:dyDescent="0.3"/>
    <row r="6358" ht="24.75" customHeight="1" x14ac:dyDescent="0.3"/>
    <row r="6359" ht="24.75" customHeight="1" x14ac:dyDescent="0.3"/>
    <row r="6360" ht="24.75" customHeight="1" x14ac:dyDescent="0.3"/>
    <row r="6361" ht="24.75" customHeight="1" x14ac:dyDescent="0.3"/>
    <row r="6362" ht="24.75" customHeight="1" x14ac:dyDescent="0.3"/>
    <row r="6363" ht="24.75" customHeight="1" x14ac:dyDescent="0.3"/>
    <row r="6364" ht="24.75" customHeight="1" x14ac:dyDescent="0.3"/>
    <row r="6365" ht="24.75" customHeight="1" x14ac:dyDescent="0.3"/>
    <row r="6366" ht="24.75" customHeight="1" x14ac:dyDescent="0.3"/>
    <row r="6367" ht="24.75" customHeight="1" x14ac:dyDescent="0.3"/>
    <row r="6368" ht="24.75" customHeight="1" x14ac:dyDescent="0.3"/>
    <row r="6369" ht="24.75" customHeight="1" x14ac:dyDescent="0.3"/>
    <row r="6370" ht="24.75" customHeight="1" x14ac:dyDescent="0.3"/>
    <row r="6371" ht="24.75" customHeight="1" x14ac:dyDescent="0.3"/>
    <row r="6372" ht="24.75" customHeight="1" x14ac:dyDescent="0.3"/>
    <row r="6373" ht="24.75" customHeight="1" x14ac:dyDescent="0.3"/>
    <row r="6374" ht="24.75" customHeight="1" x14ac:dyDescent="0.3"/>
    <row r="6375" ht="24.75" customHeight="1" x14ac:dyDescent="0.3"/>
    <row r="6376" ht="24.75" customHeight="1" x14ac:dyDescent="0.3"/>
    <row r="6377" ht="24.75" customHeight="1" x14ac:dyDescent="0.3"/>
    <row r="6378" ht="24.75" customHeight="1" x14ac:dyDescent="0.3"/>
    <row r="6379" ht="24.75" customHeight="1" x14ac:dyDescent="0.3"/>
    <row r="6380" ht="24.75" customHeight="1" x14ac:dyDescent="0.3"/>
    <row r="6381" ht="24.75" customHeight="1" x14ac:dyDescent="0.3"/>
    <row r="6382" ht="24.75" customHeight="1" x14ac:dyDescent="0.3"/>
    <row r="6383" ht="24.75" customHeight="1" x14ac:dyDescent="0.3"/>
    <row r="6384" ht="24.75" customHeight="1" x14ac:dyDescent="0.3"/>
    <row r="6385" ht="24.75" customHeight="1" x14ac:dyDescent="0.3"/>
    <row r="6386" ht="24.75" customHeight="1" x14ac:dyDescent="0.3"/>
    <row r="6387" ht="24.75" customHeight="1" x14ac:dyDescent="0.3"/>
    <row r="6388" ht="24.75" customHeight="1" x14ac:dyDescent="0.3"/>
    <row r="6389" ht="24.75" customHeight="1" x14ac:dyDescent="0.3"/>
    <row r="6390" ht="24.75" customHeight="1" x14ac:dyDescent="0.3"/>
    <row r="6391" ht="24.75" customHeight="1" x14ac:dyDescent="0.3"/>
    <row r="6392" ht="24.75" customHeight="1" x14ac:dyDescent="0.3"/>
    <row r="6393" ht="24.75" customHeight="1" x14ac:dyDescent="0.3"/>
    <row r="6394" ht="24.75" customHeight="1" x14ac:dyDescent="0.3"/>
    <row r="6395" ht="24.75" customHeight="1" x14ac:dyDescent="0.3"/>
    <row r="6396" ht="24.75" customHeight="1" x14ac:dyDescent="0.3"/>
    <row r="6397" ht="24.75" customHeight="1" x14ac:dyDescent="0.3"/>
    <row r="6398" ht="24.75" customHeight="1" x14ac:dyDescent="0.3"/>
    <row r="6399" ht="24.75" customHeight="1" x14ac:dyDescent="0.3"/>
    <row r="6400" ht="24.75" customHeight="1" x14ac:dyDescent="0.3"/>
    <row r="6401" ht="24.75" customHeight="1" x14ac:dyDescent="0.3"/>
    <row r="6402" ht="24.75" customHeight="1" x14ac:dyDescent="0.3"/>
    <row r="6403" ht="24.75" customHeight="1" x14ac:dyDescent="0.3"/>
    <row r="6404" ht="24.75" customHeight="1" x14ac:dyDescent="0.3"/>
    <row r="6405" ht="24.75" customHeight="1" x14ac:dyDescent="0.3"/>
    <row r="6406" ht="24.75" customHeight="1" x14ac:dyDescent="0.3"/>
    <row r="6407" ht="24.75" customHeight="1" x14ac:dyDescent="0.3"/>
    <row r="6408" ht="24.75" customHeight="1" x14ac:dyDescent="0.3"/>
    <row r="6409" ht="24.75" customHeight="1" x14ac:dyDescent="0.3"/>
    <row r="6410" ht="24.75" customHeight="1" x14ac:dyDescent="0.3"/>
    <row r="6411" ht="24.75" customHeight="1" x14ac:dyDescent="0.3"/>
    <row r="6412" ht="24.75" customHeight="1" x14ac:dyDescent="0.3"/>
    <row r="6413" ht="24.75" customHeight="1" x14ac:dyDescent="0.3"/>
    <row r="6414" ht="24.75" customHeight="1" x14ac:dyDescent="0.3"/>
    <row r="6415" ht="24.75" customHeight="1" x14ac:dyDescent="0.3"/>
    <row r="6416" ht="24.75" customHeight="1" x14ac:dyDescent="0.3"/>
    <row r="6417" ht="24.75" customHeight="1" x14ac:dyDescent="0.3"/>
    <row r="6418" ht="24.75" customHeight="1" x14ac:dyDescent="0.3"/>
    <row r="6419" ht="24.75" customHeight="1" x14ac:dyDescent="0.3"/>
    <row r="6420" ht="24.75" customHeight="1" x14ac:dyDescent="0.3"/>
    <row r="6421" ht="24.75" customHeight="1" x14ac:dyDescent="0.3"/>
    <row r="6422" ht="24.75" customHeight="1" x14ac:dyDescent="0.3"/>
    <row r="6423" ht="24.75" customHeight="1" x14ac:dyDescent="0.3"/>
    <row r="6424" ht="24.75" customHeight="1" x14ac:dyDescent="0.3"/>
    <row r="6425" ht="24.75" customHeight="1" x14ac:dyDescent="0.3"/>
    <row r="6426" ht="24.75" customHeight="1" x14ac:dyDescent="0.3"/>
    <row r="6427" ht="24.75" customHeight="1" x14ac:dyDescent="0.3"/>
    <row r="6428" ht="24.75" customHeight="1" x14ac:dyDescent="0.3"/>
    <row r="6429" ht="24.75" customHeight="1" x14ac:dyDescent="0.3"/>
    <row r="6430" ht="24.75" customHeight="1" x14ac:dyDescent="0.3"/>
    <row r="6431" ht="24.75" customHeight="1" x14ac:dyDescent="0.3"/>
    <row r="6432" ht="24.75" customHeight="1" x14ac:dyDescent="0.3"/>
    <row r="6433" ht="24.75" customHeight="1" x14ac:dyDescent="0.3"/>
    <row r="6434" ht="24.75" customHeight="1" x14ac:dyDescent="0.3"/>
    <row r="6435" ht="24.75" customHeight="1" x14ac:dyDescent="0.3"/>
    <row r="6436" ht="24.75" customHeight="1" x14ac:dyDescent="0.3"/>
    <row r="6437" ht="24.75" customHeight="1" x14ac:dyDescent="0.3"/>
    <row r="6438" ht="24.75" customHeight="1" x14ac:dyDescent="0.3"/>
    <row r="6439" ht="24.75" customHeight="1" x14ac:dyDescent="0.3"/>
    <row r="6440" ht="24.75" customHeight="1" x14ac:dyDescent="0.3"/>
    <row r="6441" ht="24.75" customHeight="1" x14ac:dyDescent="0.3"/>
    <row r="6442" ht="24.75" customHeight="1" x14ac:dyDescent="0.3"/>
    <row r="6443" ht="24.75" customHeight="1" x14ac:dyDescent="0.3"/>
    <row r="6444" ht="24.75" customHeight="1" x14ac:dyDescent="0.3"/>
    <row r="6445" ht="24.75" customHeight="1" x14ac:dyDescent="0.3"/>
    <row r="6446" ht="24.75" customHeight="1" x14ac:dyDescent="0.3"/>
    <row r="6447" ht="24.75" customHeight="1" x14ac:dyDescent="0.3"/>
    <row r="6448" ht="24.75" customHeight="1" x14ac:dyDescent="0.3"/>
    <row r="6449" ht="24.75" customHeight="1" x14ac:dyDescent="0.3"/>
    <row r="6450" ht="24.75" customHeight="1" x14ac:dyDescent="0.3"/>
    <row r="6451" ht="24.75" customHeight="1" x14ac:dyDescent="0.3"/>
    <row r="6452" ht="24.75" customHeight="1" x14ac:dyDescent="0.3"/>
    <row r="6453" ht="24.75" customHeight="1" x14ac:dyDescent="0.3"/>
    <row r="6454" ht="24.75" customHeight="1" x14ac:dyDescent="0.3"/>
    <row r="6455" ht="24.75" customHeight="1" x14ac:dyDescent="0.3"/>
    <row r="6456" ht="24.75" customHeight="1" x14ac:dyDescent="0.3"/>
    <row r="6457" ht="24.75" customHeight="1" x14ac:dyDescent="0.3"/>
    <row r="6458" ht="24.75" customHeight="1" x14ac:dyDescent="0.3"/>
    <row r="6459" ht="24.75" customHeight="1" x14ac:dyDescent="0.3"/>
    <row r="6460" ht="24.75" customHeight="1" x14ac:dyDescent="0.3"/>
    <row r="6461" ht="24.75" customHeight="1" x14ac:dyDescent="0.3"/>
    <row r="6462" ht="24.75" customHeight="1" x14ac:dyDescent="0.3"/>
    <row r="6463" ht="24.75" customHeight="1" x14ac:dyDescent="0.3"/>
    <row r="6464" ht="24.75" customHeight="1" x14ac:dyDescent="0.3"/>
    <row r="6465" ht="24.75" customHeight="1" x14ac:dyDescent="0.3"/>
    <row r="6466" ht="24.75" customHeight="1" x14ac:dyDescent="0.3"/>
    <row r="6467" ht="24.75" customHeight="1" x14ac:dyDescent="0.3"/>
    <row r="6468" ht="24.75" customHeight="1" x14ac:dyDescent="0.3"/>
    <row r="6469" ht="24.75" customHeight="1" x14ac:dyDescent="0.3"/>
    <row r="6470" ht="24.75" customHeight="1" x14ac:dyDescent="0.3"/>
    <row r="6471" ht="24.75" customHeight="1" x14ac:dyDescent="0.3"/>
    <row r="6472" ht="24.75" customHeight="1" x14ac:dyDescent="0.3"/>
    <row r="6473" ht="24.75" customHeight="1" x14ac:dyDescent="0.3"/>
    <row r="6474" ht="24.75" customHeight="1" x14ac:dyDescent="0.3"/>
    <row r="6475" ht="24.75" customHeight="1" x14ac:dyDescent="0.3"/>
    <row r="6476" ht="24.75" customHeight="1" x14ac:dyDescent="0.3"/>
    <row r="6477" ht="24.75" customHeight="1" x14ac:dyDescent="0.3"/>
    <row r="6478" ht="24.75" customHeight="1" x14ac:dyDescent="0.3"/>
    <row r="6479" ht="24.75" customHeight="1" x14ac:dyDescent="0.3"/>
    <row r="6480" ht="24.75" customHeight="1" x14ac:dyDescent="0.3"/>
    <row r="6481" ht="24.75" customHeight="1" x14ac:dyDescent="0.3"/>
    <row r="6482" ht="24.75" customHeight="1" x14ac:dyDescent="0.3"/>
    <row r="6483" ht="24.75" customHeight="1" x14ac:dyDescent="0.3"/>
    <row r="6484" ht="24.75" customHeight="1" x14ac:dyDescent="0.3"/>
    <row r="6485" ht="24.75" customHeight="1" x14ac:dyDescent="0.3"/>
    <row r="6486" ht="24.75" customHeight="1" x14ac:dyDescent="0.3"/>
    <row r="6487" ht="24.75" customHeight="1" x14ac:dyDescent="0.3"/>
    <row r="6488" ht="24.75" customHeight="1" x14ac:dyDescent="0.3"/>
    <row r="6489" ht="24.75" customHeight="1" x14ac:dyDescent="0.3"/>
    <row r="6490" ht="24.75" customHeight="1" x14ac:dyDescent="0.3"/>
    <row r="6491" ht="24.75" customHeight="1" x14ac:dyDescent="0.3"/>
    <row r="6492" ht="24.75" customHeight="1" x14ac:dyDescent="0.3"/>
    <row r="6493" ht="24.75" customHeight="1" x14ac:dyDescent="0.3"/>
    <row r="6494" ht="24.75" customHeight="1" x14ac:dyDescent="0.3"/>
    <row r="6495" ht="24.75" customHeight="1" x14ac:dyDescent="0.3"/>
    <row r="6496" ht="24.75" customHeight="1" x14ac:dyDescent="0.3"/>
    <row r="6497" ht="24.75" customHeight="1" x14ac:dyDescent="0.3"/>
    <row r="6498" ht="24.75" customHeight="1" x14ac:dyDescent="0.3"/>
    <row r="6499" ht="24.75" customHeight="1" x14ac:dyDescent="0.3"/>
    <row r="7422" spans="25:25" ht="24.75" customHeight="1" x14ac:dyDescent="0.3">
      <c r="Y7422" s="53" t="s">
        <v>23</v>
      </c>
    </row>
    <row r="20015" ht="35.25" customHeight="1" x14ac:dyDescent="0.3"/>
  </sheetData>
  <mergeCells count="19">
    <mergeCell ref="U1:U2"/>
    <mergeCell ref="M1:M2"/>
    <mergeCell ref="N1:O1"/>
    <mergeCell ref="P1:Q1"/>
    <mergeCell ref="R1:R2"/>
    <mergeCell ref="S1:S2"/>
    <mergeCell ref="T1:T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conditionalFormatting sqref="A1:N1 R1:R3 R4:U1000 A4:Q367 S1001:U1048576">
    <cfRule type="cellIs" dxfId="16" priority="27" operator="equal">
      <formula>21761.175</formula>
    </cfRule>
  </conditionalFormatting>
  <conditionalFormatting sqref="A3:Q3">
    <cfRule type="cellIs" dxfId="15" priority="11" operator="equal">
      <formula>21761.175</formula>
    </cfRule>
  </conditionalFormatting>
  <conditionalFormatting sqref="C950:I1000">
    <cfRule type="cellIs" dxfId="14" priority="18" operator="equal">
      <formula>21761.175</formula>
    </cfRule>
  </conditionalFormatting>
  <conditionalFormatting sqref="C949:L949">
    <cfRule type="cellIs" dxfId="13" priority="19" operator="equal">
      <formula>21761.175</formula>
    </cfRule>
  </conditionalFormatting>
  <conditionalFormatting sqref="J950:L1000">
    <cfRule type="cellIs" dxfId="12" priority="17" operator="equal">
      <formula>21761.175</formula>
    </cfRule>
  </conditionalFormatting>
  <conditionalFormatting sqref="M3:M1000">
    <cfRule type="cellIs" dxfId="10" priority="29" operator="equal">
      <formula>"fail"</formula>
    </cfRule>
  </conditionalFormatting>
  <conditionalFormatting sqref="P1 N2:Q2">
    <cfRule type="cellIs" dxfId="9" priority="28" operator="equal">
      <formula>21761.175</formula>
    </cfRule>
  </conditionalFormatting>
  <conditionalFormatting sqref="V4:XFD22005">
    <cfRule type="cellIs" dxfId="8" priority="23" operator="equal">
      <formula>21761.175</formula>
    </cfRule>
  </conditionalFormatting>
  <conditionalFormatting sqref="S3:T1000">
    <cfRule type="containsText" dxfId="7" priority="30" operator="containsText" text="Retest">
      <formula>NOT(ISERROR(SEARCH("Retest",S3)))</formula>
    </cfRule>
  </conditionalFormatting>
  <conditionalFormatting sqref="S3:T3">
    <cfRule type="cellIs" dxfId="6" priority="24" operator="equal">
      <formula>21761.175</formula>
    </cfRule>
  </conditionalFormatting>
  <conditionalFormatting sqref="S3:T1000">
    <cfRule type="cellIs" dxfId="5" priority="13" operator="equal">
      <formula>"Reject"</formula>
    </cfRule>
  </conditionalFormatting>
  <conditionalFormatting sqref="M368:Q471 A368:B1000 F409:I410 D411:I412 C413:J471 C472:Q948 M949:Q1000">
    <cfRule type="cellIs" dxfId="4" priority="21" operator="equal">
      <formula>21761.175</formula>
    </cfRule>
  </conditionalFormatting>
  <conditionalFormatting sqref="S1:U1 W22006:XFD22006">
    <cfRule type="cellIs" dxfId="3" priority="26" operator="equal">
      <formula>21761.175</formula>
    </cfRule>
  </conditionalFormatting>
  <conditionalFormatting sqref="V22007:XFD1048576">
    <cfRule type="cellIs" dxfId="2" priority="15" operator="equal">
      <formula>21761.175</formula>
    </cfRule>
  </conditionalFormatting>
  <conditionalFormatting sqref="T1:T3">
    <cfRule type="cellIs" dxfId="1" priority="12" operator="equal">
      <formula>21761.175</formula>
    </cfRule>
  </conditionalFormatting>
  <conditionalFormatting sqref="U1:XFD3">
    <cfRule type="cellIs" dxfId="0" priority="25" operator="equal">
      <formula>21761.175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Namme</dc:creator>
  <cp:lastModifiedBy>Vivian Namme</cp:lastModifiedBy>
  <dcterms:created xsi:type="dcterms:W3CDTF">2026-06-24T16:33:07Z</dcterms:created>
  <dcterms:modified xsi:type="dcterms:W3CDTF">2026-06-24T16:37:26Z</dcterms:modified>
</cp:coreProperties>
</file>